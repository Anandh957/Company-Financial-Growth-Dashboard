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E:\AI_Course\Excel_Project - 1\Project\"/>
    </mc:Choice>
  </mc:AlternateContent>
  <xr:revisionPtr revIDLastSave="0" documentId="13_ncr:1_{58DF5C63-172B-4CAE-A5D7-DBDAD619ECB9}" xr6:coauthVersionLast="47" xr6:coauthVersionMax="47" xr10:uidLastSave="{00000000-0000-0000-0000-000000000000}"/>
  <bookViews>
    <workbookView xWindow="-108" yWindow="-108" windowWidth="23256" windowHeight="12456" activeTab="5" xr2:uid="{00000000-000D-0000-FFFF-FFFF00000000}"/>
  </bookViews>
  <sheets>
    <sheet name="Pivot_Table" sheetId="5" r:id="rId1"/>
    <sheet name="Raw Data" sheetId="1" r:id="rId2"/>
    <sheet name="Summary Statistics" sheetId="2" r:id="rId3"/>
    <sheet name="Pivot Instructions" sheetId="3" r:id="rId4"/>
    <sheet name="Dashboard Formulas" sheetId="4" r:id="rId5"/>
    <sheet name="Dashboard" sheetId="6" r:id="rId6"/>
  </sheets>
  <definedNames>
    <definedName name="Slicer_Department">#N/A</definedName>
    <definedName name="Slicer_Funding_Sourc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8" i="6" l="1"/>
  <c r="U6" i="6"/>
  <c r="R10" i="6"/>
  <c r="Q6" i="6"/>
  <c r="Q8" i="6"/>
</calcChain>
</file>

<file path=xl/sharedStrings.xml><?xml version="1.0" encoding="utf-8"?>
<sst xmlns="http://schemas.openxmlformats.org/spreadsheetml/2006/main" count="10154" uniqueCount="1283">
  <si>
    <t>Record ID</t>
  </si>
  <si>
    <t>Date</t>
  </si>
  <si>
    <t>Year</t>
  </si>
  <si>
    <t>Quarter</t>
  </si>
  <si>
    <t>Month</t>
  </si>
  <si>
    <t>Department</t>
  </si>
  <si>
    <t>Region</t>
  </si>
  <si>
    <t>Fund Raised ($M)</t>
  </si>
  <si>
    <t>Funding Source</t>
  </si>
  <si>
    <t>New Employees</t>
  </si>
  <si>
    <t>Total Employees</t>
  </si>
  <si>
    <t>Employee Retention Rate (%)</t>
  </si>
  <si>
    <t>Revenue Growth (%)</t>
  </si>
  <si>
    <t>Operating Expenses ($M)</t>
  </si>
  <si>
    <t>R&amp;D Investment ($M)</t>
  </si>
  <si>
    <t>Market Valuation ($M)</t>
  </si>
  <si>
    <t>Customer Acquisition</t>
  </si>
  <si>
    <t>Expansion Projects</t>
  </si>
  <si>
    <t>Training Hours</t>
  </si>
  <si>
    <t>2020-01-04</t>
  </si>
  <si>
    <t>Q1</t>
  </si>
  <si>
    <t>Sales</t>
  </si>
  <si>
    <t>Europe</t>
  </si>
  <si>
    <t>Private Equity</t>
  </si>
  <si>
    <t>2020-01-24</t>
  </si>
  <si>
    <t>Engineering</t>
  </si>
  <si>
    <t>Latin America</t>
  </si>
  <si>
    <t>Angel Investors</t>
  </si>
  <si>
    <t>2020-01-08</t>
  </si>
  <si>
    <t>HR</t>
  </si>
  <si>
    <t>2020-01-02</t>
  </si>
  <si>
    <t>Marketing</t>
  </si>
  <si>
    <t>Venture Capital</t>
  </si>
  <si>
    <t>2020-01-07</t>
  </si>
  <si>
    <t>Finance</t>
  </si>
  <si>
    <t>North America</t>
  </si>
  <si>
    <t>2020-01-19</t>
  </si>
  <si>
    <t>R&amp;D</t>
  </si>
  <si>
    <t>Corporate Investment</t>
  </si>
  <si>
    <t>2020-01-10</t>
  </si>
  <si>
    <t>Asia Pacific</t>
  </si>
  <si>
    <t>2020-01-26</t>
  </si>
  <si>
    <t>Middle East</t>
  </si>
  <si>
    <t>2020-01-25</t>
  </si>
  <si>
    <t>2020-01-23</t>
  </si>
  <si>
    <t>2020-01-16</t>
  </si>
  <si>
    <t>2020-01-18</t>
  </si>
  <si>
    <t>Government Grants</t>
  </si>
  <si>
    <t>2020-01-09</t>
  </si>
  <si>
    <t>2020-01-06</t>
  </si>
  <si>
    <t>2020-01-11</t>
  </si>
  <si>
    <t>2020-01-14</t>
  </si>
  <si>
    <t>2020-01-15</t>
  </si>
  <si>
    <t>Customer Success</t>
  </si>
  <si>
    <t>2020-01-20</t>
  </si>
  <si>
    <t>2020-01-03</t>
  </si>
  <si>
    <t>2019-12-31</t>
  </si>
  <si>
    <t>2020-01-12</t>
  </si>
  <si>
    <t>2020-02-10</t>
  </si>
  <si>
    <t>2020-02-16</t>
  </si>
  <si>
    <t>2020-02-09</t>
  </si>
  <si>
    <t>2020-02-21</t>
  </si>
  <si>
    <t>Operations</t>
  </si>
  <si>
    <t>2020-02-06</t>
  </si>
  <si>
    <t>2020-02-08</t>
  </si>
  <si>
    <t>2020-02-14</t>
  </si>
  <si>
    <t>2020-02-26</t>
  </si>
  <si>
    <t>2020-02-12</t>
  </si>
  <si>
    <t>2020-02-20</t>
  </si>
  <si>
    <t>2020-02-24</t>
  </si>
  <si>
    <t>2020-02-03</t>
  </si>
  <si>
    <t>2020-02-22</t>
  </si>
  <si>
    <t>2020-02-25</t>
  </si>
  <si>
    <t>2020-01-31</t>
  </si>
  <si>
    <t>2020-02-19</t>
  </si>
  <si>
    <t>2020-02-05</t>
  </si>
  <si>
    <t>2020-03-26</t>
  </si>
  <si>
    <t>2020-03-01</t>
  </si>
  <si>
    <t>2020-03-14</t>
  </si>
  <si>
    <t>2020-03-08</t>
  </si>
  <si>
    <t>2020-03-13</t>
  </si>
  <si>
    <t>2020-03-12</t>
  </si>
  <si>
    <t>2020-03-05</t>
  </si>
  <si>
    <t>2020-03-02</t>
  </si>
  <si>
    <t>2020-03-27</t>
  </si>
  <si>
    <t>2020-03-18</t>
  </si>
  <si>
    <t>2020-03-22</t>
  </si>
  <si>
    <t>2020-03-15</t>
  </si>
  <si>
    <t>2020-03-09</t>
  </si>
  <si>
    <t>2020-03-03</t>
  </si>
  <si>
    <t>2020-03-04</t>
  </si>
  <si>
    <t>2020-03-20</t>
  </si>
  <si>
    <t>2020-03-25</t>
  </si>
  <si>
    <t>2020-03-19</t>
  </si>
  <si>
    <t>2020-03-24</t>
  </si>
  <si>
    <t>2020-04-08</t>
  </si>
  <si>
    <t>Q2</t>
  </si>
  <si>
    <t>2020-04-22</t>
  </si>
  <si>
    <t>2020-04-11</t>
  </si>
  <si>
    <t>2020-04-25</t>
  </si>
  <si>
    <t>2020-04-02</t>
  </si>
  <si>
    <t>2020-03-31</t>
  </si>
  <si>
    <t>2020-04-13</t>
  </si>
  <si>
    <t>2020-04-07</t>
  </si>
  <si>
    <t>2020-04-09</t>
  </si>
  <si>
    <t>2020-04-14</t>
  </si>
  <si>
    <t>2020-04-04</t>
  </si>
  <si>
    <t>2020-04-18</t>
  </si>
  <si>
    <t>2020-04-06</t>
  </si>
  <si>
    <t>2020-04-10</t>
  </si>
  <si>
    <t>2020-04-24</t>
  </si>
  <si>
    <t>2020-04-16</t>
  </si>
  <si>
    <t>2020-04-15</t>
  </si>
  <si>
    <t>2020-04-19</t>
  </si>
  <si>
    <t>2020-04-27</t>
  </si>
  <si>
    <t>2020-04-01</t>
  </si>
  <si>
    <t>2020-04-05</t>
  </si>
  <si>
    <t>2020-04-03</t>
  </si>
  <si>
    <t>2020-05-19</t>
  </si>
  <si>
    <t>2020-05-23</t>
  </si>
  <si>
    <t>2020-04-30</t>
  </si>
  <si>
    <t>2020-05-17</t>
  </si>
  <si>
    <t>2020-05-07</t>
  </si>
  <si>
    <t>2020-05-06</t>
  </si>
  <si>
    <t>2020-05-14</t>
  </si>
  <si>
    <t>2020-05-10</t>
  </si>
  <si>
    <t>2020-05-21</t>
  </si>
  <si>
    <t>2020-05-27</t>
  </si>
  <si>
    <t>2020-05-04</t>
  </si>
  <si>
    <t>2020-05-01</t>
  </si>
  <si>
    <t>2020-05-25</t>
  </si>
  <si>
    <t>2020-05-09</t>
  </si>
  <si>
    <t>2020-05-08</t>
  </si>
  <si>
    <t>2020-05-24</t>
  </si>
  <si>
    <t>2020-05-18</t>
  </si>
  <si>
    <t>2020-05-03</t>
  </si>
  <si>
    <t>2020-05-22</t>
  </si>
  <si>
    <t>2020-05-05</t>
  </si>
  <si>
    <t>2020-06-08</t>
  </si>
  <si>
    <t>2020-06-04</t>
  </si>
  <si>
    <t>2020-06-10</t>
  </si>
  <si>
    <t>2020-06-14</t>
  </si>
  <si>
    <t>2020-06-20</t>
  </si>
  <si>
    <t>2020-06-25</t>
  </si>
  <si>
    <t>2020-06-27</t>
  </si>
  <si>
    <t>2020-06-12</t>
  </si>
  <si>
    <t>2020-06-21</t>
  </si>
  <si>
    <t>2020-06-16</t>
  </si>
  <si>
    <t>2020-06-06</t>
  </si>
  <si>
    <t>2020-06-03</t>
  </si>
  <si>
    <t>2020-06-17</t>
  </si>
  <si>
    <t>2020-06-24</t>
  </si>
  <si>
    <t>2020-06-09</t>
  </si>
  <si>
    <t>2020-06-02</t>
  </si>
  <si>
    <t>2020-06-23</t>
  </si>
  <si>
    <t>2020-05-31</t>
  </si>
  <si>
    <t>2020-06-15</t>
  </si>
  <si>
    <t>2020-06-26</t>
  </si>
  <si>
    <t>2020-06-01</t>
  </si>
  <si>
    <t>2020-06-11</t>
  </si>
  <si>
    <t>2020-07-20</t>
  </si>
  <si>
    <t>Q3</t>
  </si>
  <si>
    <t>2020-07-18</t>
  </si>
  <si>
    <t>2020-07-05</t>
  </si>
  <si>
    <t>2020-07-10</t>
  </si>
  <si>
    <t>2020-07-13</t>
  </si>
  <si>
    <t>2020-07-01</t>
  </si>
  <si>
    <t>2020-07-06</t>
  </si>
  <si>
    <t>2020-06-30</t>
  </si>
  <si>
    <t>2020-07-23</t>
  </si>
  <si>
    <t>2020-07-02</t>
  </si>
  <si>
    <t>2020-07-16</t>
  </si>
  <si>
    <t>2020-07-21</t>
  </si>
  <si>
    <t>2020-07-15</t>
  </si>
  <si>
    <t>2020-07-08</t>
  </si>
  <si>
    <t>2020-07-19</t>
  </si>
  <si>
    <t>2020-07-27</t>
  </si>
  <si>
    <t>2020-07-11</t>
  </si>
  <si>
    <t>2020-07-24</t>
  </si>
  <si>
    <t>2020-07-14</t>
  </si>
  <si>
    <t>2020-07-26</t>
  </si>
  <si>
    <t>2020-07-03</t>
  </si>
  <si>
    <t>2020-07-12</t>
  </si>
  <si>
    <t>2020-07-25</t>
  </si>
  <si>
    <t>2020-07-09</t>
  </si>
  <si>
    <t>2020-07-04</t>
  </si>
  <si>
    <t>2020-08-21</t>
  </si>
  <si>
    <t>2020-08-25</t>
  </si>
  <si>
    <t>2020-08-16</t>
  </si>
  <si>
    <t>2020-08-17</t>
  </si>
  <si>
    <t>2020-08-05</t>
  </si>
  <si>
    <t>2020-08-06</t>
  </si>
  <si>
    <t>2020-08-26</t>
  </si>
  <si>
    <t>2020-08-18</t>
  </si>
  <si>
    <t>2020-08-11</t>
  </si>
  <si>
    <t>2020-07-31</t>
  </si>
  <si>
    <t>2020-08-19</t>
  </si>
  <si>
    <t>2020-08-14</t>
  </si>
  <si>
    <t>2020-08-27</t>
  </si>
  <si>
    <t>2020-08-20</t>
  </si>
  <si>
    <t>2020-08-08</t>
  </si>
  <si>
    <t>2020-08-10</t>
  </si>
  <si>
    <t>2020-08-03</t>
  </si>
  <si>
    <t>2020-08-02</t>
  </si>
  <si>
    <t>2020-08-07</t>
  </si>
  <si>
    <t>2020-08-23</t>
  </si>
  <si>
    <t>2020-09-10</t>
  </si>
  <si>
    <t>2020-09-27</t>
  </si>
  <si>
    <t>2020-09-14</t>
  </si>
  <si>
    <t>2020-09-25</t>
  </si>
  <si>
    <t>2020-09-15</t>
  </si>
  <si>
    <t>2020-09-24</t>
  </si>
  <si>
    <t>2020-09-03</t>
  </si>
  <si>
    <t>2020-09-06</t>
  </si>
  <si>
    <t>2020-09-20</t>
  </si>
  <si>
    <t>2020-09-22</t>
  </si>
  <si>
    <t>2020-09-05</t>
  </si>
  <si>
    <t>2020-09-08</t>
  </si>
  <si>
    <t>2020-09-02</t>
  </si>
  <si>
    <t>2020-09-21</t>
  </si>
  <si>
    <t>2020-09-26</t>
  </si>
  <si>
    <t>2020-09-19</t>
  </si>
  <si>
    <t>2020-09-07</t>
  </si>
  <si>
    <t>2020-09-09</t>
  </si>
  <si>
    <t>2020-09-17</t>
  </si>
  <si>
    <t>2020-10-26</t>
  </si>
  <si>
    <t>Q4</t>
  </si>
  <si>
    <t>2020-10-07</t>
  </si>
  <si>
    <t>2020-10-21</t>
  </si>
  <si>
    <t>2020-10-19</t>
  </si>
  <si>
    <t>2020-10-25</t>
  </si>
  <si>
    <t>2020-10-22</t>
  </si>
  <si>
    <t>2020-10-09</t>
  </si>
  <si>
    <t>2020-10-10</t>
  </si>
  <si>
    <t>2020-10-01</t>
  </si>
  <si>
    <t>2020-09-30</t>
  </si>
  <si>
    <t>2020-10-04</t>
  </si>
  <si>
    <t>2020-10-15</t>
  </si>
  <si>
    <t>2020-10-16</t>
  </si>
  <si>
    <t>2020-10-03</t>
  </si>
  <si>
    <t>2020-10-27</t>
  </si>
  <si>
    <t>2020-10-14</t>
  </si>
  <si>
    <t>2020-10-20</t>
  </si>
  <si>
    <t>2020-10-11</t>
  </si>
  <si>
    <t>2020-10-08</t>
  </si>
  <si>
    <t>2020-10-05</t>
  </si>
  <si>
    <t>2020-10-12</t>
  </si>
  <si>
    <t>2020-11-24</t>
  </si>
  <si>
    <t>2020-11-08</t>
  </si>
  <si>
    <t>2020-11-04</t>
  </si>
  <si>
    <t>2020-11-10</t>
  </si>
  <si>
    <t>2020-11-13</t>
  </si>
  <si>
    <t>2020-10-31</t>
  </si>
  <si>
    <t>2020-11-19</t>
  </si>
  <si>
    <t>2020-11-09</t>
  </si>
  <si>
    <t>2020-11-21</t>
  </si>
  <si>
    <t>2020-11-12</t>
  </si>
  <si>
    <t>2020-11-14</t>
  </si>
  <si>
    <t>2020-11-16</t>
  </si>
  <si>
    <t>2020-11-11</t>
  </si>
  <si>
    <t>2020-11-15</t>
  </si>
  <si>
    <t>2020-11-26</t>
  </si>
  <si>
    <t>2020-11-17</t>
  </si>
  <si>
    <t>2020-11-22</t>
  </si>
  <si>
    <t>2020-11-03</t>
  </si>
  <si>
    <t>2020-12-25</t>
  </si>
  <si>
    <t>2020-12-18</t>
  </si>
  <si>
    <t>2020-12-22</t>
  </si>
  <si>
    <t>2020-12-01</t>
  </si>
  <si>
    <t>2020-12-16</t>
  </si>
  <si>
    <t>2020-12-27</t>
  </si>
  <si>
    <t>2020-12-14</t>
  </si>
  <si>
    <t>2020-12-10</t>
  </si>
  <si>
    <t>2020-12-08</t>
  </si>
  <si>
    <t>2020-12-13</t>
  </si>
  <si>
    <t>2020-12-09</t>
  </si>
  <si>
    <t>2020-12-24</t>
  </si>
  <si>
    <t>2020-12-12</t>
  </si>
  <si>
    <t>2020-12-06</t>
  </si>
  <si>
    <t>2020-12-19</t>
  </si>
  <si>
    <t>2020-12-03</t>
  </si>
  <si>
    <t>2020-12-26</t>
  </si>
  <si>
    <t>2020-12-02</t>
  </si>
  <si>
    <t>2020-12-11</t>
  </si>
  <si>
    <t>2021-01-13</t>
  </si>
  <si>
    <t>2021-01-07</t>
  </si>
  <si>
    <t>2021-01-05</t>
  </si>
  <si>
    <t>2021-01-21</t>
  </si>
  <si>
    <t>2021-01-04</t>
  </si>
  <si>
    <t>2021-01-08</t>
  </si>
  <si>
    <t>2021-01-06</t>
  </si>
  <si>
    <t>2021-01-20</t>
  </si>
  <si>
    <t>2021-01-24</t>
  </si>
  <si>
    <t>2021-01-17</t>
  </si>
  <si>
    <t>2021-01-11</t>
  </si>
  <si>
    <t>2021-01-16</t>
  </si>
  <si>
    <t>2021-01-12</t>
  </si>
  <si>
    <t>2021-01-01</t>
  </si>
  <si>
    <t>2020-12-31</t>
  </si>
  <si>
    <t>2021-01-14</t>
  </si>
  <si>
    <t>2021-01-19</t>
  </si>
  <si>
    <t>2021-01-10</t>
  </si>
  <si>
    <t>2021-01-09</t>
  </si>
  <si>
    <t>2021-01-25</t>
  </si>
  <si>
    <t>2021-01-22</t>
  </si>
  <si>
    <t>2021-02-11</t>
  </si>
  <si>
    <t>2021-02-23</t>
  </si>
  <si>
    <t>2021-02-03</t>
  </si>
  <si>
    <t>2021-02-17</t>
  </si>
  <si>
    <t>2021-02-06</t>
  </si>
  <si>
    <t>2021-02-20</t>
  </si>
  <si>
    <t>2021-02-21</t>
  </si>
  <si>
    <t>2021-02-25</t>
  </si>
  <si>
    <t>2021-02-16</t>
  </si>
  <si>
    <t>2021-02-05</t>
  </si>
  <si>
    <t>2021-02-04</t>
  </si>
  <si>
    <t>2021-02-22</t>
  </si>
  <si>
    <t>2021-02-08</t>
  </si>
  <si>
    <t>2021-02-24</t>
  </si>
  <si>
    <t>2021-02-09</t>
  </si>
  <si>
    <t>2021-02-12</t>
  </si>
  <si>
    <t>2021-02-14</t>
  </si>
  <si>
    <t>2021-02-02</t>
  </si>
  <si>
    <t>2021-02-26</t>
  </si>
  <si>
    <t>2021-02-01</t>
  </si>
  <si>
    <t>2021-02-10</t>
  </si>
  <si>
    <t>2021-02-13</t>
  </si>
  <si>
    <t>2021-03-17</t>
  </si>
  <si>
    <t>2021-03-15</t>
  </si>
  <si>
    <t>2021-03-22</t>
  </si>
  <si>
    <t>2021-03-03</t>
  </si>
  <si>
    <t>2021-03-12</t>
  </si>
  <si>
    <t>2021-03-11</t>
  </si>
  <si>
    <t>2021-03-04</t>
  </si>
  <si>
    <t>2021-03-16</t>
  </si>
  <si>
    <t>2021-03-24</t>
  </si>
  <si>
    <t>2021-03-26</t>
  </si>
  <si>
    <t>2021-03-23</t>
  </si>
  <si>
    <t>2021-03-19</t>
  </si>
  <si>
    <t>2021-03-21</t>
  </si>
  <si>
    <t>2021-03-27</t>
  </si>
  <si>
    <t>2021-03-14</t>
  </si>
  <si>
    <t>2021-03-20</t>
  </si>
  <si>
    <t>2021-03-07</t>
  </si>
  <si>
    <t>2021-03-06</t>
  </si>
  <si>
    <t>2021-03-25</t>
  </si>
  <si>
    <t>2021-03-13</t>
  </si>
  <si>
    <t>2021-03-18</t>
  </si>
  <si>
    <t>2021-02-28</t>
  </si>
  <si>
    <t>2021-04-05</t>
  </si>
  <si>
    <t>2021-04-10</t>
  </si>
  <si>
    <t>2021-04-08</t>
  </si>
  <si>
    <t>2021-04-21</t>
  </si>
  <si>
    <t>2021-04-16</t>
  </si>
  <si>
    <t>2021-03-31</t>
  </si>
  <si>
    <t>2021-04-26</t>
  </si>
  <si>
    <t>2021-04-01</t>
  </si>
  <si>
    <t>2021-04-11</t>
  </si>
  <si>
    <t>2021-04-25</t>
  </si>
  <si>
    <t>2021-04-15</t>
  </si>
  <si>
    <t>2021-04-13</t>
  </si>
  <si>
    <t>2021-04-23</t>
  </si>
  <si>
    <t>2021-04-24</t>
  </si>
  <si>
    <t>2021-04-18</t>
  </si>
  <si>
    <t>2021-04-04</t>
  </si>
  <si>
    <t>2021-04-14</t>
  </si>
  <si>
    <t>2021-04-02</t>
  </si>
  <si>
    <t>2021-05-03</t>
  </si>
  <si>
    <t>2021-05-23</t>
  </si>
  <si>
    <t>2021-05-10</t>
  </si>
  <si>
    <t>2021-05-06</t>
  </si>
  <si>
    <t>2021-05-11</t>
  </si>
  <si>
    <t>2021-05-25</t>
  </si>
  <si>
    <t>2021-05-05</t>
  </si>
  <si>
    <t>2021-05-08</t>
  </si>
  <si>
    <t>2021-05-22</t>
  </si>
  <si>
    <t>2021-05-14</t>
  </si>
  <si>
    <t>2021-05-09</t>
  </si>
  <si>
    <t>2021-05-13</t>
  </si>
  <si>
    <t>2021-05-27</t>
  </si>
  <si>
    <t>2021-05-16</t>
  </si>
  <si>
    <t>2021-05-01</t>
  </si>
  <si>
    <t>2021-04-30</t>
  </si>
  <si>
    <t>2021-05-26</t>
  </si>
  <si>
    <t>2021-05-18</t>
  </si>
  <si>
    <t>2021-05-02</t>
  </si>
  <si>
    <t>2021-05-04</t>
  </si>
  <si>
    <t>2021-05-15</t>
  </si>
  <si>
    <t>2021-05-17</t>
  </si>
  <si>
    <t>2021-06-02</t>
  </si>
  <si>
    <t>2021-06-09</t>
  </si>
  <si>
    <t>2021-06-14</t>
  </si>
  <si>
    <t>2021-06-12</t>
  </si>
  <si>
    <t>2021-06-13</t>
  </si>
  <si>
    <t>2021-06-21</t>
  </si>
  <si>
    <t>2021-06-07</t>
  </si>
  <si>
    <t>2021-06-25</t>
  </si>
  <si>
    <t>2021-06-01</t>
  </si>
  <si>
    <t>2021-06-23</t>
  </si>
  <si>
    <t>2021-05-31</t>
  </si>
  <si>
    <t>2021-06-22</t>
  </si>
  <si>
    <t>2021-06-15</t>
  </si>
  <si>
    <t>2021-06-26</t>
  </si>
  <si>
    <t>2021-06-20</t>
  </si>
  <si>
    <t>2021-06-05</t>
  </si>
  <si>
    <t>2021-06-16</t>
  </si>
  <si>
    <t>2021-06-03</t>
  </si>
  <si>
    <t>2021-06-04</t>
  </si>
  <si>
    <t>2021-07-08</t>
  </si>
  <si>
    <t>2021-07-12</t>
  </si>
  <si>
    <t>2021-07-16</t>
  </si>
  <si>
    <t>2021-07-23</t>
  </si>
  <si>
    <t>2021-07-01</t>
  </si>
  <si>
    <t>2021-07-03</t>
  </si>
  <si>
    <t>2021-07-18</t>
  </si>
  <si>
    <t>2021-07-13</t>
  </si>
  <si>
    <t>2021-07-07</t>
  </si>
  <si>
    <t>2021-07-10</t>
  </si>
  <si>
    <t>2021-06-30</t>
  </si>
  <si>
    <t>2021-07-14</t>
  </si>
  <si>
    <t>2021-07-17</t>
  </si>
  <si>
    <t>2021-07-06</t>
  </si>
  <si>
    <t>2021-07-19</t>
  </si>
  <si>
    <t>2021-07-09</t>
  </si>
  <si>
    <t>2021-07-20</t>
  </si>
  <si>
    <t>2021-07-15</t>
  </si>
  <si>
    <t>2021-07-11</t>
  </si>
  <si>
    <t>2021-07-25</t>
  </si>
  <si>
    <t>2021-08-19</t>
  </si>
  <si>
    <t>2021-08-06</t>
  </si>
  <si>
    <t>2021-08-01</t>
  </si>
  <si>
    <t>2021-08-02</t>
  </si>
  <si>
    <t>2021-08-27</t>
  </si>
  <si>
    <t>2021-08-07</t>
  </si>
  <si>
    <t>2021-08-17</t>
  </si>
  <si>
    <t>2021-08-12</t>
  </si>
  <si>
    <t>2021-08-09</t>
  </si>
  <si>
    <t>2021-08-18</t>
  </si>
  <si>
    <t>2021-08-25</t>
  </si>
  <si>
    <t>2021-08-13</t>
  </si>
  <si>
    <t>2021-07-31</t>
  </si>
  <si>
    <t>2021-08-21</t>
  </si>
  <si>
    <t>2021-08-26</t>
  </si>
  <si>
    <t>2021-08-24</t>
  </si>
  <si>
    <t>2021-08-08</t>
  </si>
  <si>
    <t>2021-09-14</t>
  </si>
  <si>
    <t>2021-09-05</t>
  </si>
  <si>
    <t>2021-09-12</t>
  </si>
  <si>
    <t>2021-09-20</t>
  </si>
  <si>
    <t>2021-09-11</t>
  </si>
  <si>
    <t>2021-09-26</t>
  </si>
  <si>
    <t>2021-08-31</t>
  </si>
  <si>
    <t>2021-09-24</t>
  </si>
  <si>
    <t>2021-09-03</t>
  </si>
  <si>
    <t>2021-09-10</t>
  </si>
  <si>
    <t>2021-09-22</t>
  </si>
  <si>
    <t>2021-09-17</t>
  </si>
  <si>
    <t>2021-09-13</t>
  </si>
  <si>
    <t>2021-09-27</t>
  </si>
  <si>
    <t>2021-09-19</t>
  </si>
  <si>
    <t>2021-09-21</t>
  </si>
  <si>
    <t>2021-09-23</t>
  </si>
  <si>
    <t>2021-09-15</t>
  </si>
  <si>
    <t>2021-09-06</t>
  </si>
  <si>
    <t>2021-09-01</t>
  </si>
  <si>
    <t>2021-09-16</t>
  </si>
  <si>
    <t>2021-10-03</t>
  </si>
  <si>
    <t>2021-10-17</t>
  </si>
  <si>
    <t>2021-10-23</t>
  </si>
  <si>
    <t>2021-10-27</t>
  </si>
  <si>
    <t>2021-10-14</t>
  </si>
  <si>
    <t>2021-10-19</t>
  </si>
  <si>
    <t>2021-10-12</t>
  </si>
  <si>
    <t>2021-10-18</t>
  </si>
  <si>
    <t>2021-10-21</t>
  </si>
  <si>
    <t>2021-10-04</t>
  </si>
  <si>
    <t>2021-10-07</t>
  </si>
  <si>
    <t>2021-09-30</t>
  </si>
  <si>
    <t>2021-10-05</t>
  </si>
  <si>
    <t>2021-10-02</t>
  </si>
  <si>
    <t>2021-10-11</t>
  </si>
  <si>
    <t>2021-10-08</t>
  </si>
  <si>
    <t>2021-10-24</t>
  </si>
  <si>
    <t>2021-10-09</t>
  </si>
  <si>
    <t>2021-10-16</t>
  </si>
  <si>
    <t>2021-10-13</t>
  </si>
  <si>
    <t>2021-10-26</t>
  </si>
  <si>
    <t>2021-11-13</t>
  </si>
  <si>
    <t>2021-11-16</t>
  </si>
  <si>
    <t>2021-11-26</t>
  </si>
  <si>
    <t>2021-11-27</t>
  </si>
  <si>
    <t>2021-11-14</t>
  </si>
  <si>
    <t>2021-11-18</t>
  </si>
  <si>
    <t>2021-11-17</t>
  </si>
  <si>
    <t>2021-11-20</t>
  </si>
  <si>
    <t>2021-11-08</t>
  </si>
  <si>
    <t>2021-11-06</t>
  </si>
  <si>
    <t>2021-11-21</t>
  </si>
  <si>
    <t>2021-11-01</t>
  </si>
  <si>
    <t>2021-11-25</t>
  </si>
  <si>
    <t>2021-11-15</t>
  </si>
  <si>
    <t>2021-11-07</t>
  </si>
  <si>
    <t>2021-11-24</t>
  </si>
  <si>
    <t>2021-11-05</t>
  </si>
  <si>
    <t>2021-11-22</t>
  </si>
  <si>
    <t>2021-11-19</t>
  </si>
  <si>
    <t>2021-11-12</t>
  </si>
  <si>
    <t>2021-12-19</t>
  </si>
  <si>
    <t>2021-12-05</t>
  </si>
  <si>
    <t>2021-12-27</t>
  </si>
  <si>
    <t>2021-11-30</t>
  </si>
  <si>
    <t>2021-12-20</t>
  </si>
  <si>
    <t>2021-12-07</t>
  </si>
  <si>
    <t>2021-12-23</t>
  </si>
  <si>
    <t>2021-12-03</t>
  </si>
  <si>
    <t>2021-12-12</t>
  </si>
  <si>
    <t>2021-12-17</t>
  </si>
  <si>
    <t>2021-12-13</t>
  </si>
  <si>
    <t>2021-12-24</t>
  </si>
  <si>
    <t>2021-12-09</t>
  </si>
  <si>
    <t>2021-12-06</t>
  </si>
  <si>
    <t>2021-12-25</t>
  </si>
  <si>
    <t>2021-12-02</t>
  </si>
  <si>
    <t>2021-12-08</t>
  </si>
  <si>
    <t>2021-12-22</t>
  </si>
  <si>
    <t>2021-12-26</t>
  </si>
  <si>
    <t>2021-12-15</t>
  </si>
  <si>
    <t>2022-01-15</t>
  </si>
  <si>
    <t>2022-01-19</t>
  </si>
  <si>
    <t>2022-01-21</t>
  </si>
  <si>
    <t>2022-01-17</t>
  </si>
  <si>
    <t>2022-01-07</t>
  </si>
  <si>
    <t>2022-01-10</t>
  </si>
  <si>
    <t>2022-01-14</t>
  </si>
  <si>
    <t>2022-01-02</t>
  </si>
  <si>
    <t>2022-01-05</t>
  </si>
  <si>
    <t>2022-01-01</t>
  </si>
  <si>
    <t>2022-01-24</t>
  </si>
  <si>
    <t>2022-01-11</t>
  </si>
  <si>
    <t>2022-01-26</t>
  </si>
  <si>
    <t>2021-12-31</t>
  </si>
  <si>
    <t>2022-01-25</t>
  </si>
  <si>
    <t>2022-01-03</t>
  </si>
  <si>
    <t>2022-01-13</t>
  </si>
  <si>
    <t>2022-01-06</t>
  </si>
  <si>
    <t>2022-01-04</t>
  </si>
  <si>
    <t>2022-02-23</t>
  </si>
  <si>
    <t>2022-02-10</t>
  </si>
  <si>
    <t>2022-02-11</t>
  </si>
  <si>
    <t>2022-02-21</t>
  </si>
  <si>
    <t>2022-02-22</t>
  </si>
  <si>
    <t>2022-02-01</t>
  </si>
  <si>
    <t>2022-02-02</t>
  </si>
  <si>
    <t>2022-02-03</t>
  </si>
  <si>
    <t>2022-02-20</t>
  </si>
  <si>
    <t>2022-02-13</t>
  </si>
  <si>
    <t>2022-02-26</t>
  </si>
  <si>
    <t>2022-02-25</t>
  </si>
  <si>
    <t>2022-01-31</t>
  </si>
  <si>
    <t>2022-02-05</t>
  </si>
  <si>
    <t>2022-02-04</t>
  </si>
  <si>
    <t>2022-02-07</t>
  </si>
  <si>
    <t>2022-02-12</t>
  </si>
  <si>
    <t>2022-02-16</t>
  </si>
  <si>
    <t>2022-02-18</t>
  </si>
  <si>
    <t>2022-02-09</t>
  </si>
  <si>
    <t>2022-02-15</t>
  </si>
  <si>
    <t>2022-02-14</t>
  </si>
  <si>
    <t>2022-03-10</t>
  </si>
  <si>
    <t>2022-03-07</t>
  </si>
  <si>
    <t>2022-03-27</t>
  </si>
  <si>
    <t>2022-03-25</t>
  </si>
  <si>
    <t>2022-03-13</t>
  </si>
  <si>
    <t>2022-03-11</t>
  </si>
  <si>
    <t>2022-03-22</t>
  </si>
  <si>
    <t>2022-03-24</t>
  </si>
  <si>
    <t>2022-03-12</t>
  </si>
  <si>
    <t>2022-03-08</t>
  </si>
  <si>
    <t>2022-03-18</t>
  </si>
  <si>
    <t>2022-03-26</t>
  </si>
  <si>
    <t>2022-03-03</t>
  </si>
  <si>
    <t>2022-03-02</t>
  </si>
  <si>
    <t>2022-03-01</t>
  </si>
  <si>
    <t>2022-03-21</t>
  </si>
  <si>
    <t>2022-03-04</t>
  </si>
  <si>
    <t>2022-03-15</t>
  </si>
  <si>
    <t>2022-03-14</t>
  </si>
  <si>
    <t>2022-03-19</t>
  </si>
  <si>
    <t>2022-04-12</t>
  </si>
  <si>
    <t>2022-04-21</t>
  </si>
  <si>
    <t>2022-04-18</t>
  </si>
  <si>
    <t>2022-04-13</t>
  </si>
  <si>
    <t>2022-04-24</t>
  </si>
  <si>
    <t>2022-04-25</t>
  </si>
  <si>
    <t>2022-04-09</t>
  </si>
  <si>
    <t>2022-04-06</t>
  </si>
  <si>
    <t>2022-04-10</t>
  </si>
  <si>
    <t>2022-04-22</t>
  </si>
  <si>
    <t>2022-04-04</t>
  </si>
  <si>
    <t>2022-04-16</t>
  </si>
  <si>
    <t>2022-04-07</t>
  </si>
  <si>
    <t>2022-04-17</t>
  </si>
  <si>
    <t>2022-04-01</t>
  </si>
  <si>
    <t>2022-04-19</t>
  </si>
  <si>
    <t>2022-04-14</t>
  </si>
  <si>
    <t>2022-04-11</t>
  </si>
  <si>
    <t>2022-04-05</t>
  </si>
  <si>
    <t>2022-04-15</t>
  </si>
  <si>
    <t>2022-04-27</t>
  </si>
  <si>
    <t>2022-05-23</t>
  </si>
  <si>
    <t>2022-05-15</t>
  </si>
  <si>
    <t>2022-05-25</t>
  </si>
  <si>
    <t>2022-05-27</t>
  </si>
  <si>
    <t>2022-05-03</t>
  </si>
  <si>
    <t>2022-05-05</t>
  </si>
  <si>
    <t>2022-05-06</t>
  </si>
  <si>
    <t>2022-05-11</t>
  </si>
  <si>
    <t>2022-05-01</t>
  </si>
  <si>
    <t>2022-05-09</t>
  </si>
  <si>
    <t>2022-05-24</t>
  </si>
  <si>
    <t>2022-05-13</t>
  </si>
  <si>
    <t>2022-05-19</t>
  </si>
  <si>
    <t>2022-05-14</t>
  </si>
  <si>
    <t>2022-05-10</t>
  </si>
  <si>
    <t>2022-05-22</t>
  </si>
  <si>
    <t>2022-05-04</t>
  </si>
  <si>
    <t>2022-05-26</t>
  </si>
  <si>
    <t>2022-05-20</t>
  </si>
  <si>
    <t>2022-06-13</t>
  </si>
  <si>
    <t>2022-06-03</t>
  </si>
  <si>
    <t>2022-06-27</t>
  </si>
  <si>
    <t>2022-06-12</t>
  </si>
  <si>
    <t>2022-06-21</t>
  </si>
  <si>
    <t>2022-05-31</t>
  </si>
  <si>
    <t>2022-06-08</t>
  </si>
  <si>
    <t>2022-06-09</t>
  </si>
  <si>
    <t>2022-06-05</t>
  </si>
  <si>
    <t>2022-06-07</t>
  </si>
  <si>
    <t>2022-06-02</t>
  </si>
  <si>
    <t>2022-06-14</t>
  </si>
  <si>
    <t>2022-06-25</t>
  </si>
  <si>
    <t>2022-06-06</t>
  </si>
  <si>
    <t>2022-06-26</t>
  </si>
  <si>
    <t>2022-06-11</t>
  </si>
  <si>
    <t>2022-06-22</t>
  </si>
  <si>
    <t>2022-06-24</t>
  </si>
  <si>
    <t>2022-06-19</t>
  </si>
  <si>
    <t>2022-06-15</t>
  </si>
  <si>
    <t>2022-06-16</t>
  </si>
  <si>
    <t>2022-06-17</t>
  </si>
  <si>
    <t>2022-07-14</t>
  </si>
  <si>
    <t>2022-07-25</t>
  </si>
  <si>
    <t>2022-07-05</t>
  </si>
  <si>
    <t>2022-06-30</t>
  </si>
  <si>
    <t>2022-07-08</t>
  </si>
  <si>
    <t>2022-07-11</t>
  </si>
  <si>
    <t>2022-07-20</t>
  </si>
  <si>
    <t>2022-07-07</t>
  </si>
  <si>
    <t>2022-07-22</t>
  </si>
  <si>
    <t>2022-07-10</t>
  </si>
  <si>
    <t>2022-07-15</t>
  </si>
  <si>
    <t>2022-07-17</t>
  </si>
  <si>
    <t>2022-07-03</t>
  </si>
  <si>
    <t>2022-07-01</t>
  </si>
  <si>
    <t>2022-07-12</t>
  </si>
  <si>
    <t>2022-07-26</t>
  </si>
  <si>
    <t>2022-07-19</t>
  </si>
  <si>
    <t>2022-07-21</t>
  </si>
  <si>
    <t>2022-08-03</t>
  </si>
  <si>
    <t>2022-08-09</t>
  </si>
  <si>
    <t>2022-08-23</t>
  </si>
  <si>
    <t>2022-08-02</t>
  </si>
  <si>
    <t>2022-08-25</t>
  </si>
  <si>
    <t>2022-08-12</t>
  </si>
  <si>
    <t>2022-08-06</t>
  </si>
  <si>
    <t>2022-08-26</t>
  </si>
  <si>
    <t>2022-08-22</t>
  </si>
  <si>
    <t>2022-08-08</t>
  </si>
  <si>
    <t>2022-08-11</t>
  </si>
  <si>
    <t>2022-08-04</t>
  </si>
  <si>
    <t>2022-08-20</t>
  </si>
  <si>
    <t>2022-08-21</t>
  </si>
  <si>
    <t>2022-08-17</t>
  </si>
  <si>
    <t>2022-08-05</t>
  </si>
  <si>
    <t>2022-09-05</t>
  </si>
  <si>
    <t>2022-09-08</t>
  </si>
  <si>
    <t>2022-09-19</t>
  </si>
  <si>
    <t>2022-09-27</t>
  </si>
  <si>
    <t>2022-09-24</t>
  </si>
  <si>
    <t>2022-09-02</t>
  </si>
  <si>
    <t>2022-09-01</t>
  </si>
  <si>
    <t>2022-09-03</t>
  </si>
  <si>
    <t>2022-09-07</t>
  </si>
  <si>
    <t>2022-08-31</t>
  </si>
  <si>
    <t>2022-09-25</t>
  </si>
  <si>
    <t>2022-09-26</t>
  </si>
  <si>
    <t>2022-09-20</t>
  </si>
  <si>
    <t>2022-09-15</t>
  </si>
  <si>
    <t>2022-09-06</t>
  </si>
  <si>
    <t>2022-09-18</t>
  </si>
  <si>
    <t>2022-09-12</t>
  </si>
  <si>
    <t>2022-09-21</t>
  </si>
  <si>
    <t>2022-09-14</t>
  </si>
  <si>
    <t>2022-09-11</t>
  </si>
  <si>
    <t>2022-09-10</t>
  </si>
  <si>
    <t>2022-09-23</t>
  </si>
  <si>
    <t>2022-09-16</t>
  </si>
  <si>
    <t>2022-10-06</t>
  </si>
  <si>
    <t>2022-10-26</t>
  </si>
  <si>
    <t>2022-09-30</t>
  </si>
  <si>
    <t>2022-10-07</t>
  </si>
  <si>
    <t>2022-10-01</t>
  </si>
  <si>
    <t>2022-10-08</t>
  </si>
  <si>
    <t>2022-10-02</t>
  </si>
  <si>
    <t>2022-10-14</t>
  </si>
  <si>
    <t>2022-10-18</t>
  </si>
  <si>
    <t>2022-10-09</t>
  </si>
  <si>
    <t>2022-10-24</t>
  </si>
  <si>
    <t>2022-10-05</t>
  </si>
  <si>
    <t>2022-10-23</t>
  </si>
  <si>
    <t>2022-10-16</t>
  </si>
  <si>
    <t>2022-10-12</t>
  </si>
  <si>
    <t>2022-10-21</t>
  </si>
  <si>
    <t>2022-10-27</t>
  </si>
  <si>
    <t>2022-10-10</t>
  </si>
  <si>
    <t>2022-10-03</t>
  </si>
  <si>
    <t>2022-10-19</t>
  </si>
  <si>
    <t>2022-11-11</t>
  </si>
  <si>
    <t>2022-11-05</t>
  </si>
  <si>
    <t>2022-11-17</t>
  </si>
  <si>
    <t>2022-11-20</t>
  </si>
  <si>
    <t>2022-11-23</t>
  </si>
  <si>
    <t>2022-11-01</t>
  </si>
  <si>
    <t>2022-11-13</t>
  </si>
  <si>
    <t>2022-11-04</t>
  </si>
  <si>
    <t>2022-11-25</t>
  </si>
  <si>
    <t>2022-11-14</t>
  </si>
  <si>
    <t>2022-11-27</t>
  </si>
  <si>
    <t>2022-11-18</t>
  </si>
  <si>
    <t>2022-11-08</t>
  </si>
  <si>
    <t>2022-10-31</t>
  </si>
  <si>
    <t>2022-11-26</t>
  </si>
  <si>
    <t>2022-11-03</t>
  </si>
  <si>
    <t>2022-11-10</t>
  </si>
  <si>
    <t>2022-11-07</t>
  </si>
  <si>
    <t>2022-11-15</t>
  </si>
  <si>
    <t>2022-11-06</t>
  </si>
  <si>
    <t>2022-11-12</t>
  </si>
  <si>
    <t>2022-12-17</t>
  </si>
  <si>
    <t>2022-12-12</t>
  </si>
  <si>
    <t>2022-12-13</t>
  </si>
  <si>
    <t>2022-12-20</t>
  </si>
  <si>
    <t>2022-12-06</t>
  </si>
  <si>
    <t>2022-11-30</t>
  </si>
  <si>
    <t>2022-12-24</t>
  </si>
  <si>
    <t>2022-12-27</t>
  </si>
  <si>
    <t>2022-12-09</t>
  </si>
  <si>
    <t>2022-12-19</t>
  </si>
  <si>
    <t>2022-12-04</t>
  </si>
  <si>
    <t>2022-12-03</t>
  </si>
  <si>
    <t>2022-12-07</t>
  </si>
  <si>
    <t>2022-12-23</t>
  </si>
  <si>
    <t>2022-12-05</t>
  </si>
  <si>
    <t>2022-12-11</t>
  </si>
  <si>
    <t>2022-12-08</t>
  </si>
  <si>
    <t>2022-12-26</t>
  </si>
  <si>
    <t>2022-12-02</t>
  </si>
  <si>
    <t>2022-12-16</t>
  </si>
  <si>
    <t>2022-12-01</t>
  </si>
  <si>
    <t>2022-12-18</t>
  </si>
  <si>
    <t>2023-01-24</t>
  </si>
  <si>
    <t>2023-01-12</t>
  </si>
  <si>
    <t>2023-01-15</t>
  </si>
  <si>
    <t>2023-01-07</t>
  </si>
  <si>
    <t>2023-01-20</t>
  </si>
  <si>
    <t>2023-01-22</t>
  </si>
  <si>
    <t>2023-01-01</t>
  </si>
  <si>
    <t>2022-12-31</t>
  </si>
  <si>
    <t>2023-01-11</t>
  </si>
  <si>
    <t>2023-01-03</t>
  </si>
  <si>
    <t>2023-01-04</t>
  </si>
  <si>
    <t>2023-01-05</t>
  </si>
  <si>
    <t>2023-01-08</t>
  </si>
  <si>
    <t>2023-01-23</t>
  </si>
  <si>
    <t>2023-01-13</t>
  </si>
  <si>
    <t>2023-01-14</t>
  </si>
  <si>
    <t>2023-01-06</t>
  </si>
  <si>
    <t>2023-01-18</t>
  </si>
  <si>
    <t>2023-01-21</t>
  </si>
  <si>
    <t>2023-01-27</t>
  </si>
  <si>
    <t>2023-01-26</t>
  </si>
  <si>
    <t>2023-01-02</t>
  </si>
  <si>
    <t>2023-02-23</t>
  </si>
  <si>
    <t>2023-02-24</t>
  </si>
  <si>
    <t>2023-02-08</t>
  </si>
  <si>
    <t>2023-02-27</t>
  </si>
  <si>
    <t>2023-02-02</t>
  </si>
  <si>
    <t>2023-02-12</t>
  </si>
  <si>
    <t>2023-01-31</t>
  </si>
  <si>
    <t>2023-02-16</t>
  </si>
  <si>
    <t>2023-02-07</t>
  </si>
  <si>
    <t>2023-02-05</t>
  </si>
  <si>
    <t>2023-02-20</t>
  </si>
  <si>
    <t>2023-02-06</t>
  </si>
  <si>
    <t>2023-02-01</t>
  </si>
  <si>
    <t>2023-02-11</t>
  </si>
  <si>
    <t>2023-02-10</t>
  </si>
  <si>
    <t>2023-02-14</t>
  </si>
  <si>
    <t>2023-02-22</t>
  </si>
  <si>
    <t>2023-02-18</t>
  </si>
  <si>
    <t>2023-02-09</t>
  </si>
  <si>
    <t>2023-03-20</t>
  </si>
  <si>
    <t>2023-03-24</t>
  </si>
  <si>
    <t>2023-03-05</t>
  </si>
  <si>
    <t>2023-03-27</t>
  </si>
  <si>
    <t>2023-03-08</t>
  </si>
  <si>
    <t>2023-03-12</t>
  </si>
  <si>
    <t>2023-03-11</t>
  </si>
  <si>
    <t>2023-03-25</t>
  </si>
  <si>
    <t>2023-03-07</t>
  </si>
  <si>
    <t>2023-03-17</t>
  </si>
  <si>
    <t>2023-03-02</t>
  </si>
  <si>
    <t>2023-03-06</t>
  </si>
  <si>
    <t>2023-03-14</t>
  </si>
  <si>
    <t>2023-03-13</t>
  </si>
  <si>
    <t>2023-03-15</t>
  </si>
  <si>
    <t>2023-02-28</t>
  </si>
  <si>
    <t>2023-03-16</t>
  </si>
  <si>
    <t>2023-03-22</t>
  </si>
  <si>
    <t>2023-03-23</t>
  </si>
  <si>
    <t>2023-03-26</t>
  </si>
  <si>
    <t>2023-03-10</t>
  </si>
  <si>
    <t>2023-03-01</t>
  </si>
  <si>
    <t>2023-03-09</t>
  </si>
  <si>
    <t>2023-03-04</t>
  </si>
  <si>
    <t>2023-04-16</t>
  </si>
  <si>
    <t>2023-03-31</t>
  </si>
  <si>
    <t>2023-04-18</t>
  </si>
  <si>
    <t>2023-04-15</t>
  </si>
  <si>
    <t>2023-04-14</t>
  </si>
  <si>
    <t>2023-04-19</t>
  </si>
  <si>
    <t>2023-04-25</t>
  </si>
  <si>
    <t>2023-04-27</t>
  </si>
  <si>
    <t>2023-04-12</t>
  </si>
  <si>
    <t>2023-04-04</t>
  </si>
  <si>
    <t>2023-04-06</t>
  </si>
  <si>
    <t>2023-04-02</t>
  </si>
  <si>
    <t>2023-04-11</t>
  </si>
  <si>
    <t>2023-04-08</t>
  </si>
  <si>
    <t>2023-04-10</t>
  </si>
  <si>
    <t>2023-04-23</t>
  </si>
  <si>
    <t>2023-04-21</t>
  </si>
  <si>
    <t>2023-04-26</t>
  </si>
  <si>
    <t>2023-05-08</t>
  </si>
  <si>
    <t>2023-05-14</t>
  </si>
  <si>
    <t>2023-05-19</t>
  </si>
  <si>
    <t>2023-05-21</t>
  </si>
  <si>
    <t>2023-05-11</t>
  </si>
  <si>
    <t>2023-05-26</t>
  </si>
  <si>
    <t>2023-04-30</t>
  </si>
  <si>
    <t>2023-05-04</t>
  </si>
  <si>
    <t>2023-05-27</t>
  </si>
  <si>
    <t>2023-05-24</t>
  </si>
  <si>
    <t>2023-05-02</t>
  </si>
  <si>
    <t>2023-05-23</t>
  </si>
  <si>
    <t>2023-05-03</t>
  </si>
  <si>
    <t>2023-05-18</t>
  </si>
  <si>
    <t>2023-05-06</t>
  </si>
  <si>
    <t>2023-05-07</t>
  </si>
  <si>
    <t>2023-05-09</t>
  </si>
  <si>
    <t>2023-05-17</t>
  </si>
  <si>
    <t>2023-06-20</t>
  </si>
  <si>
    <t>2023-06-13</t>
  </si>
  <si>
    <t>2023-06-22</t>
  </si>
  <si>
    <t>2023-06-10</t>
  </si>
  <si>
    <t>2023-06-15</t>
  </si>
  <si>
    <t>2023-06-02</t>
  </si>
  <si>
    <t>2023-06-16</t>
  </si>
  <si>
    <t>2023-06-12</t>
  </si>
  <si>
    <t>2023-06-01</t>
  </si>
  <si>
    <t>2023-06-05</t>
  </si>
  <si>
    <t>2023-06-14</t>
  </si>
  <si>
    <t>2023-06-27</t>
  </si>
  <si>
    <t>2023-06-18</t>
  </si>
  <si>
    <t>2023-06-03</t>
  </si>
  <si>
    <t>2023-06-04</t>
  </si>
  <si>
    <t>2023-06-07</t>
  </si>
  <si>
    <t>2023-05-31</t>
  </si>
  <si>
    <t>2023-06-19</t>
  </si>
  <si>
    <t>2023-06-24</t>
  </si>
  <si>
    <t>2023-07-11</t>
  </si>
  <si>
    <t>2023-07-20</t>
  </si>
  <si>
    <t>2023-07-22</t>
  </si>
  <si>
    <t>2023-07-27</t>
  </si>
  <si>
    <t>2023-07-19</t>
  </si>
  <si>
    <t>2023-07-05</t>
  </si>
  <si>
    <t>2023-07-06</t>
  </si>
  <si>
    <t>2023-07-09</t>
  </si>
  <si>
    <t>2023-07-02</t>
  </si>
  <si>
    <t>2023-07-08</t>
  </si>
  <si>
    <t>2023-07-01</t>
  </si>
  <si>
    <t>2023-07-23</t>
  </si>
  <si>
    <t>2023-07-03</t>
  </si>
  <si>
    <t>2023-07-12</t>
  </si>
  <si>
    <t>2023-07-04</t>
  </si>
  <si>
    <t>2023-06-30</t>
  </si>
  <si>
    <t>2023-07-21</t>
  </si>
  <si>
    <t>2023-08-02</t>
  </si>
  <si>
    <t>2023-08-20</t>
  </si>
  <si>
    <t>2023-08-09</t>
  </si>
  <si>
    <t>2023-08-21</t>
  </si>
  <si>
    <t>2023-08-26</t>
  </si>
  <si>
    <t>2023-08-22</t>
  </si>
  <si>
    <t>2023-08-01</t>
  </si>
  <si>
    <t>2023-08-23</t>
  </si>
  <si>
    <t>2023-08-07</t>
  </si>
  <si>
    <t>2023-08-19</t>
  </si>
  <si>
    <t>2023-08-08</t>
  </si>
  <si>
    <t>2023-08-17</t>
  </si>
  <si>
    <t>2023-08-05</t>
  </si>
  <si>
    <t>2023-08-18</t>
  </si>
  <si>
    <t>2023-08-15</t>
  </si>
  <si>
    <t>2023-08-14</t>
  </si>
  <si>
    <t>2023-08-06</t>
  </si>
  <si>
    <t>2023-08-16</t>
  </si>
  <si>
    <t>2023-08-12</t>
  </si>
  <si>
    <t>2023-08-24</t>
  </si>
  <si>
    <t>2023-08-11</t>
  </si>
  <si>
    <t>2023-09-13</t>
  </si>
  <si>
    <t>2023-09-18</t>
  </si>
  <si>
    <t>2023-09-23</t>
  </si>
  <si>
    <t>2023-09-26</t>
  </si>
  <si>
    <t>2023-09-19</t>
  </si>
  <si>
    <t>2023-09-21</t>
  </si>
  <si>
    <t>2023-09-27</t>
  </si>
  <si>
    <t>2023-08-31</t>
  </si>
  <si>
    <t>2023-09-02</t>
  </si>
  <si>
    <t>2023-09-22</t>
  </si>
  <si>
    <t>2023-09-08</t>
  </si>
  <si>
    <t>2023-09-15</t>
  </si>
  <si>
    <t>2023-09-09</t>
  </si>
  <si>
    <t>2023-09-03</t>
  </si>
  <si>
    <t>2023-09-10</t>
  </si>
  <si>
    <t>2023-09-05</t>
  </si>
  <si>
    <t>2023-09-20</t>
  </si>
  <si>
    <t>2023-09-14</t>
  </si>
  <si>
    <t>2023-10-26</t>
  </si>
  <si>
    <t>2023-10-08</t>
  </si>
  <si>
    <t>2023-10-12</t>
  </si>
  <si>
    <t>2023-10-06</t>
  </si>
  <si>
    <t>2023-10-09</t>
  </si>
  <si>
    <t>2023-10-11</t>
  </si>
  <si>
    <t>2023-10-13</t>
  </si>
  <si>
    <t>2023-10-18</t>
  </si>
  <si>
    <t>2023-10-22</t>
  </si>
  <si>
    <t>2023-10-02</t>
  </si>
  <si>
    <t>2023-10-03</t>
  </si>
  <si>
    <t>2023-10-23</t>
  </si>
  <si>
    <t>2023-09-30</t>
  </si>
  <si>
    <t>2023-10-05</t>
  </si>
  <si>
    <t>2023-10-24</t>
  </si>
  <si>
    <t>2023-10-07</t>
  </si>
  <si>
    <t>2023-10-20</t>
  </si>
  <si>
    <t>2023-10-27</t>
  </si>
  <si>
    <t>2023-10-15</t>
  </si>
  <si>
    <t>2023-10-21</t>
  </si>
  <si>
    <t>2023-11-21</t>
  </si>
  <si>
    <t>2023-11-02</t>
  </si>
  <si>
    <t>2023-11-08</t>
  </si>
  <si>
    <t>2023-11-05</t>
  </si>
  <si>
    <t>2023-11-11</t>
  </si>
  <si>
    <t>2023-11-03</t>
  </si>
  <si>
    <t>2023-11-01</t>
  </si>
  <si>
    <t>2023-11-26</t>
  </si>
  <si>
    <t>2023-11-14</t>
  </si>
  <si>
    <t>2023-11-06</t>
  </si>
  <si>
    <t>2023-11-19</t>
  </si>
  <si>
    <t>2023-11-04</t>
  </si>
  <si>
    <t>2023-11-23</t>
  </si>
  <si>
    <t>2023-11-10</t>
  </si>
  <si>
    <t>2023-11-15</t>
  </si>
  <si>
    <t>2023-11-27</t>
  </si>
  <si>
    <t>2023-11-12</t>
  </si>
  <si>
    <t>2023-11-07</t>
  </si>
  <si>
    <t>2023-11-13</t>
  </si>
  <si>
    <t>2023-11-18</t>
  </si>
  <si>
    <t>2023-11-24</t>
  </si>
  <si>
    <t>2023-12-21</t>
  </si>
  <si>
    <t>2023-12-25</t>
  </si>
  <si>
    <t>2023-12-05</t>
  </si>
  <si>
    <t>2023-12-02</t>
  </si>
  <si>
    <t>2023-12-20</t>
  </si>
  <si>
    <t>2023-12-12</t>
  </si>
  <si>
    <t>2023-12-01</t>
  </si>
  <si>
    <t>2023-12-18</t>
  </si>
  <si>
    <t>2023-12-04</t>
  </si>
  <si>
    <t>2023-12-26</t>
  </si>
  <si>
    <t>2023-12-27</t>
  </si>
  <si>
    <t>2023-11-30</t>
  </si>
  <si>
    <t>2023-12-10</t>
  </si>
  <si>
    <t>2023-12-14</t>
  </si>
  <si>
    <t>2023-12-06</t>
  </si>
  <si>
    <t>2023-12-03</t>
  </si>
  <si>
    <t>2023-12-23</t>
  </si>
  <si>
    <t>2023-12-19</t>
  </si>
  <si>
    <t>2023-12-07</t>
  </si>
  <si>
    <t>2023-12-15</t>
  </si>
  <si>
    <t>2023-12-24</t>
  </si>
  <si>
    <t>2024-01-12</t>
  </si>
  <si>
    <t>2024-01-24</t>
  </si>
  <si>
    <t>2024-01-02</t>
  </si>
  <si>
    <t>2024-01-22</t>
  </si>
  <si>
    <t>2024-01-17</t>
  </si>
  <si>
    <t>2024-01-01</t>
  </si>
  <si>
    <t>2024-01-09</t>
  </si>
  <si>
    <t>2023-12-31</t>
  </si>
  <si>
    <t>2024-01-13</t>
  </si>
  <si>
    <t>2024-01-16</t>
  </si>
  <si>
    <t>2024-01-20</t>
  </si>
  <si>
    <t>2024-01-18</t>
  </si>
  <si>
    <t>2024-01-07</t>
  </si>
  <si>
    <t>2024-01-08</t>
  </si>
  <si>
    <t>2024-01-23</t>
  </si>
  <si>
    <t>2024-01-25</t>
  </si>
  <si>
    <t>2024-01-26</t>
  </si>
  <si>
    <t>2024-01-03</t>
  </si>
  <si>
    <t>2024-01-27</t>
  </si>
  <si>
    <t>2024-02-16</t>
  </si>
  <si>
    <t>2024-02-21</t>
  </si>
  <si>
    <t>2024-02-01</t>
  </si>
  <si>
    <t>2024-02-12</t>
  </si>
  <si>
    <t>2024-02-20</t>
  </si>
  <si>
    <t>2024-02-07</t>
  </si>
  <si>
    <t>2024-02-04</t>
  </si>
  <si>
    <t>2024-02-10</t>
  </si>
  <si>
    <t>2024-02-14</t>
  </si>
  <si>
    <t>2024-02-09</t>
  </si>
  <si>
    <t>2024-02-08</t>
  </si>
  <si>
    <t>2024-02-15</t>
  </si>
  <si>
    <t>2024-02-17</t>
  </si>
  <si>
    <t>2024-02-03</t>
  </si>
  <si>
    <t>2024-02-06</t>
  </si>
  <si>
    <t>2024-02-13</t>
  </si>
  <si>
    <t>2024-02-02</t>
  </si>
  <si>
    <t>2024-02-22</t>
  </si>
  <si>
    <t>2024-02-11</t>
  </si>
  <si>
    <t>2024-03-14</t>
  </si>
  <si>
    <t>2024-03-26</t>
  </si>
  <si>
    <t>2024-03-21</t>
  </si>
  <si>
    <t>2024-03-10</t>
  </si>
  <si>
    <t>2024-03-08</t>
  </si>
  <si>
    <t>2024-03-18</t>
  </si>
  <si>
    <t>2024-03-05</t>
  </si>
  <si>
    <t>2024-03-19</t>
  </si>
  <si>
    <t>2024-03-01</t>
  </si>
  <si>
    <t>2024-03-06</t>
  </si>
  <si>
    <t>2024-03-24</t>
  </si>
  <si>
    <t>2024-03-16</t>
  </si>
  <si>
    <t>2024-03-11</t>
  </si>
  <si>
    <t>2024-03-02</t>
  </si>
  <si>
    <t>2024-03-13</t>
  </si>
  <si>
    <t>2024-03-22</t>
  </si>
  <si>
    <t>2024-03-04</t>
  </si>
  <si>
    <t>2024-03-12</t>
  </si>
  <si>
    <t>2024-04-14</t>
  </si>
  <si>
    <t>2024-04-24</t>
  </si>
  <si>
    <t>2024-04-10</t>
  </si>
  <si>
    <t>2024-04-01</t>
  </si>
  <si>
    <t>2024-04-15</t>
  </si>
  <si>
    <t>2024-04-11</t>
  </si>
  <si>
    <t>2024-04-06</t>
  </si>
  <si>
    <t>2024-04-19</t>
  </si>
  <si>
    <t>2024-04-09</t>
  </si>
  <si>
    <t>2024-04-20</t>
  </si>
  <si>
    <t>2024-04-22</t>
  </si>
  <si>
    <t>2024-04-05</t>
  </si>
  <si>
    <t>2024-04-07</t>
  </si>
  <si>
    <t>2024-04-04</t>
  </si>
  <si>
    <t>2024-04-26</t>
  </si>
  <si>
    <t>2024-04-23</t>
  </si>
  <si>
    <t>2024-04-17</t>
  </si>
  <si>
    <t>2024-04-16</t>
  </si>
  <si>
    <t>2024-04-27</t>
  </si>
  <si>
    <t>2024-04-12</t>
  </si>
  <si>
    <t>2024-04-03</t>
  </si>
  <si>
    <t>2024-05-20</t>
  </si>
  <si>
    <t>2024-05-26</t>
  </si>
  <si>
    <t>2024-05-11</t>
  </si>
  <si>
    <t>2024-05-23</t>
  </si>
  <si>
    <t>2024-05-27</t>
  </si>
  <si>
    <t>2024-05-25</t>
  </si>
  <si>
    <t>2024-05-04</t>
  </si>
  <si>
    <t>2024-04-30</t>
  </si>
  <si>
    <t>2024-05-03</t>
  </si>
  <si>
    <t>2024-05-01</t>
  </si>
  <si>
    <t>2024-05-18</t>
  </si>
  <si>
    <t>2024-05-02</t>
  </si>
  <si>
    <t>2024-05-08</t>
  </si>
  <si>
    <t>2024-05-24</t>
  </si>
  <si>
    <t>2024-05-05</t>
  </si>
  <si>
    <t>2024-05-22</t>
  </si>
  <si>
    <t>2024-05-19</t>
  </si>
  <si>
    <t>2024-06-09</t>
  </si>
  <si>
    <t>2024-06-02</t>
  </si>
  <si>
    <t>2024-06-26</t>
  </si>
  <si>
    <t>2024-06-01</t>
  </si>
  <si>
    <t>2024-06-13</t>
  </si>
  <si>
    <t>2024-06-24</t>
  </si>
  <si>
    <t>2024-06-05</t>
  </si>
  <si>
    <t>2024-06-03</t>
  </si>
  <si>
    <t>2024-06-15</t>
  </si>
  <si>
    <t>2024-06-11</t>
  </si>
  <si>
    <t>2024-06-23</t>
  </si>
  <si>
    <t>2024-06-22</t>
  </si>
  <si>
    <t>2024-05-31</t>
  </si>
  <si>
    <t>2024-06-04</t>
  </si>
  <si>
    <t>2024-06-10</t>
  </si>
  <si>
    <t>2024-06-19</t>
  </si>
  <si>
    <t>2024-06-27</t>
  </si>
  <si>
    <t>2024-06-07</t>
  </si>
  <si>
    <t>2024-06-08</t>
  </si>
  <si>
    <t>2024-06-17</t>
  </si>
  <si>
    <t>2024-07-20</t>
  </si>
  <si>
    <t>2024-07-24</t>
  </si>
  <si>
    <t>2024-07-16</t>
  </si>
  <si>
    <t>2024-07-17</t>
  </si>
  <si>
    <t>2024-06-30</t>
  </si>
  <si>
    <t>2024-07-26</t>
  </si>
  <si>
    <t>2024-07-01</t>
  </si>
  <si>
    <t>2024-07-07</t>
  </si>
  <si>
    <t>2024-07-23</t>
  </si>
  <si>
    <t>2024-07-12</t>
  </si>
  <si>
    <t>2024-07-05</t>
  </si>
  <si>
    <t>2024-07-09</t>
  </si>
  <si>
    <t>2024-07-15</t>
  </si>
  <si>
    <t>2024-07-13</t>
  </si>
  <si>
    <t>2024-07-18</t>
  </si>
  <si>
    <t>2024-07-06</t>
  </si>
  <si>
    <t>2024-07-08</t>
  </si>
  <si>
    <t>2024-07-04</t>
  </si>
  <si>
    <t>2024-07-22</t>
  </si>
  <si>
    <t>2024-08-05</t>
  </si>
  <si>
    <t>2024-08-18</t>
  </si>
  <si>
    <t>2024-08-01</t>
  </si>
  <si>
    <t>2024-08-09</t>
  </si>
  <si>
    <t>2024-08-27</t>
  </si>
  <si>
    <t>2024-08-12</t>
  </si>
  <si>
    <t>2024-08-04</t>
  </si>
  <si>
    <t>2024-08-24</t>
  </si>
  <si>
    <t>2024-08-14</t>
  </si>
  <si>
    <t>2024-08-08</t>
  </si>
  <si>
    <t>2024-08-17</t>
  </si>
  <si>
    <t>2024-08-16</t>
  </si>
  <si>
    <t>2024-08-23</t>
  </si>
  <si>
    <t>2024-08-13</t>
  </si>
  <si>
    <t>2024-08-02</t>
  </si>
  <si>
    <t>2024-08-10</t>
  </si>
  <si>
    <t>2024-08-15</t>
  </si>
  <si>
    <t>2024-08-19</t>
  </si>
  <si>
    <t>2024-08-20</t>
  </si>
  <si>
    <t>2024-08-26</t>
  </si>
  <si>
    <t>2024-09-26</t>
  </si>
  <si>
    <t>2024-09-04</t>
  </si>
  <si>
    <t>2024-09-07</t>
  </si>
  <si>
    <t>2024-09-16</t>
  </si>
  <si>
    <t>2024-09-20</t>
  </si>
  <si>
    <t>2024-09-10</t>
  </si>
  <si>
    <t>2024-09-13</t>
  </si>
  <si>
    <t>2024-09-14</t>
  </si>
  <si>
    <t>2024-09-11</t>
  </si>
  <si>
    <t>2024-09-15</t>
  </si>
  <si>
    <t>2024-09-22</t>
  </si>
  <si>
    <t>2024-09-19</t>
  </si>
  <si>
    <t>2024-09-23</t>
  </si>
  <si>
    <t>2024-09-06</t>
  </si>
  <si>
    <t>2024-09-09</t>
  </si>
  <si>
    <t>2024-09-18</t>
  </si>
  <si>
    <t>2024-09-05</t>
  </si>
  <si>
    <t>2024-09-24</t>
  </si>
  <si>
    <t>2024-09-01</t>
  </si>
  <si>
    <t>2024-10-27</t>
  </si>
  <si>
    <t>2024-10-25</t>
  </si>
  <si>
    <t>2024-10-07</t>
  </si>
  <si>
    <t>2024-10-24</t>
  </si>
  <si>
    <t>2024-10-09</t>
  </si>
  <si>
    <t>2024-09-30</t>
  </si>
  <si>
    <t>2024-10-14</t>
  </si>
  <si>
    <t>2024-10-16</t>
  </si>
  <si>
    <t>2024-10-26</t>
  </si>
  <si>
    <t>2024-10-11</t>
  </si>
  <si>
    <t>2024-10-22</t>
  </si>
  <si>
    <t>2024-10-01</t>
  </si>
  <si>
    <t>2024-10-08</t>
  </si>
  <si>
    <t>2024-10-12</t>
  </si>
  <si>
    <t>2024-10-04</t>
  </si>
  <si>
    <t>2024-10-17</t>
  </si>
  <si>
    <t>2024-10-05</t>
  </si>
  <si>
    <t>2024-10-06</t>
  </si>
  <si>
    <t>2024-10-15</t>
  </si>
  <si>
    <t>2024-10-20</t>
  </si>
  <si>
    <t>2024-10-02</t>
  </si>
  <si>
    <t>2024-11-13</t>
  </si>
  <si>
    <t>2024-10-31</t>
  </si>
  <si>
    <t>2024-11-11</t>
  </si>
  <si>
    <t>2024-11-25</t>
  </si>
  <si>
    <t>2024-11-12</t>
  </si>
  <si>
    <t>2024-11-10</t>
  </si>
  <si>
    <t>2024-11-17</t>
  </si>
  <si>
    <t>2024-11-08</t>
  </si>
  <si>
    <t>2024-11-03</t>
  </si>
  <si>
    <t>2024-11-02</t>
  </si>
  <si>
    <t>2024-11-05</t>
  </si>
  <si>
    <t>2024-11-01</t>
  </si>
  <si>
    <t>2024-11-23</t>
  </si>
  <si>
    <t>2024-11-27</t>
  </si>
  <si>
    <t>2024-11-04</t>
  </si>
  <si>
    <t>2024-11-15</t>
  </si>
  <si>
    <t>Metric</t>
  </si>
  <si>
    <t>Value</t>
  </si>
  <si>
    <t>Total Records</t>
  </si>
  <si>
    <t>Date Range</t>
  </si>
  <si>
    <t>2020-2024</t>
  </si>
  <si>
    <t>Total Fund Raised ($M)</t>
  </si>
  <si>
    <t>59079.28</t>
  </si>
  <si>
    <t>Total New Employees</t>
  </si>
  <si>
    <t>Avg Revenue Growth (%)</t>
  </si>
  <si>
    <t>19.72</t>
  </si>
  <si>
    <t>Total R&amp;D Investment ($M)</t>
  </si>
  <si>
    <t>16824.65</t>
  </si>
  <si>
    <t>Total Customer Acquisition</t>
  </si>
  <si>
    <t>Avg Employee Retention (%)</t>
  </si>
  <si>
    <t>85.05</t>
  </si>
  <si>
    <t>Step</t>
  </si>
  <si>
    <t>Instruction</t>
  </si>
  <si>
    <t>1</t>
  </si>
  <si>
    <t>Go to Raw Data sheet and select all data</t>
  </si>
  <si>
    <t>2</t>
  </si>
  <si>
    <t>Click Insert &gt; PivotTable</t>
  </si>
  <si>
    <t>3</t>
  </si>
  <si>
    <t>Create pivot tables on a new sheet with these suggestions:</t>
  </si>
  <si>
    <t/>
  </si>
  <si>
    <t>Pivot 1</t>
  </si>
  <si>
    <t>Fund Raised by Year and Region</t>
  </si>
  <si>
    <t>Rows: Year, Region | Values: Sum of Fund Raised</t>
  </si>
  <si>
    <t>Pivot 2</t>
  </si>
  <si>
    <t>Employee Growth by Department and Quarter</t>
  </si>
  <si>
    <t>Rows: Department | Columns: Quarter | Values: Sum of New Employees</t>
  </si>
  <si>
    <t>Pivot 3</t>
  </si>
  <si>
    <t>Revenue Growth by Funding Source</t>
  </si>
  <si>
    <t>Rows: Funding Source | Values: Average Revenue Growth (%)</t>
  </si>
  <si>
    <t>4</t>
  </si>
  <si>
    <t>Add Slicers: Insert &gt; Slicer, then select Year, Region, Department</t>
  </si>
  <si>
    <t>5</t>
  </si>
  <si>
    <t>Format slicers with colors matching dashboard theme</t>
  </si>
  <si>
    <t>6</t>
  </si>
  <si>
    <t>Create charts from pivot tables for visual dashboard</t>
  </si>
  <si>
    <t>KPI</t>
  </si>
  <si>
    <t>Formula</t>
  </si>
  <si>
    <t>Format</t>
  </si>
  <si>
    <t>Total Fund Raised</t>
  </si>
  <si>
    <t>=SUM('Raw Data'!H:H)</t>
  </si>
  <si>
    <t>$#,##0.00M</t>
  </si>
  <si>
    <t>=SUM('Raw Data'!J:J)</t>
  </si>
  <si>
    <t>#,##0</t>
  </si>
  <si>
    <t>Avg Revenue Growth</t>
  </si>
  <si>
    <t>=AVERAGE('Raw Data'!M:M)</t>
  </si>
  <si>
    <t>0.00%</t>
  </si>
  <si>
    <t>Total Customers</t>
  </si>
  <si>
    <t>=SUM('Raw Data'!Q:Q)</t>
  </si>
  <si>
    <t>Avg Market Valuation</t>
  </si>
  <si>
    <t>=AVERAGE('Raw Data'!P:P)</t>
  </si>
  <si>
    <t>Row Labels</t>
  </si>
  <si>
    <t>Sum of Fund Raised ($M)</t>
  </si>
  <si>
    <t>Grand Total</t>
  </si>
  <si>
    <t>Sum of R&amp;D Investment ($M)</t>
  </si>
  <si>
    <t>Sum of Market Valuation ($M)</t>
  </si>
  <si>
    <t>Sum of Total Employees</t>
  </si>
  <si>
    <t>Sum of Customer Acquisition</t>
  </si>
  <si>
    <t>Sum of New Employees</t>
  </si>
  <si>
    <t>Column Labels</t>
  </si>
  <si>
    <t>Average of Total Employees</t>
  </si>
  <si>
    <t>Total Customers:</t>
  </si>
  <si>
    <t>Avg Revnue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</si>
</sst>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2" xfId="0" applyBorder="1"/>
    <xf numFmtId="0" fontId="1" fillId="2" borderId="1" xfId="0" applyFont="1" applyFill="1" applyBorder="1"/>
    <xf numFmtId="0" fontId="0" fillId="2" borderId="1" xfId="0" applyFill="1" applyBorder="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[Company_Growth_Financial_Dashboard.xlsx]Pivot_Table!PivotTable2</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EEB-4976-AC6B-8D2CCA47AC4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EEB-4976-AC6B-8D2CCA47AC4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EEB-4976-AC6B-8D2CCA47AC4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EEB-4976-AC6B-8D2CCA47AC4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EEB-4976-AC6B-8D2CCA47AC4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Pivot_Table!$A$4:$A$9</c:f>
              <c:strCache>
                <c:ptCount val="5"/>
                <c:pt idx="0">
                  <c:v>Asia Pacific</c:v>
                </c:pt>
                <c:pt idx="1">
                  <c:v>Europe</c:v>
                </c:pt>
                <c:pt idx="2">
                  <c:v>Latin America</c:v>
                </c:pt>
                <c:pt idx="3">
                  <c:v>Middle East</c:v>
                </c:pt>
                <c:pt idx="4">
                  <c:v>North America</c:v>
                </c:pt>
              </c:strCache>
            </c:strRef>
          </c:cat>
          <c:val>
            <c:numRef>
              <c:f>Pivot_Table!$B$4:$B$9</c:f>
              <c:numCache>
                <c:formatCode>General</c:formatCode>
                <c:ptCount val="5"/>
                <c:pt idx="0">
                  <c:v>10473.970000000005</c:v>
                </c:pt>
                <c:pt idx="1">
                  <c:v>12267.539999999995</c:v>
                </c:pt>
                <c:pt idx="2">
                  <c:v>12596.830000000018</c:v>
                </c:pt>
                <c:pt idx="3">
                  <c:v>11006.730000000001</c:v>
                </c:pt>
                <c:pt idx="4">
                  <c:v>12734.21000000001</c:v>
                </c:pt>
              </c:numCache>
            </c:numRef>
          </c:val>
          <c:extLst>
            <c:ext xmlns:c16="http://schemas.microsoft.com/office/drawing/2014/chart" uri="{C3380CC4-5D6E-409C-BE32-E72D297353CC}">
              <c16:uniqueId val="{0000000A-9EEB-4976-AC6B-8D2CCA47AC4F}"/>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[Company_Growth_Financial_Dashboard.xlsx]Pivot_Table!PivotTable3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Pivot_Table!$F$4</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Pivot_Table!$E$5:$E$13</c:f>
              <c:strCache>
                <c:ptCount val="8"/>
                <c:pt idx="0">
                  <c:v>Customer Success</c:v>
                </c:pt>
                <c:pt idx="1">
                  <c:v>Engineering</c:v>
                </c:pt>
                <c:pt idx="2">
                  <c:v>Finance</c:v>
                </c:pt>
                <c:pt idx="3">
                  <c:v>HR</c:v>
                </c:pt>
                <c:pt idx="4">
                  <c:v>Marketing</c:v>
                </c:pt>
                <c:pt idx="5">
                  <c:v>Operations</c:v>
                </c:pt>
                <c:pt idx="6">
                  <c:v>R&amp;D</c:v>
                </c:pt>
                <c:pt idx="7">
                  <c:v>Sales</c:v>
                </c:pt>
              </c:strCache>
            </c:strRef>
          </c:cat>
          <c:val>
            <c:numRef>
              <c:f>Pivot_Table!$F$5:$F$13</c:f>
              <c:numCache>
                <c:formatCode>General</c:formatCode>
                <c:ptCount val="8"/>
                <c:pt idx="0">
                  <c:v>5508</c:v>
                </c:pt>
                <c:pt idx="1">
                  <c:v>6495</c:v>
                </c:pt>
                <c:pt idx="2">
                  <c:v>6511</c:v>
                </c:pt>
                <c:pt idx="3">
                  <c:v>7162</c:v>
                </c:pt>
                <c:pt idx="4">
                  <c:v>6082</c:v>
                </c:pt>
                <c:pt idx="5">
                  <c:v>6757</c:v>
                </c:pt>
                <c:pt idx="6">
                  <c:v>5704</c:v>
                </c:pt>
                <c:pt idx="7">
                  <c:v>6952</c:v>
                </c:pt>
              </c:numCache>
            </c:numRef>
          </c:val>
          <c:extLst>
            <c:ext xmlns:c16="http://schemas.microsoft.com/office/drawing/2014/chart" uri="{C3380CC4-5D6E-409C-BE32-E72D297353CC}">
              <c16:uniqueId val="{00000000-7F2D-4C3D-BC36-F03362B0134E}"/>
            </c:ext>
          </c:extLst>
        </c:ser>
        <c:dLbls>
          <c:showLegendKey val="0"/>
          <c:showVal val="0"/>
          <c:showCatName val="0"/>
          <c:showSerName val="0"/>
          <c:showPercent val="0"/>
          <c:showBubbleSize val="0"/>
        </c:dLbls>
        <c:gapWidth val="182"/>
        <c:axId val="795864063"/>
        <c:axId val="795865503"/>
      </c:barChart>
      <c:catAx>
        <c:axId val="795864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865503"/>
        <c:crosses val="autoZero"/>
        <c:auto val="1"/>
        <c:lblAlgn val="ctr"/>
        <c:lblOffset val="100"/>
        <c:noMultiLvlLbl val="0"/>
      </c:catAx>
      <c:valAx>
        <c:axId val="795865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86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[Company_Growth_Financial_Dashboard.xlsx]Pivot_Table!PivotTable5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Pivot_Table!$C$19:$C$20</c:f>
              <c:strCache>
                <c:ptCount val="1"/>
                <c:pt idx="0">
                  <c:v>Customer Success</c:v>
                </c:pt>
              </c:strCache>
            </c:strRef>
          </c:tx>
          <c:spPr>
            <a:solidFill>
              <a:schemeClr val="accent1"/>
            </a:solidFill>
            <a:ln>
              <a:noFill/>
            </a:ln>
            <a:effectLst/>
          </c:spPr>
          <c:invertIfNegative val="0"/>
          <c:cat>
            <c:strRef>
              <c:f>Pivot_Table!$B$21:$B$26</c:f>
              <c:strCache>
                <c:ptCount val="5"/>
                <c:pt idx="0">
                  <c:v>Angel Investors</c:v>
                </c:pt>
                <c:pt idx="1">
                  <c:v>Corporate Investment</c:v>
                </c:pt>
                <c:pt idx="2">
                  <c:v>Government Grants</c:v>
                </c:pt>
                <c:pt idx="3">
                  <c:v>Private Equity</c:v>
                </c:pt>
                <c:pt idx="4">
                  <c:v>Venture Capital</c:v>
                </c:pt>
              </c:strCache>
            </c:strRef>
          </c:cat>
          <c:val>
            <c:numRef>
              <c:f>Pivot_Table!$C$21:$C$26</c:f>
              <c:numCache>
                <c:formatCode>General</c:formatCode>
                <c:ptCount val="5"/>
                <c:pt idx="0">
                  <c:v>1165</c:v>
                </c:pt>
                <c:pt idx="1">
                  <c:v>987</c:v>
                </c:pt>
                <c:pt idx="2">
                  <c:v>1254</c:v>
                </c:pt>
                <c:pt idx="3">
                  <c:v>909</c:v>
                </c:pt>
                <c:pt idx="4">
                  <c:v>1193</c:v>
                </c:pt>
              </c:numCache>
            </c:numRef>
          </c:val>
          <c:extLst>
            <c:ext xmlns:c16="http://schemas.microsoft.com/office/drawing/2014/chart" uri="{C3380CC4-5D6E-409C-BE32-E72D297353CC}">
              <c16:uniqueId val="{00000000-AC01-4035-A609-137FF5353A6E}"/>
            </c:ext>
          </c:extLst>
        </c:ser>
        <c:ser>
          <c:idx val="1"/>
          <c:order val="1"/>
          <c:tx>
            <c:strRef>
              <c:f>Pivot_Table!$D$19:$D$20</c:f>
              <c:strCache>
                <c:ptCount val="1"/>
                <c:pt idx="0">
                  <c:v>Engineering</c:v>
                </c:pt>
              </c:strCache>
            </c:strRef>
          </c:tx>
          <c:spPr>
            <a:solidFill>
              <a:schemeClr val="accent2"/>
            </a:solidFill>
            <a:ln>
              <a:noFill/>
            </a:ln>
            <a:effectLst/>
          </c:spPr>
          <c:invertIfNegative val="0"/>
          <c:cat>
            <c:strRef>
              <c:f>Pivot_Table!$B$21:$B$26</c:f>
              <c:strCache>
                <c:ptCount val="5"/>
                <c:pt idx="0">
                  <c:v>Angel Investors</c:v>
                </c:pt>
                <c:pt idx="1">
                  <c:v>Corporate Investment</c:v>
                </c:pt>
                <c:pt idx="2">
                  <c:v>Government Grants</c:v>
                </c:pt>
                <c:pt idx="3">
                  <c:v>Private Equity</c:v>
                </c:pt>
                <c:pt idx="4">
                  <c:v>Venture Capital</c:v>
                </c:pt>
              </c:strCache>
            </c:strRef>
          </c:cat>
          <c:val>
            <c:numRef>
              <c:f>Pivot_Table!$D$21:$D$26</c:f>
              <c:numCache>
                <c:formatCode>General</c:formatCode>
                <c:ptCount val="5"/>
                <c:pt idx="0">
                  <c:v>1498</c:v>
                </c:pt>
                <c:pt idx="1">
                  <c:v>1407</c:v>
                </c:pt>
                <c:pt idx="2">
                  <c:v>1322</c:v>
                </c:pt>
                <c:pt idx="3">
                  <c:v>1182</c:v>
                </c:pt>
                <c:pt idx="4">
                  <c:v>1086</c:v>
                </c:pt>
              </c:numCache>
            </c:numRef>
          </c:val>
          <c:extLst>
            <c:ext xmlns:c16="http://schemas.microsoft.com/office/drawing/2014/chart" uri="{C3380CC4-5D6E-409C-BE32-E72D297353CC}">
              <c16:uniqueId val="{00000001-DF52-4ED2-9E3F-6760D2101634}"/>
            </c:ext>
          </c:extLst>
        </c:ser>
        <c:ser>
          <c:idx val="2"/>
          <c:order val="2"/>
          <c:tx>
            <c:strRef>
              <c:f>Pivot_Table!$E$19:$E$20</c:f>
              <c:strCache>
                <c:ptCount val="1"/>
                <c:pt idx="0">
                  <c:v>Finance</c:v>
                </c:pt>
              </c:strCache>
            </c:strRef>
          </c:tx>
          <c:spPr>
            <a:solidFill>
              <a:schemeClr val="accent3"/>
            </a:solidFill>
            <a:ln>
              <a:noFill/>
            </a:ln>
            <a:effectLst/>
          </c:spPr>
          <c:invertIfNegative val="0"/>
          <c:cat>
            <c:strRef>
              <c:f>Pivot_Table!$B$21:$B$26</c:f>
              <c:strCache>
                <c:ptCount val="5"/>
                <c:pt idx="0">
                  <c:v>Angel Investors</c:v>
                </c:pt>
                <c:pt idx="1">
                  <c:v>Corporate Investment</c:v>
                </c:pt>
                <c:pt idx="2">
                  <c:v>Government Grants</c:v>
                </c:pt>
                <c:pt idx="3">
                  <c:v>Private Equity</c:v>
                </c:pt>
                <c:pt idx="4">
                  <c:v>Venture Capital</c:v>
                </c:pt>
              </c:strCache>
            </c:strRef>
          </c:cat>
          <c:val>
            <c:numRef>
              <c:f>Pivot_Table!$E$21:$E$26</c:f>
              <c:numCache>
                <c:formatCode>General</c:formatCode>
                <c:ptCount val="5"/>
                <c:pt idx="0">
                  <c:v>2070</c:v>
                </c:pt>
                <c:pt idx="1">
                  <c:v>876</c:v>
                </c:pt>
                <c:pt idx="2">
                  <c:v>823</c:v>
                </c:pt>
                <c:pt idx="3">
                  <c:v>1329</c:v>
                </c:pt>
                <c:pt idx="4">
                  <c:v>1413</c:v>
                </c:pt>
              </c:numCache>
            </c:numRef>
          </c:val>
          <c:extLst>
            <c:ext xmlns:c16="http://schemas.microsoft.com/office/drawing/2014/chart" uri="{C3380CC4-5D6E-409C-BE32-E72D297353CC}">
              <c16:uniqueId val="{00000002-DF52-4ED2-9E3F-6760D2101634}"/>
            </c:ext>
          </c:extLst>
        </c:ser>
        <c:ser>
          <c:idx val="3"/>
          <c:order val="3"/>
          <c:tx>
            <c:strRef>
              <c:f>Pivot_Table!$F$19:$F$20</c:f>
              <c:strCache>
                <c:ptCount val="1"/>
                <c:pt idx="0">
                  <c:v>HR</c:v>
                </c:pt>
              </c:strCache>
            </c:strRef>
          </c:tx>
          <c:spPr>
            <a:solidFill>
              <a:schemeClr val="accent4"/>
            </a:solidFill>
            <a:ln>
              <a:noFill/>
            </a:ln>
            <a:effectLst/>
          </c:spPr>
          <c:invertIfNegative val="0"/>
          <c:cat>
            <c:strRef>
              <c:f>Pivot_Table!$B$21:$B$26</c:f>
              <c:strCache>
                <c:ptCount val="5"/>
                <c:pt idx="0">
                  <c:v>Angel Investors</c:v>
                </c:pt>
                <c:pt idx="1">
                  <c:v>Corporate Investment</c:v>
                </c:pt>
                <c:pt idx="2">
                  <c:v>Government Grants</c:v>
                </c:pt>
                <c:pt idx="3">
                  <c:v>Private Equity</c:v>
                </c:pt>
                <c:pt idx="4">
                  <c:v>Venture Capital</c:v>
                </c:pt>
              </c:strCache>
            </c:strRef>
          </c:cat>
          <c:val>
            <c:numRef>
              <c:f>Pivot_Table!$F$21:$F$26</c:f>
              <c:numCache>
                <c:formatCode>General</c:formatCode>
                <c:ptCount val="5"/>
                <c:pt idx="0">
                  <c:v>1353</c:v>
                </c:pt>
                <c:pt idx="1">
                  <c:v>1367</c:v>
                </c:pt>
                <c:pt idx="2">
                  <c:v>1484</c:v>
                </c:pt>
                <c:pt idx="3">
                  <c:v>1400</c:v>
                </c:pt>
                <c:pt idx="4">
                  <c:v>1558</c:v>
                </c:pt>
              </c:numCache>
            </c:numRef>
          </c:val>
          <c:extLst>
            <c:ext xmlns:c16="http://schemas.microsoft.com/office/drawing/2014/chart" uri="{C3380CC4-5D6E-409C-BE32-E72D297353CC}">
              <c16:uniqueId val="{00000003-DF52-4ED2-9E3F-6760D2101634}"/>
            </c:ext>
          </c:extLst>
        </c:ser>
        <c:ser>
          <c:idx val="4"/>
          <c:order val="4"/>
          <c:tx>
            <c:strRef>
              <c:f>Pivot_Table!$G$19:$G$20</c:f>
              <c:strCache>
                <c:ptCount val="1"/>
                <c:pt idx="0">
                  <c:v>Marketing</c:v>
                </c:pt>
              </c:strCache>
            </c:strRef>
          </c:tx>
          <c:spPr>
            <a:solidFill>
              <a:schemeClr val="accent5"/>
            </a:solidFill>
            <a:ln>
              <a:noFill/>
            </a:ln>
            <a:effectLst/>
          </c:spPr>
          <c:invertIfNegative val="0"/>
          <c:cat>
            <c:strRef>
              <c:f>Pivot_Table!$B$21:$B$26</c:f>
              <c:strCache>
                <c:ptCount val="5"/>
                <c:pt idx="0">
                  <c:v>Angel Investors</c:v>
                </c:pt>
                <c:pt idx="1">
                  <c:v>Corporate Investment</c:v>
                </c:pt>
                <c:pt idx="2">
                  <c:v>Government Grants</c:v>
                </c:pt>
                <c:pt idx="3">
                  <c:v>Private Equity</c:v>
                </c:pt>
                <c:pt idx="4">
                  <c:v>Venture Capital</c:v>
                </c:pt>
              </c:strCache>
            </c:strRef>
          </c:cat>
          <c:val>
            <c:numRef>
              <c:f>Pivot_Table!$G$21:$G$26</c:f>
              <c:numCache>
                <c:formatCode>General</c:formatCode>
                <c:ptCount val="5"/>
                <c:pt idx="0">
                  <c:v>1395</c:v>
                </c:pt>
                <c:pt idx="1">
                  <c:v>1168</c:v>
                </c:pt>
                <c:pt idx="2">
                  <c:v>1276</c:v>
                </c:pt>
                <c:pt idx="3">
                  <c:v>996</c:v>
                </c:pt>
                <c:pt idx="4">
                  <c:v>1247</c:v>
                </c:pt>
              </c:numCache>
            </c:numRef>
          </c:val>
          <c:extLst>
            <c:ext xmlns:c16="http://schemas.microsoft.com/office/drawing/2014/chart" uri="{C3380CC4-5D6E-409C-BE32-E72D297353CC}">
              <c16:uniqueId val="{00000004-DF52-4ED2-9E3F-6760D2101634}"/>
            </c:ext>
          </c:extLst>
        </c:ser>
        <c:ser>
          <c:idx val="5"/>
          <c:order val="5"/>
          <c:tx>
            <c:strRef>
              <c:f>Pivot_Table!$H$19:$H$20</c:f>
              <c:strCache>
                <c:ptCount val="1"/>
                <c:pt idx="0">
                  <c:v>Operations</c:v>
                </c:pt>
              </c:strCache>
            </c:strRef>
          </c:tx>
          <c:spPr>
            <a:solidFill>
              <a:schemeClr val="accent6"/>
            </a:solidFill>
            <a:ln>
              <a:noFill/>
            </a:ln>
            <a:effectLst/>
          </c:spPr>
          <c:invertIfNegative val="0"/>
          <c:cat>
            <c:strRef>
              <c:f>Pivot_Table!$B$21:$B$26</c:f>
              <c:strCache>
                <c:ptCount val="5"/>
                <c:pt idx="0">
                  <c:v>Angel Investors</c:v>
                </c:pt>
                <c:pt idx="1">
                  <c:v>Corporate Investment</c:v>
                </c:pt>
                <c:pt idx="2">
                  <c:v>Government Grants</c:v>
                </c:pt>
                <c:pt idx="3">
                  <c:v>Private Equity</c:v>
                </c:pt>
                <c:pt idx="4">
                  <c:v>Venture Capital</c:v>
                </c:pt>
              </c:strCache>
            </c:strRef>
          </c:cat>
          <c:val>
            <c:numRef>
              <c:f>Pivot_Table!$H$21:$H$26</c:f>
              <c:numCache>
                <c:formatCode>General</c:formatCode>
                <c:ptCount val="5"/>
                <c:pt idx="0">
                  <c:v>1256</c:v>
                </c:pt>
                <c:pt idx="1">
                  <c:v>1429</c:v>
                </c:pt>
                <c:pt idx="2">
                  <c:v>1638</c:v>
                </c:pt>
                <c:pt idx="3">
                  <c:v>1358</c:v>
                </c:pt>
                <c:pt idx="4">
                  <c:v>1076</c:v>
                </c:pt>
              </c:numCache>
            </c:numRef>
          </c:val>
          <c:extLst>
            <c:ext xmlns:c16="http://schemas.microsoft.com/office/drawing/2014/chart" uri="{C3380CC4-5D6E-409C-BE32-E72D297353CC}">
              <c16:uniqueId val="{00000005-DF52-4ED2-9E3F-6760D2101634}"/>
            </c:ext>
          </c:extLst>
        </c:ser>
        <c:ser>
          <c:idx val="6"/>
          <c:order val="6"/>
          <c:tx>
            <c:strRef>
              <c:f>Pivot_Table!$I$19:$I$20</c:f>
              <c:strCache>
                <c:ptCount val="1"/>
                <c:pt idx="0">
                  <c:v>R&amp;D</c:v>
                </c:pt>
              </c:strCache>
            </c:strRef>
          </c:tx>
          <c:spPr>
            <a:solidFill>
              <a:schemeClr val="accent1">
                <a:lumMod val="60000"/>
              </a:schemeClr>
            </a:solidFill>
            <a:ln>
              <a:noFill/>
            </a:ln>
            <a:effectLst/>
          </c:spPr>
          <c:invertIfNegative val="0"/>
          <c:cat>
            <c:strRef>
              <c:f>Pivot_Table!$B$21:$B$26</c:f>
              <c:strCache>
                <c:ptCount val="5"/>
                <c:pt idx="0">
                  <c:v>Angel Investors</c:v>
                </c:pt>
                <c:pt idx="1">
                  <c:v>Corporate Investment</c:v>
                </c:pt>
                <c:pt idx="2">
                  <c:v>Government Grants</c:v>
                </c:pt>
                <c:pt idx="3">
                  <c:v>Private Equity</c:v>
                </c:pt>
                <c:pt idx="4">
                  <c:v>Venture Capital</c:v>
                </c:pt>
              </c:strCache>
            </c:strRef>
          </c:cat>
          <c:val>
            <c:numRef>
              <c:f>Pivot_Table!$I$21:$I$26</c:f>
              <c:numCache>
                <c:formatCode>General</c:formatCode>
                <c:ptCount val="5"/>
                <c:pt idx="0">
                  <c:v>1051</c:v>
                </c:pt>
                <c:pt idx="1">
                  <c:v>1156</c:v>
                </c:pt>
                <c:pt idx="2">
                  <c:v>1084</c:v>
                </c:pt>
                <c:pt idx="3">
                  <c:v>1082</c:v>
                </c:pt>
                <c:pt idx="4">
                  <c:v>1331</c:v>
                </c:pt>
              </c:numCache>
            </c:numRef>
          </c:val>
          <c:extLst>
            <c:ext xmlns:c16="http://schemas.microsoft.com/office/drawing/2014/chart" uri="{C3380CC4-5D6E-409C-BE32-E72D297353CC}">
              <c16:uniqueId val="{00000006-DF52-4ED2-9E3F-6760D2101634}"/>
            </c:ext>
          </c:extLst>
        </c:ser>
        <c:ser>
          <c:idx val="7"/>
          <c:order val="7"/>
          <c:tx>
            <c:strRef>
              <c:f>Pivot_Table!$J$19:$J$20</c:f>
              <c:strCache>
                <c:ptCount val="1"/>
                <c:pt idx="0">
                  <c:v>Sales</c:v>
                </c:pt>
              </c:strCache>
            </c:strRef>
          </c:tx>
          <c:spPr>
            <a:solidFill>
              <a:schemeClr val="accent2">
                <a:lumMod val="60000"/>
              </a:schemeClr>
            </a:solidFill>
            <a:ln>
              <a:noFill/>
            </a:ln>
            <a:effectLst/>
          </c:spPr>
          <c:invertIfNegative val="0"/>
          <c:cat>
            <c:strRef>
              <c:f>Pivot_Table!$B$21:$B$26</c:f>
              <c:strCache>
                <c:ptCount val="5"/>
                <c:pt idx="0">
                  <c:v>Angel Investors</c:v>
                </c:pt>
                <c:pt idx="1">
                  <c:v>Corporate Investment</c:v>
                </c:pt>
                <c:pt idx="2">
                  <c:v>Government Grants</c:v>
                </c:pt>
                <c:pt idx="3">
                  <c:v>Private Equity</c:v>
                </c:pt>
                <c:pt idx="4">
                  <c:v>Venture Capital</c:v>
                </c:pt>
              </c:strCache>
            </c:strRef>
          </c:cat>
          <c:val>
            <c:numRef>
              <c:f>Pivot_Table!$J$21:$J$26</c:f>
              <c:numCache>
                <c:formatCode>General</c:formatCode>
                <c:ptCount val="5"/>
                <c:pt idx="0">
                  <c:v>1504</c:v>
                </c:pt>
                <c:pt idx="1">
                  <c:v>1389</c:v>
                </c:pt>
                <c:pt idx="2">
                  <c:v>1204</c:v>
                </c:pt>
                <c:pt idx="3">
                  <c:v>1228</c:v>
                </c:pt>
                <c:pt idx="4">
                  <c:v>1627</c:v>
                </c:pt>
              </c:numCache>
            </c:numRef>
          </c:val>
          <c:extLst>
            <c:ext xmlns:c16="http://schemas.microsoft.com/office/drawing/2014/chart" uri="{C3380CC4-5D6E-409C-BE32-E72D297353CC}">
              <c16:uniqueId val="{00000007-DF52-4ED2-9E3F-6760D2101634}"/>
            </c:ext>
          </c:extLst>
        </c:ser>
        <c:dLbls>
          <c:showLegendKey val="0"/>
          <c:showVal val="0"/>
          <c:showCatName val="0"/>
          <c:showSerName val="0"/>
          <c:showPercent val="0"/>
          <c:showBubbleSize val="0"/>
        </c:dLbls>
        <c:gapWidth val="219"/>
        <c:overlap val="-27"/>
        <c:axId val="941485919"/>
        <c:axId val="941489279"/>
      </c:barChart>
      <c:catAx>
        <c:axId val="941485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89279"/>
        <c:crosses val="autoZero"/>
        <c:auto val="1"/>
        <c:lblAlgn val="ctr"/>
        <c:lblOffset val="100"/>
        <c:noMultiLvlLbl val="0"/>
      </c:catAx>
      <c:valAx>
        <c:axId val="94148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8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[Company_Growth_Financial_Dashboard.xlsx]Pivot_Table!PivotTable3</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Pivot_Table!$F$4</c:f>
              <c:strCache>
                <c:ptCount val="1"/>
                <c:pt idx="0">
                  <c:v>Total</c:v>
                </c:pt>
              </c:strCache>
            </c:strRef>
          </c:tx>
          <c:spPr>
            <a:solidFill>
              <a:schemeClr val="accent1"/>
            </a:solidFill>
            <a:ln>
              <a:noFill/>
            </a:ln>
            <a:effectLst/>
            <a:sp3d/>
          </c:spPr>
          <c:cat>
            <c:strRef>
              <c:f>Pivot_Table!$E$5:$E$13</c:f>
              <c:strCache>
                <c:ptCount val="8"/>
                <c:pt idx="0">
                  <c:v>Customer Success</c:v>
                </c:pt>
                <c:pt idx="1">
                  <c:v>Engineering</c:v>
                </c:pt>
                <c:pt idx="2">
                  <c:v>Finance</c:v>
                </c:pt>
                <c:pt idx="3">
                  <c:v>HR</c:v>
                </c:pt>
                <c:pt idx="4">
                  <c:v>Marketing</c:v>
                </c:pt>
                <c:pt idx="5">
                  <c:v>Operations</c:v>
                </c:pt>
                <c:pt idx="6">
                  <c:v>R&amp;D</c:v>
                </c:pt>
                <c:pt idx="7">
                  <c:v>Sales</c:v>
                </c:pt>
              </c:strCache>
            </c:strRef>
          </c:cat>
          <c:val>
            <c:numRef>
              <c:f>Pivot_Table!$F$5:$F$13</c:f>
              <c:numCache>
                <c:formatCode>General</c:formatCode>
                <c:ptCount val="8"/>
                <c:pt idx="0">
                  <c:v>5508</c:v>
                </c:pt>
                <c:pt idx="1">
                  <c:v>6495</c:v>
                </c:pt>
                <c:pt idx="2">
                  <c:v>6511</c:v>
                </c:pt>
                <c:pt idx="3">
                  <c:v>7162</c:v>
                </c:pt>
                <c:pt idx="4">
                  <c:v>6082</c:v>
                </c:pt>
                <c:pt idx="5">
                  <c:v>6757</c:v>
                </c:pt>
                <c:pt idx="6">
                  <c:v>5704</c:v>
                </c:pt>
                <c:pt idx="7">
                  <c:v>6952</c:v>
                </c:pt>
              </c:numCache>
            </c:numRef>
          </c:val>
          <c:extLst>
            <c:ext xmlns:c16="http://schemas.microsoft.com/office/drawing/2014/chart" uri="{C3380CC4-5D6E-409C-BE32-E72D297353CC}">
              <c16:uniqueId val="{00000000-C622-42A3-BBE9-BF64AC5DD504}"/>
            </c:ext>
          </c:extLst>
        </c:ser>
        <c:dLbls>
          <c:showLegendKey val="0"/>
          <c:showVal val="0"/>
          <c:showCatName val="0"/>
          <c:showSerName val="0"/>
          <c:showPercent val="0"/>
          <c:showBubbleSize val="0"/>
        </c:dLbls>
        <c:axId val="543319679"/>
        <c:axId val="543323519"/>
        <c:axId val="646034671"/>
      </c:area3DChart>
      <c:catAx>
        <c:axId val="543319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323519"/>
        <c:crosses val="autoZero"/>
        <c:auto val="1"/>
        <c:lblAlgn val="ctr"/>
        <c:lblOffset val="100"/>
        <c:noMultiLvlLbl val="0"/>
      </c:catAx>
      <c:valAx>
        <c:axId val="54332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319679"/>
        <c:crosses val="autoZero"/>
        <c:crossBetween val="midCat"/>
      </c:valAx>
      <c:serAx>
        <c:axId val="64603467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32351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91440</xdr:rowOff>
    </xdr:from>
    <xdr:to>
      <xdr:col>21</xdr:col>
      <xdr:colOff>198120</xdr:colOff>
      <xdr:row>4</xdr:row>
      <xdr:rowOff>22860</xdr:rowOff>
    </xdr:to>
    <xdr:sp macro="" textlink="">
      <xdr:nvSpPr>
        <xdr:cNvPr id="2" name="Rectangle: Rounded Corners 1">
          <a:extLst>
            <a:ext uri="{FF2B5EF4-FFF2-40B4-BE49-F238E27FC236}">
              <a16:creationId xmlns:a16="http://schemas.microsoft.com/office/drawing/2014/main" id="{02AFB0CD-9E82-D647-1561-4478769E8D8E}"/>
            </a:ext>
          </a:extLst>
        </xdr:cNvPr>
        <xdr:cNvSpPr/>
      </xdr:nvSpPr>
      <xdr:spPr>
        <a:xfrm>
          <a:off x="45720" y="91440"/>
          <a:ext cx="14234160" cy="723900"/>
        </a:xfrm>
        <a:prstGeom prst="round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rtlCol="0" anchor="ctr"/>
        <a:lstStyle/>
        <a:p>
          <a:pPr algn="ctr"/>
          <a:r>
            <a:rPr lang="en-US" sz="2800" b="1">
              <a:latin typeface="Arial" panose="020B0604020202020204" pitchFamily="34" charset="0"/>
              <a:cs typeface="Arial" panose="020B0604020202020204" pitchFamily="34" charset="0"/>
            </a:rPr>
            <a:t>        </a:t>
          </a:r>
          <a:r>
            <a:rPr lang="en-US" sz="2400" b="1">
              <a:latin typeface="Arial" panose="020B0604020202020204" pitchFamily="34" charset="0"/>
              <a:cs typeface="Arial" panose="020B0604020202020204" pitchFamily="34" charset="0"/>
            </a:rPr>
            <a:t>Companies Financial</a:t>
          </a:r>
          <a:r>
            <a:rPr lang="en-US" sz="2400" b="1" baseline="0">
              <a:latin typeface="Arial" panose="020B0604020202020204" pitchFamily="34" charset="0"/>
              <a:cs typeface="Arial" panose="020B0604020202020204" pitchFamily="34" charset="0"/>
            </a:rPr>
            <a:t> Data Analysis</a:t>
          </a:r>
          <a:endParaRPr lang="en-US" sz="2800" b="1">
            <a:latin typeface="Arial" panose="020B0604020202020204" pitchFamily="34" charset="0"/>
            <a:cs typeface="Arial" panose="020B0604020202020204" pitchFamily="34" charset="0"/>
          </a:endParaRPr>
        </a:p>
      </xdr:txBody>
    </xdr:sp>
    <xdr:clientData/>
  </xdr:twoCellAnchor>
  <xdr:twoCellAnchor editAs="oneCell">
    <xdr:from>
      <xdr:col>6</xdr:col>
      <xdr:colOff>251460</xdr:colOff>
      <xdr:row>0</xdr:row>
      <xdr:rowOff>114300</xdr:rowOff>
    </xdr:from>
    <xdr:to>
      <xdr:col>7</xdr:col>
      <xdr:colOff>266700</xdr:colOff>
      <xdr:row>4</xdr:row>
      <xdr:rowOff>7620</xdr:rowOff>
    </xdr:to>
    <xdr:pic>
      <xdr:nvPicPr>
        <xdr:cNvPr id="4" name="Graphic 3" descr="Books on shelf with solid fill">
          <a:extLst>
            <a:ext uri="{FF2B5EF4-FFF2-40B4-BE49-F238E27FC236}">
              <a16:creationId xmlns:a16="http://schemas.microsoft.com/office/drawing/2014/main" id="{8880A9FA-A0CA-AEB3-35C5-01BADA22391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74820" y="114300"/>
          <a:ext cx="685800" cy="685800"/>
        </a:xfrm>
        <a:prstGeom prst="rect">
          <a:avLst/>
        </a:prstGeom>
      </xdr:spPr>
    </xdr:pic>
    <xdr:clientData/>
  </xdr:twoCellAnchor>
  <xdr:twoCellAnchor>
    <xdr:from>
      <xdr:col>0</xdr:col>
      <xdr:colOff>228600</xdr:colOff>
      <xdr:row>4</xdr:row>
      <xdr:rowOff>76200</xdr:rowOff>
    </xdr:from>
    <xdr:to>
      <xdr:col>7</xdr:col>
      <xdr:colOff>106680</xdr:colOff>
      <xdr:row>18</xdr:row>
      <xdr:rowOff>45720</xdr:rowOff>
    </xdr:to>
    <xdr:graphicFrame macro="">
      <xdr:nvGraphicFramePr>
        <xdr:cNvPr id="5" name="Chart 4">
          <a:extLst>
            <a:ext uri="{FF2B5EF4-FFF2-40B4-BE49-F238E27FC236}">
              <a16:creationId xmlns:a16="http://schemas.microsoft.com/office/drawing/2014/main" id="{C2FA33E3-8D13-4EF5-9B38-18F953629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121920</xdr:colOff>
      <xdr:row>8</xdr:row>
      <xdr:rowOff>68580</xdr:rowOff>
    </xdr:from>
    <xdr:to>
      <xdr:col>20</xdr:col>
      <xdr:colOff>609600</xdr:colOff>
      <xdr:row>16</xdr:row>
      <xdr:rowOff>68580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B7733F7-97A3-4407-BC74-D3ADF7C4CA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92000" y="1653540"/>
              <a:ext cx="1828800" cy="1584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129540</xdr:colOff>
      <xdr:row>4</xdr:row>
      <xdr:rowOff>22860</xdr:rowOff>
    </xdr:from>
    <xdr:to>
      <xdr:col>13</xdr:col>
      <xdr:colOff>586740</xdr:colOff>
      <xdr:row>17</xdr:row>
      <xdr:rowOff>190500</xdr:rowOff>
    </xdr:to>
    <xdr:graphicFrame macro="">
      <xdr:nvGraphicFramePr>
        <xdr:cNvPr id="8" name="Chart 7">
          <a:extLst>
            <a:ext uri="{FF2B5EF4-FFF2-40B4-BE49-F238E27FC236}">
              <a16:creationId xmlns:a16="http://schemas.microsoft.com/office/drawing/2014/main" id="{BA321DF9-D9E5-4C77-A936-7B5FCE69C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198120</xdr:colOff>
      <xdr:row>17</xdr:row>
      <xdr:rowOff>144780</xdr:rowOff>
    </xdr:from>
    <xdr:to>
      <xdr:col>10</xdr:col>
      <xdr:colOff>373380</xdr:colOff>
      <xdr:row>27</xdr:row>
      <xdr:rowOff>15240</xdr:rowOff>
    </xdr:to>
    <xdr:graphicFrame macro="">
      <xdr:nvGraphicFramePr>
        <xdr:cNvPr id="9" name="Chart 8">
          <a:extLst>
            <a:ext uri="{FF2B5EF4-FFF2-40B4-BE49-F238E27FC236}">
              <a16:creationId xmlns:a16="http://schemas.microsoft.com/office/drawing/2014/main" id="{9751A2AD-05A2-4329-8744-8076084BA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388620</xdr:colOff>
      <xdr:row>17</xdr:row>
      <xdr:rowOff>152400</xdr:rowOff>
    </xdr:from>
    <xdr:to>
      <xdr:col>15</xdr:col>
      <xdr:colOff>205740</xdr:colOff>
      <xdr:row>31</xdr:row>
      <xdr:rowOff>121920</xdr:rowOff>
    </xdr:to>
    <xdr:graphicFrame macro="">
      <xdr:nvGraphicFramePr>
        <xdr:cNvPr id="10" name="Chart 9">
          <a:extLst>
            <a:ext uri="{FF2B5EF4-FFF2-40B4-BE49-F238E27FC236}">
              <a16:creationId xmlns:a16="http://schemas.microsoft.com/office/drawing/2014/main" id="{976EF83D-1B06-41DD-B13D-BA4FA4BE2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144780</xdr:colOff>
      <xdr:row>16</xdr:row>
      <xdr:rowOff>91440</xdr:rowOff>
    </xdr:from>
    <xdr:to>
      <xdr:col>20</xdr:col>
      <xdr:colOff>632460</xdr:colOff>
      <xdr:row>25</xdr:row>
      <xdr:rowOff>144780</xdr:rowOff>
    </xdr:to>
    <mc:AlternateContent xmlns:mc="http://schemas.openxmlformats.org/markup-compatibility/2006">
      <mc:Choice xmlns:a14="http://schemas.microsoft.com/office/drawing/2010/main" Requires="a14">
        <xdr:graphicFrame macro="">
          <xdr:nvGraphicFramePr>
            <xdr:cNvPr id="11" name="Funding Source">
              <a:extLst>
                <a:ext uri="{FF2B5EF4-FFF2-40B4-BE49-F238E27FC236}">
                  <a16:creationId xmlns:a16="http://schemas.microsoft.com/office/drawing/2014/main" id="{0A6786D5-85AA-4D29-8FFB-53E8B354300B}"/>
                </a:ext>
              </a:extLst>
            </xdr:cNvPr>
            <xdr:cNvGraphicFramePr/>
          </xdr:nvGraphicFramePr>
          <xdr:xfrm>
            <a:off x="0" y="0"/>
            <a:ext cx="0" cy="0"/>
          </xdr:xfrm>
          <a:graphic>
            <a:graphicData uri="http://schemas.microsoft.com/office/drawing/2010/slicer">
              <sle:slicer xmlns:sle="http://schemas.microsoft.com/office/drawing/2010/slicer" name="Funding Source"/>
            </a:graphicData>
          </a:graphic>
        </xdr:graphicFrame>
      </mc:Choice>
      <mc:Fallback>
        <xdr:sp macro="" textlink="">
          <xdr:nvSpPr>
            <xdr:cNvPr id="0" name=""/>
            <xdr:cNvSpPr>
              <a:spLocks noTextEdit="1"/>
            </xdr:cNvSpPr>
          </xdr:nvSpPr>
          <xdr:spPr>
            <a:xfrm>
              <a:off x="12214860" y="3261360"/>
              <a:ext cx="1828800" cy="1836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304800</xdr:colOff>
      <xdr:row>11</xdr:row>
      <xdr:rowOff>182880</xdr:rowOff>
    </xdr:from>
    <xdr:to>
      <xdr:col>18</xdr:col>
      <xdr:colOff>121920</xdr:colOff>
      <xdr:row>25</xdr:row>
      <xdr:rowOff>104775</xdr:rowOff>
    </xdr:to>
    <mc:AlternateContent xmlns:mc="http://schemas.openxmlformats.org/markup-compatibility/2006">
      <mc:Choice xmlns:a14="http://schemas.microsoft.com/office/drawing/2010/main" Requires="a14">
        <xdr:graphicFrame macro="">
          <xdr:nvGraphicFramePr>
            <xdr:cNvPr id="12" name="Department">
              <a:extLst>
                <a:ext uri="{FF2B5EF4-FFF2-40B4-BE49-F238E27FC236}">
                  <a16:creationId xmlns:a16="http://schemas.microsoft.com/office/drawing/2014/main" id="{CBBF32F4-37E6-407E-95DB-8C37D151EAB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363200" y="23622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41.909038194448" createdVersion="8" refreshedVersion="8" minRefreshableVersion="3" recordCount="2000" xr:uid="{5352EFDD-E0C8-4277-AE45-C81AA1A0CB99}">
  <cacheSource type="worksheet">
    <worksheetSource ref="A1:S2001" sheet="Raw Data"/>
  </cacheSource>
  <cacheFields count="19">
    <cacheField name="Record ID" numFmtId="0">
      <sharedItems containsSemiMixedTypes="0" containsString="0" containsNumber="1" containsInteger="1" minValue="1" maxValue="2000"/>
    </cacheField>
    <cacheField name="Date" numFmtId="0">
      <sharedItems/>
    </cacheField>
    <cacheField name="Year" numFmtId="0">
      <sharedItems containsSemiMixedTypes="0" containsString="0" containsNumber="1" containsInteger="1" minValue="2020" maxValue="2024"/>
    </cacheField>
    <cacheField name="Quarter" numFmtId="0">
      <sharedItems/>
    </cacheField>
    <cacheField name="Month" numFmtId="0">
      <sharedItems containsSemiMixedTypes="0" containsString="0" containsNumber="1" containsInteger="1" minValue="1" maxValue="12" count="12">
        <n v="1"/>
        <n v="2"/>
        <n v="3"/>
        <n v="4"/>
        <n v="5"/>
        <n v="6"/>
        <n v="7"/>
        <n v="8"/>
        <n v="9"/>
        <n v="10"/>
        <n v="11"/>
        <n v="12"/>
      </sharedItems>
    </cacheField>
    <cacheField name="Department" numFmtId="0">
      <sharedItems count="8">
        <s v="Sales"/>
        <s v="Engineering"/>
        <s v="HR"/>
        <s v="Marketing"/>
        <s v="Finance"/>
        <s v="R&amp;D"/>
        <s v="Customer Success"/>
        <s v="Operations"/>
      </sharedItems>
    </cacheField>
    <cacheField name="Region" numFmtId="0">
      <sharedItems count="5">
        <s v="Europe"/>
        <s v="Latin America"/>
        <s v="North America"/>
        <s v="Asia Pacific"/>
        <s v="Middle East"/>
      </sharedItems>
    </cacheField>
    <cacheField name="Fund Raised ($M)" numFmtId="0">
      <sharedItems containsSemiMixedTypes="0" containsString="0" containsNumber="1" minValue="5.01" maxValue="54.96" count="1669">
        <n v="34.909999999999997"/>
        <n v="25.96"/>
        <n v="15.53"/>
        <n v="33.1"/>
        <n v="47.49"/>
        <n v="21.1"/>
        <n v="22.75"/>
        <n v="17.329999999999998"/>
        <n v="43.03"/>
        <n v="40.22"/>
        <n v="37.58"/>
        <n v="54.24"/>
        <n v="9.33"/>
        <n v="47.73"/>
        <n v="32.85"/>
        <n v="28.64"/>
        <n v="39.43"/>
        <n v="46.52"/>
        <n v="52.39"/>
        <n v="29.11"/>
        <n v="36.83"/>
        <n v="26.6"/>
        <n v="42.96"/>
        <n v="26.39"/>
        <n v="33.880000000000003"/>
        <n v="15.61"/>
        <n v="18.43"/>
        <n v="23.85"/>
        <n v="22.1"/>
        <n v="32.43"/>
        <n v="8.3000000000000007"/>
        <n v="33.909999999999997"/>
        <n v="37.869999999999997"/>
        <n v="50.52"/>
        <n v="42.29"/>
        <n v="50.9"/>
        <n v="31.98"/>
        <n v="21.88"/>
        <n v="19.47"/>
        <n v="25.27"/>
        <n v="16.02"/>
        <n v="39.56"/>
        <n v="39.42"/>
        <n v="8.43"/>
        <n v="33.57"/>
        <n v="39.99"/>
        <n v="7.44"/>
        <n v="7.98"/>
        <n v="28.5"/>
        <n v="25.55"/>
        <n v="45.99"/>
        <n v="34.04"/>
        <n v="31.82"/>
        <n v="5.77"/>
        <n v="6.2"/>
        <n v="16.77"/>
        <n v="44.83"/>
        <n v="40.71"/>
        <n v="18.489999999999998"/>
        <n v="34.64"/>
        <n v="53.52"/>
        <n v="36.49"/>
        <n v="43.37"/>
        <n v="21"/>
        <n v="8.93"/>
        <n v="34.96"/>
        <n v="32.450000000000003"/>
        <n v="29.17"/>
        <n v="44.58"/>
        <n v="22.62"/>
        <n v="45.95"/>
        <n v="27.17"/>
        <n v="9.4700000000000006"/>
        <n v="39.97"/>
        <n v="45.7"/>
        <n v="22.98"/>
        <n v="40.369999999999997"/>
        <n v="53.25"/>
        <n v="17.84"/>
        <n v="41.63"/>
        <n v="21.24"/>
        <n v="25.35"/>
        <n v="5.87"/>
        <n v="26.51"/>
        <n v="32.9"/>
        <n v="26.84"/>
        <n v="9.6199999999999992"/>
        <n v="11.83"/>
        <n v="5.73"/>
        <n v="22.56"/>
        <n v="18.78"/>
        <n v="47.2"/>
        <n v="45.49"/>
        <n v="23.96"/>
        <n v="14.39"/>
        <n v="16.989999999999998"/>
        <n v="21.2"/>
        <n v="6.81"/>
        <n v="5.39"/>
        <n v="51.01"/>
        <n v="46.19"/>
        <n v="16.05"/>
        <n v="35.1"/>
        <n v="36.5"/>
        <n v="27.55"/>
        <n v="45.82"/>
        <n v="39.590000000000003"/>
        <n v="42.26"/>
        <n v="42.9"/>
        <n v="14.7"/>
        <n v="29.93"/>
        <n v="30.27"/>
        <n v="37.33"/>
        <n v="45.89"/>
        <n v="48.33"/>
        <n v="17.87"/>
        <n v="30.37"/>
        <n v="39.880000000000003"/>
        <n v="7.33"/>
        <n v="35"/>
        <n v="42.37"/>
        <n v="51.77"/>
        <n v="20.57"/>
        <n v="24.1"/>
        <n v="13.98"/>
        <n v="53.47"/>
        <n v="23.95"/>
        <n v="37.979999999999997"/>
        <n v="45.22"/>
        <n v="54.13"/>
        <n v="26.48"/>
        <n v="32.65"/>
        <n v="40.590000000000003"/>
        <n v="39.659999999999997"/>
        <n v="37.43"/>
        <n v="17.12"/>
        <n v="32.630000000000003"/>
        <n v="36.6"/>
        <n v="31.8"/>
        <n v="39.24"/>
        <n v="41.32"/>
        <n v="30.52"/>
        <n v="30.73"/>
        <n v="37.72"/>
        <n v="9.9499999999999993"/>
        <n v="54.08"/>
        <n v="39.380000000000003"/>
        <n v="39.54"/>
        <n v="20.46"/>
        <n v="28.83"/>
        <n v="35.08"/>
        <n v="49.97"/>
        <n v="21.6"/>
        <n v="11.65"/>
        <n v="8.39"/>
        <n v="51.03"/>
        <n v="38.979999999999997"/>
        <n v="27.33"/>
        <n v="38.4"/>
        <n v="50.02"/>
        <n v="11.36"/>
        <n v="7.48"/>
        <n v="5.85"/>
        <n v="10.36"/>
        <n v="50.63"/>
        <n v="47.92"/>
        <n v="13.78"/>
        <n v="14.19"/>
        <n v="38.99"/>
        <n v="8.17"/>
        <n v="48.37"/>
        <n v="40.51"/>
        <n v="22.02"/>
        <n v="12.36"/>
        <n v="23.6"/>
        <n v="51.12"/>
        <n v="7.57"/>
        <n v="22.37"/>
        <n v="34.479999999999997"/>
        <n v="29.23"/>
        <n v="27.68"/>
        <n v="6.31"/>
        <n v="29.13"/>
        <n v="27.52"/>
        <n v="40.85"/>
        <n v="34.81"/>
        <n v="49.93"/>
        <n v="23.7"/>
        <n v="22.85"/>
        <n v="47.07"/>
        <n v="11.37"/>
        <n v="36.29"/>
        <n v="21.14"/>
        <n v="12.29"/>
        <n v="33.39"/>
        <n v="9.32"/>
        <n v="28.36"/>
        <n v="48.76"/>
        <n v="36.71"/>
        <n v="34.99"/>
        <n v="14.07"/>
        <n v="37.1"/>
        <n v="11.77"/>
        <n v="35.18"/>
        <n v="27.6"/>
        <n v="20.81"/>
        <n v="20.21"/>
        <n v="28.6"/>
        <n v="33.01"/>
        <n v="19.82"/>
        <n v="12.81"/>
        <n v="13.42"/>
        <n v="33.65"/>
        <n v="48.46"/>
        <n v="15.91"/>
        <n v="20.100000000000001"/>
        <n v="10.54"/>
        <n v="48.86"/>
        <n v="13.67"/>
        <n v="17.16"/>
        <n v="34.26"/>
        <n v="52.56"/>
        <n v="5.32"/>
        <n v="25.17"/>
        <n v="44.52"/>
        <n v="40.82"/>
        <n v="12.03"/>
        <n v="48.09"/>
        <n v="11.78"/>
        <n v="49.99"/>
        <n v="33.14"/>
        <n v="37.590000000000003"/>
        <n v="48.26"/>
        <n v="30.51"/>
        <n v="41.02"/>
        <n v="12.26"/>
        <n v="23.41"/>
        <n v="33.72"/>
        <n v="35.869999999999997"/>
        <n v="28.91"/>
        <n v="43.14"/>
        <n v="42.24"/>
        <n v="46.25"/>
        <n v="34.21"/>
        <n v="36.69"/>
        <n v="31.78"/>
        <n v="15.81"/>
        <n v="51.9"/>
        <n v="47.03"/>
        <n v="26.58"/>
        <n v="15.56"/>
        <n v="36.22"/>
        <n v="11.34"/>
        <n v="10.88"/>
        <n v="6.77"/>
        <n v="6.73"/>
        <n v="53.05"/>
        <n v="29.54"/>
        <n v="33.06"/>
        <n v="17.88"/>
        <n v="14.03"/>
        <n v="44.3"/>
        <n v="18.41"/>
        <n v="24"/>
        <n v="34.42"/>
        <n v="28.26"/>
        <n v="10.24"/>
        <n v="7.26"/>
        <n v="11.74"/>
        <n v="29.45"/>
        <n v="35.47"/>
        <n v="42.21"/>
        <n v="26.19"/>
        <n v="13.7"/>
        <n v="15.4"/>
        <n v="31.4"/>
        <n v="14.87"/>
        <n v="53.88"/>
        <n v="48.51"/>
        <n v="7.32"/>
        <n v="12.61"/>
        <n v="31.29"/>
        <n v="12.37"/>
        <n v="20.64"/>
        <n v="48.77"/>
        <n v="34.9"/>
        <n v="49.53"/>
        <n v="37.86"/>
        <n v="31.06"/>
        <n v="40.130000000000003"/>
        <n v="52.17"/>
        <n v="44.25"/>
        <n v="54.86"/>
        <n v="45.31"/>
        <n v="39.729999999999997"/>
        <n v="9.94"/>
        <n v="29.33"/>
        <n v="36.07"/>
        <n v="54.04"/>
        <n v="43.91"/>
        <n v="53.13"/>
        <n v="21.33"/>
        <n v="50.26"/>
        <n v="48.38"/>
        <n v="42.66"/>
        <n v="26.4"/>
        <n v="22.89"/>
        <n v="18.329999999999998"/>
        <n v="10.81"/>
        <n v="38.229999999999997"/>
        <n v="19.95"/>
        <n v="32.799999999999997"/>
        <n v="9.09"/>
        <n v="54.55"/>
        <n v="31.33"/>
        <n v="41.83"/>
        <n v="29.38"/>
        <n v="20.13"/>
        <n v="23.2"/>
        <n v="28.57"/>
        <n v="32.14"/>
        <n v="20.23"/>
        <n v="13.9"/>
        <n v="50.23"/>
        <n v="25.31"/>
        <n v="44.94"/>
        <n v="37.68"/>
        <n v="7.75"/>
        <n v="51.47"/>
        <n v="30.33"/>
        <n v="8.1999999999999993"/>
        <n v="26.54"/>
        <n v="30.72"/>
        <n v="48.55"/>
        <n v="19.989999999999998"/>
        <n v="16.14"/>
        <n v="6.11"/>
        <n v="48.84"/>
        <n v="31.32"/>
        <n v="50.43"/>
        <n v="15.67"/>
        <n v="17.440000000000001"/>
        <n v="53.79"/>
        <n v="7.68"/>
        <n v="27.65"/>
        <n v="8.24"/>
        <n v="6.99"/>
        <n v="42.65"/>
        <n v="35.83"/>
        <n v="50.3"/>
        <n v="51.46"/>
        <n v="19.079999999999998"/>
        <n v="17.190000000000001"/>
        <n v="42.61"/>
        <n v="36.56"/>
        <n v="46.37"/>
        <n v="27.23"/>
        <n v="22.7"/>
        <n v="45.97"/>
        <n v="15.78"/>
        <n v="23.48"/>
        <n v="29.07"/>
        <n v="45.56"/>
        <n v="40.39"/>
        <n v="25.51"/>
        <n v="8.34"/>
        <n v="29.16"/>
        <n v="43.05"/>
        <n v="6.25"/>
        <n v="34.119999999999997"/>
        <n v="49.59"/>
        <n v="51.54"/>
        <n v="40.24"/>
        <n v="51.67"/>
        <n v="24.61"/>
        <n v="13.08"/>
        <n v="11.49"/>
        <n v="12.56"/>
        <n v="31.37"/>
        <n v="39.14"/>
        <n v="11.01"/>
        <n v="32.44"/>
        <n v="30.26"/>
        <n v="41.27"/>
        <n v="17.46"/>
        <n v="33.549999999999997"/>
        <n v="32.69"/>
        <n v="11.03"/>
        <n v="29.77"/>
        <n v="9.34"/>
        <n v="7.3"/>
        <n v="35.58"/>
        <n v="6.22"/>
        <n v="28.22"/>
        <n v="24.11"/>
        <n v="39.15"/>
        <n v="23.05"/>
        <n v="18.57"/>
        <n v="40.880000000000003"/>
        <n v="13.19"/>
        <n v="51.64"/>
        <n v="39.53"/>
        <n v="19.25"/>
        <n v="31.75"/>
        <n v="34.450000000000003"/>
        <n v="10.5"/>
        <n v="38.35"/>
        <n v="48.44"/>
        <n v="22.33"/>
        <n v="33.229999999999997"/>
        <n v="14.04"/>
        <n v="8.2799999999999994"/>
        <n v="53.96"/>
        <n v="5.35"/>
        <n v="50.92"/>
        <n v="23.03"/>
        <n v="7.53"/>
        <n v="31.24"/>
        <n v="24.66"/>
        <n v="35.44"/>
        <n v="17.100000000000001"/>
        <n v="30.74"/>
        <n v="51.35"/>
        <n v="28.05"/>
        <n v="12.89"/>
        <n v="17.600000000000001"/>
        <n v="41.3"/>
        <n v="5.36"/>
        <n v="6.52"/>
        <n v="9.1199999999999992"/>
        <n v="12.54"/>
        <n v="53.24"/>
        <n v="18.48"/>
        <n v="7.73"/>
        <n v="10.28"/>
        <n v="33.85"/>
        <n v="54.74"/>
        <n v="20.61"/>
        <n v="13.41"/>
        <n v="50.08"/>
        <n v="53.39"/>
        <n v="48.21"/>
        <n v="24.72"/>
        <n v="17.53"/>
        <n v="21.22"/>
        <n v="42.35"/>
        <n v="37.64"/>
        <n v="27.28"/>
        <n v="20.65"/>
        <n v="9.11"/>
        <n v="31.88"/>
        <n v="27.93"/>
        <n v="31.73"/>
        <n v="39.06"/>
        <n v="6.69"/>
        <n v="38.32"/>
        <n v="31.92"/>
        <n v="17.579999999999998"/>
        <n v="35.28"/>
        <n v="22.71"/>
        <n v="20.45"/>
        <n v="14"/>
        <n v="24.51"/>
        <n v="49.3"/>
        <n v="28.14"/>
        <n v="32.840000000000003"/>
        <n v="19.03"/>
        <n v="36.79"/>
        <n v="43.61"/>
        <n v="33.270000000000003"/>
        <n v="33.4"/>
        <n v="44.32"/>
        <n v="21.18"/>
        <n v="5.88"/>
        <n v="34.89"/>
        <n v="13.64"/>
        <n v="52"/>
        <n v="22.39"/>
        <n v="18.309999999999999"/>
        <n v="45.42"/>
        <n v="43.85"/>
        <n v="54.29"/>
        <n v="5.25"/>
        <n v="8.82"/>
        <n v="6.08"/>
        <n v="39.25"/>
        <n v="29.18"/>
        <n v="10.14"/>
        <n v="22.64"/>
        <n v="33.31"/>
        <n v="41.47"/>
        <n v="30.41"/>
        <n v="44.46"/>
        <n v="47.09"/>
        <n v="36.96"/>
        <n v="40.43"/>
        <n v="5.48"/>
        <n v="36.909999999999997"/>
        <n v="43.25"/>
        <n v="39.83"/>
        <n v="22.48"/>
        <n v="30.78"/>
        <n v="49.91"/>
        <n v="38.61"/>
        <n v="22.35"/>
        <n v="54.81"/>
        <n v="40.44"/>
        <n v="35.450000000000003"/>
        <n v="15.14"/>
        <n v="39.49"/>
        <n v="38.74"/>
        <n v="46.17"/>
        <n v="51.61"/>
        <n v="30.16"/>
        <n v="51.22"/>
        <n v="44.11"/>
        <n v="10.35"/>
        <n v="42.79"/>
        <n v="43.09"/>
        <n v="17.18"/>
        <n v="35.56"/>
        <n v="21.13"/>
        <n v="27.64"/>
        <n v="25.69"/>
        <n v="22.76"/>
        <n v="20.58"/>
        <n v="23.83"/>
        <n v="5.08"/>
        <n v="40.770000000000003"/>
        <n v="9.27"/>
        <n v="41.81"/>
        <n v="8.6300000000000008"/>
        <n v="12.25"/>
        <n v="35.43"/>
        <n v="16.88"/>
        <n v="13.93"/>
        <n v="29.99"/>
        <n v="15.35"/>
        <n v="26.44"/>
        <n v="37.44"/>
        <n v="45.98"/>
        <n v="32.159999999999997"/>
        <n v="5.41"/>
        <n v="12.95"/>
        <n v="10.65"/>
        <n v="16.260000000000002"/>
        <n v="20.32"/>
        <n v="18.510000000000002"/>
        <n v="6.95"/>
        <n v="45.25"/>
        <n v="54.91"/>
        <n v="24.35"/>
        <n v="46.22"/>
        <n v="42.98"/>
        <n v="18.09"/>
        <n v="46.11"/>
        <n v="49.09"/>
        <n v="10.74"/>
        <n v="47.54"/>
        <n v="24.95"/>
        <n v="53.59"/>
        <n v="37.229999999999997"/>
        <n v="5.14"/>
        <n v="32.19"/>
        <n v="11.64"/>
        <n v="11.52"/>
        <n v="11"/>
        <n v="43.8"/>
        <n v="13.87"/>
        <n v="49.12"/>
        <n v="12.9"/>
        <n v="39"/>
        <n v="13.15"/>
        <n v="47.8"/>
        <n v="24.43"/>
        <n v="53.19"/>
        <n v="42.07"/>
        <n v="28.71"/>
        <n v="32.57"/>
        <n v="41.45"/>
        <n v="37.06"/>
        <n v="52.41"/>
        <n v="22.09"/>
        <n v="14.14"/>
        <n v="43.77"/>
        <n v="26.46"/>
        <n v="12.5"/>
        <n v="31.01"/>
        <n v="11.86"/>
        <n v="13.37"/>
        <n v="15.89"/>
        <n v="21.26"/>
        <n v="32.08"/>
        <n v="18.23"/>
        <n v="32.25"/>
        <n v="25.15"/>
        <n v="44.06"/>
        <n v="40.89"/>
        <n v="14.02"/>
        <n v="22.45"/>
        <n v="48.83"/>
        <n v="48.85"/>
        <n v="9.92"/>
        <n v="27.63"/>
        <n v="54.92"/>
        <n v="42.08"/>
        <n v="40.46"/>
        <n v="28"/>
        <n v="41.31"/>
        <n v="31.08"/>
        <n v="27.45"/>
        <n v="25.6"/>
        <n v="53.94"/>
        <n v="10.15"/>
        <n v="28.44"/>
        <n v="7.55"/>
        <n v="33.76"/>
        <n v="8.08"/>
        <n v="45.85"/>
        <n v="21.07"/>
        <n v="31.72"/>
        <n v="15.58"/>
        <n v="42.59"/>
        <n v="13.44"/>
        <n v="20.89"/>
        <n v="44.78"/>
        <n v="35.39"/>
        <n v="38.520000000000003"/>
        <n v="42.92"/>
        <n v="22.17"/>
        <n v="46.16"/>
        <n v="13.31"/>
        <n v="9.83"/>
        <n v="34.770000000000003"/>
        <n v="33.090000000000003"/>
        <n v="23.56"/>
        <n v="36.700000000000003"/>
        <n v="37.29"/>
        <n v="15.32"/>
        <n v="26.67"/>
        <n v="38.78"/>
        <n v="20.25"/>
        <n v="44.23"/>
        <n v="46.56"/>
        <n v="27.77"/>
        <n v="41.72"/>
        <n v="8.6199999999999992"/>
        <n v="51.85"/>
        <n v="9.81"/>
        <n v="49.79"/>
        <n v="31.25"/>
        <n v="16.45"/>
        <n v="52.78"/>
        <n v="34.1"/>
        <n v="44.72"/>
        <n v="52.91"/>
        <n v="39.020000000000003"/>
        <n v="15.42"/>
        <n v="40.99"/>
        <n v="45.04"/>
        <n v="8.1300000000000008"/>
        <n v="35.4"/>
        <n v="26.01"/>
        <n v="24.75"/>
        <n v="5.75"/>
        <n v="33.47"/>
        <n v="23.34"/>
        <n v="29.28"/>
        <n v="52.55"/>
        <n v="20.71"/>
        <n v="51.21"/>
        <n v="38.840000000000003"/>
        <n v="6.41"/>
        <n v="31.22"/>
        <n v="36.15"/>
        <n v="19.75"/>
        <n v="28.47"/>
        <n v="23.38"/>
        <n v="14.78"/>
        <n v="10.18"/>
        <n v="5.01"/>
        <n v="9.16"/>
        <n v="40.47"/>
        <n v="24.98"/>
        <n v="20.11"/>
        <n v="45.58"/>
        <n v="24.48"/>
        <n v="52.93"/>
        <n v="31.45"/>
        <n v="15.97"/>
        <n v="30.15"/>
        <n v="46.13"/>
        <n v="18.73"/>
        <n v="10.72"/>
        <n v="32.42"/>
        <n v="12.07"/>
        <n v="38.47"/>
        <n v="34.729999999999997"/>
        <n v="21.56"/>
        <n v="12.18"/>
        <n v="40.08"/>
        <n v="22.41"/>
        <n v="50.83"/>
        <n v="6.19"/>
        <n v="47.87"/>
        <n v="51.53"/>
        <n v="26.76"/>
        <n v="21.74"/>
        <n v="49.1"/>
        <n v="26.17"/>
        <n v="11.25"/>
        <n v="53.67"/>
        <n v="15.26"/>
        <n v="9.31"/>
        <n v="34.68"/>
        <n v="13.6"/>
        <n v="7.04"/>
        <n v="16.5"/>
        <n v="42.5"/>
        <n v="19.02"/>
        <n v="35.19"/>
        <n v="24.69"/>
        <n v="48.95"/>
        <n v="38.97"/>
        <n v="32.270000000000003"/>
        <n v="11.71"/>
        <n v="19.97"/>
        <n v="24.83"/>
        <n v="51.51"/>
        <n v="13.35"/>
        <n v="54.93"/>
        <n v="24.64"/>
        <n v="7.09"/>
        <n v="48.65"/>
        <n v="28.8"/>
        <n v="54.48"/>
        <n v="36.82"/>
        <n v="15.74"/>
        <n v="20.27"/>
        <n v="53.66"/>
        <n v="38.26"/>
        <n v="7.28"/>
        <n v="13.95"/>
        <n v="5.44"/>
        <n v="40.17"/>
        <n v="13.32"/>
        <n v="49.55"/>
        <n v="49.89"/>
        <n v="15.15"/>
        <n v="25.59"/>
        <n v="31.12"/>
        <n v="11.17"/>
        <n v="47.29"/>
        <n v="11.41"/>
        <n v="40.14"/>
        <n v="39.46"/>
        <n v="47.63"/>
        <n v="52.65"/>
        <n v="15.39"/>
        <n v="27.31"/>
        <n v="31.44"/>
        <n v="46.4"/>
        <n v="23.66"/>
        <n v="19.559999999999999"/>
        <n v="19.829999999999998"/>
        <n v="45.23"/>
        <n v="27.53"/>
        <n v="27.72"/>
        <n v="43.54"/>
        <n v="23.42"/>
        <n v="14.46"/>
        <n v="36.729999999999997"/>
        <n v="48.48"/>
        <n v="39.090000000000003"/>
        <n v="38.68"/>
        <n v="46.39"/>
        <n v="46.24"/>
        <n v="52.88"/>
        <n v="18.16"/>
        <n v="25.3"/>
        <n v="26.61"/>
        <n v="48.24"/>
        <n v="50.29"/>
        <n v="47.64"/>
        <n v="43.11"/>
        <n v="6.05"/>
        <n v="17.149999999999999"/>
        <n v="33.08"/>
        <n v="21.67"/>
        <n v="9.18"/>
        <n v="51.13"/>
        <n v="50.88"/>
        <n v="14.59"/>
        <n v="10.37"/>
        <n v="29.41"/>
        <n v="36.020000000000003"/>
        <n v="49.92"/>
        <n v="13.97"/>
        <n v="32.770000000000003"/>
        <n v="17.3"/>
        <n v="28.4"/>
        <n v="50.97"/>
        <n v="29.91"/>
        <n v="22.31"/>
        <n v="9.36"/>
        <n v="31.65"/>
        <n v="28.69"/>
        <n v="32.29"/>
        <n v="6.5"/>
        <n v="31.85"/>
        <n v="28.29"/>
        <n v="13.76"/>
        <n v="19.36"/>
        <n v="37.97"/>
        <n v="6.21"/>
        <n v="15.3"/>
        <n v="13.45"/>
        <n v="46.91"/>
        <n v="22.92"/>
        <n v="51.86"/>
        <n v="29.59"/>
        <n v="43.83"/>
        <n v="16.07"/>
        <n v="25.66"/>
        <n v="21.55"/>
        <n v="9.59"/>
        <n v="52.31"/>
        <n v="33.17"/>
        <n v="47.55"/>
        <n v="47.69"/>
        <n v="8.0500000000000007"/>
        <n v="26.93"/>
        <n v="9.84"/>
        <n v="45.11"/>
        <n v="32.5"/>
        <n v="30.14"/>
        <n v="22.44"/>
        <n v="31.09"/>
        <n v="38.75"/>
        <n v="39.36"/>
        <n v="33.96"/>
        <n v="43.12"/>
        <n v="53.08"/>
        <n v="48.99"/>
        <n v="31.34"/>
        <n v="29.55"/>
        <n v="38.46"/>
        <n v="49.26"/>
        <n v="9.2200000000000006"/>
        <n v="44.6"/>
        <n v="22.47"/>
        <n v="12.79"/>
        <n v="35.22"/>
        <n v="8.33"/>
        <n v="45.63"/>
        <n v="7.99"/>
        <n v="12.44"/>
        <n v="20.34"/>
        <n v="42.45"/>
        <n v="50.4"/>
        <n v="16.98"/>
        <n v="37.19"/>
        <n v="33.22"/>
        <n v="24.77"/>
        <n v="20.420000000000002"/>
        <n v="44.97"/>
        <n v="16.649999999999999"/>
        <n v="21.72"/>
        <n v="28.25"/>
        <n v="29.48"/>
        <n v="54.58"/>
        <n v="50.5"/>
        <n v="40.340000000000003"/>
        <n v="31.68"/>
        <n v="7.18"/>
        <n v="51.17"/>
        <n v="19.010000000000002"/>
        <n v="25.49"/>
        <n v="30.85"/>
        <n v="14.44"/>
        <n v="38.79"/>
        <n v="30.84"/>
        <n v="15.12"/>
        <n v="42.46"/>
        <n v="50.12"/>
        <n v="8.3800000000000008"/>
        <n v="50.25"/>
        <n v="15.79"/>
        <n v="54.35"/>
        <n v="54.9"/>
        <n v="44.95"/>
        <n v="39.21"/>
        <n v="17.95"/>
        <n v="23.53"/>
        <n v="25.81"/>
        <n v="43.52"/>
        <n v="26.57"/>
        <n v="25.8"/>
        <n v="35.799999999999997"/>
        <n v="11.72"/>
        <n v="43.73"/>
        <n v="20.68"/>
        <n v="44.04"/>
        <n v="16.29"/>
        <n v="8.4600000000000009"/>
        <n v="48.92"/>
        <n v="11.67"/>
        <n v="34.159999999999997"/>
        <n v="40.64"/>
        <n v="7.39"/>
        <n v="47.67"/>
        <n v="36.520000000000003"/>
        <n v="14.77"/>
        <n v="38.340000000000003"/>
        <n v="16.78"/>
        <n v="10.32"/>
        <n v="33.67"/>
        <n v="49.63"/>
        <n v="20.75"/>
        <n v="27.39"/>
        <n v="36.65"/>
        <n v="41.8"/>
        <n v="54.96"/>
        <n v="48.22"/>
        <n v="29.61"/>
        <n v="34.15"/>
        <n v="6.88"/>
        <n v="31.55"/>
        <n v="44.5"/>
        <n v="30.24"/>
        <n v="10.39"/>
        <n v="49.22"/>
        <n v="27.5"/>
        <n v="13.61"/>
        <n v="10.8"/>
        <n v="26.27"/>
        <n v="18.29"/>
        <n v="12.49"/>
        <n v="54.78"/>
        <n v="24.23"/>
        <n v="34.69"/>
        <n v="8.8000000000000007"/>
        <n v="44.4"/>
        <n v="23.27"/>
        <n v="27.35"/>
        <n v="42.02"/>
        <n v="47.57"/>
        <n v="36.200000000000003"/>
        <n v="44.45"/>
        <n v="9.0399999999999991"/>
        <n v="38.39"/>
        <n v="51.56"/>
        <n v="45.66"/>
        <n v="20.22"/>
        <n v="54.47"/>
        <n v="52.38"/>
        <n v="6.65"/>
        <n v="54.06"/>
        <n v="17.61"/>
        <n v="24.36"/>
        <n v="14.79"/>
        <n v="34.31"/>
        <n v="27.07"/>
        <n v="9.69"/>
        <n v="23.52"/>
        <n v="25.5"/>
        <n v="16.7"/>
        <n v="19.41"/>
        <n v="17.72"/>
        <n v="44.49"/>
        <n v="33.43"/>
        <n v="21.66"/>
        <n v="18.420000000000002"/>
        <n v="38.549999999999997"/>
        <n v="46.98"/>
        <n v="23.32"/>
        <n v="22.43"/>
        <n v="21.41"/>
        <n v="43.56"/>
        <n v="26.77"/>
        <n v="40.54"/>
        <n v="8.1199999999999992"/>
        <n v="52.08"/>
        <n v="49.66"/>
        <n v="53.84"/>
        <n v="54.51"/>
        <n v="52.45"/>
        <n v="31.51"/>
        <n v="31.77"/>
        <n v="47.41"/>
        <n v="28.06"/>
        <n v="39.369999999999997"/>
        <n v="52.99"/>
        <n v="54.21"/>
        <n v="26.79"/>
        <n v="52.86"/>
        <n v="47.52"/>
        <n v="48.11"/>
        <n v="46.26"/>
        <n v="47.43"/>
        <n v="19.059999999999999"/>
        <n v="10.69"/>
        <n v="33.28"/>
        <n v="5.59"/>
        <n v="44.37"/>
        <n v="40.58"/>
        <n v="26.24"/>
        <n v="49.33"/>
        <n v="18.170000000000002"/>
        <n v="6.24"/>
        <n v="19.7"/>
        <n v="6.67"/>
        <n v="6.62"/>
        <n v="44.21"/>
        <n v="29.78"/>
        <n v="46.68"/>
        <n v="23.65"/>
        <n v="5.24"/>
        <n v="20.72"/>
        <n v="30.11"/>
        <n v="45.13"/>
        <n v="40.72"/>
        <n v="43.18"/>
        <n v="24.76"/>
        <n v="18.91"/>
        <n v="15.44"/>
        <n v="14.88"/>
        <n v="24.92"/>
        <n v="5.65"/>
        <n v="49.7"/>
        <n v="54.34"/>
        <n v="29.02"/>
        <n v="23.51"/>
        <n v="17.98"/>
        <n v="48.49"/>
        <n v="16.690000000000001"/>
        <n v="32.409999999999997"/>
        <n v="24.13"/>
        <n v="41.92"/>
        <n v="17.760000000000002"/>
        <n v="31.03"/>
        <n v="39.61"/>
        <n v="53.11"/>
        <n v="49.21"/>
        <n v="43.71"/>
        <n v="48.71"/>
        <n v="26.1"/>
        <n v="49.57"/>
        <n v="6.85"/>
        <n v="37.78"/>
        <n v="8.84"/>
        <n v="50.55"/>
        <n v="17.02"/>
        <n v="30.22"/>
        <n v="25.13"/>
        <n v="5.71"/>
        <n v="34.53"/>
        <n v="48.16"/>
        <n v="41.51"/>
        <n v="34.82"/>
        <n v="11.24"/>
        <n v="31.66"/>
        <n v="19.23"/>
        <n v="14.11"/>
        <n v="53.26"/>
        <n v="45.45"/>
        <n v="49.27"/>
        <n v="26.73"/>
        <n v="22.96"/>
        <n v="26.5"/>
        <n v="21.34"/>
        <n v="41.82"/>
        <n v="10.73"/>
        <n v="25.42"/>
        <n v="44.48"/>
        <n v="11.53"/>
        <n v="34.35"/>
        <n v="10.82"/>
        <n v="6.39"/>
        <n v="28.61"/>
        <n v="34.08"/>
        <n v="38.119999999999997"/>
        <n v="13.59"/>
        <n v="30.9"/>
        <n v="10.42"/>
        <n v="42.68"/>
        <n v="29.05"/>
        <n v="6.36"/>
        <n v="49.69"/>
        <n v="54.15"/>
        <n v="42.22"/>
        <n v="23.02"/>
        <n v="47.19"/>
        <n v="27.79"/>
        <n v="30.91"/>
        <n v="50.04"/>
        <n v="25.77"/>
        <n v="12.28"/>
        <n v="33.42"/>
        <n v="17.850000000000001"/>
        <n v="22.86"/>
        <n v="24.26"/>
        <n v="37.76"/>
        <n v="48.13"/>
        <n v="34.299999999999997"/>
        <n v="10.63"/>
        <n v="16"/>
        <n v="42.38"/>
        <n v="36.08"/>
        <n v="51.79"/>
        <n v="44.03"/>
        <n v="42.64"/>
        <n v="8.94"/>
        <n v="42.49"/>
        <n v="34.799999999999997"/>
        <n v="48.06"/>
        <n v="46.53"/>
        <n v="10.19"/>
        <n v="15.18"/>
        <n v="14.51"/>
        <n v="44.27"/>
        <n v="39.159999999999997"/>
        <n v="49.41"/>
        <n v="50.53"/>
        <n v="5.64"/>
        <n v="37.950000000000003"/>
        <n v="5.3"/>
        <n v="6.59"/>
        <n v="16.04"/>
        <n v="22.2"/>
        <n v="26.91"/>
        <n v="39.31"/>
        <n v="50.09"/>
        <n v="32.96"/>
        <n v="26.87"/>
        <n v="42.43"/>
        <n v="28.02"/>
        <n v="14.81"/>
        <n v="23.45"/>
        <n v="25.65"/>
        <n v="31.67"/>
        <n v="46.6"/>
        <n v="46.41"/>
        <n v="9.2100000000000009"/>
        <n v="10.48"/>
        <n v="15.47"/>
        <n v="37.01"/>
        <n v="22.93"/>
        <n v="11.54"/>
        <n v="14.25"/>
        <n v="41.11"/>
        <n v="24.27"/>
        <n v="6.27"/>
        <n v="9.26"/>
        <n v="48.08"/>
        <n v="18.95"/>
        <n v="45.51"/>
        <n v="21.68"/>
        <n v="54.69"/>
        <n v="5.17"/>
        <n v="12.24"/>
        <n v="46.31"/>
        <n v="50.84"/>
        <n v="6"/>
        <n v="29.19"/>
        <n v="38.799999999999997"/>
        <n v="31.56"/>
        <n v="31.9"/>
        <n v="24.4"/>
        <n v="35.15"/>
        <n v="14.05"/>
        <n v="30.88"/>
        <n v="20.78"/>
        <n v="26.99"/>
        <n v="50.05"/>
        <n v="11.6"/>
        <n v="40.619999999999997"/>
        <n v="42.01"/>
        <n v="48.36"/>
        <n v="38.909999999999997"/>
        <n v="13.46"/>
        <n v="18.75"/>
        <n v="5.53"/>
        <n v="21.16"/>
        <n v="20.29"/>
        <n v="52.92"/>
        <n v="8.26"/>
        <n v="26.7"/>
        <n v="42.67"/>
        <n v="24.32"/>
        <n v="18.649999999999999"/>
        <n v="27.18"/>
        <n v="51.66"/>
        <n v="17.62"/>
        <n v="31.04"/>
        <n v="18.03"/>
        <n v="39.200000000000003"/>
        <n v="38.450000000000003"/>
        <n v="12.01"/>
        <n v="7.65"/>
        <n v="11.22"/>
        <n v="36.840000000000003"/>
        <n v="39.04"/>
        <n v="22.18"/>
        <n v="17.91"/>
        <n v="34.18"/>
        <n v="31.79"/>
        <n v="24.58"/>
        <n v="25.45"/>
        <n v="5.93"/>
        <n v="17.170000000000002"/>
        <n v="21.27"/>
        <n v="47.88"/>
        <n v="30.82"/>
        <n v="15.93"/>
        <n v="32"/>
        <n v="21.21"/>
        <n v="29.7"/>
        <n v="39.75"/>
        <n v="19.78"/>
        <n v="40.869999999999997"/>
        <n v="5.74"/>
        <n v="52.2"/>
        <n v="16.22"/>
        <n v="44.92"/>
        <n v="7.94"/>
        <n v="47.71"/>
        <n v="28.55"/>
        <n v="35.520000000000003"/>
        <n v="16.91"/>
        <n v="45.1"/>
        <n v="48.87"/>
        <n v="24.9"/>
        <n v="15.57"/>
        <n v="8.9700000000000006"/>
        <n v="14.35"/>
        <n v="15.87"/>
        <n v="29.34"/>
        <n v="40.479999999999997"/>
        <n v="5.92"/>
        <n v="13.56"/>
        <n v="41.96"/>
        <n v="31.53"/>
        <n v="15.64"/>
        <n v="33.61"/>
        <n v="21.76"/>
        <n v="32.28"/>
        <n v="52.49"/>
        <n v="18.559999999999999"/>
        <n v="43.41"/>
        <n v="5.23"/>
        <n v="14.55"/>
        <n v="44.57"/>
        <n v="41.55"/>
        <n v="37.15"/>
        <n v="43.27"/>
        <n v="34.840000000000003"/>
        <n v="40.909999999999997"/>
        <n v="52.01"/>
        <n v="23.75"/>
        <n v="25.54"/>
        <n v="49.56"/>
        <n v="5.61"/>
        <n v="42.55"/>
        <n v="34.67"/>
        <n v="50.66"/>
        <n v="54.52"/>
        <n v="44.41"/>
        <n v="9.25"/>
        <n v="26.11"/>
        <n v="49.35"/>
        <n v="20.77"/>
        <n v="40.9"/>
        <n v="26.13"/>
        <n v="20.12"/>
        <n v="34.270000000000003"/>
        <n v="51.24"/>
        <n v="31.48"/>
        <n v="38.82"/>
        <n v="42.23"/>
        <n v="17.82"/>
        <n v="15.76"/>
        <n v="38.36"/>
        <n v="7.34"/>
        <n v="16.920000000000002"/>
        <n v="38.270000000000003"/>
        <n v="10.83"/>
        <n v="19.73"/>
        <n v="10.23"/>
        <n v="36.33"/>
        <n v="43.93"/>
        <n v="15.68"/>
        <n v="53.06"/>
        <n v="6.51"/>
        <n v="39.979999999999997"/>
        <n v="37.130000000000003"/>
        <n v="50.1"/>
        <n v="24.3"/>
        <n v="51.27"/>
        <n v="32.4"/>
        <n v="44.9"/>
        <n v="12.63"/>
        <n v="17.03"/>
        <n v="19.62"/>
        <n v="45.4"/>
        <n v="32.32"/>
        <n v="53.97"/>
        <n v="48.72"/>
        <n v="13.8"/>
        <n v="46.74"/>
        <n v="42.51"/>
        <n v="54.37"/>
        <n v="23.76"/>
        <n v="35.99"/>
        <n v="14.71"/>
        <n v="20.37"/>
        <n v="38.950000000000003"/>
        <n v="30.29"/>
        <n v="24.49"/>
        <n v="41.54"/>
        <n v="36.18"/>
        <n v="36.61"/>
        <n v="28.9"/>
        <n v="27.87"/>
        <n v="35.880000000000003"/>
        <n v="38.72"/>
        <n v="8.48"/>
        <n v="53.71"/>
        <n v="20.93"/>
        <n v="29.94"/>
        <n v="51.05"/>
        <n v="35.020000000000003"/>
        <n v="11.06"/>
        <n v="39.17"/>
        <n v="12.99"/>
        <n v="9.67"/>
        <n v="37.409999999999997"/>
        <n v="53.28"/>
        <n v="33.07"/>
        <n v="21.49"/>
        <n v="43.21"/>
        <n v="51.36"/>
        <n v="18.88"/>
        <n v="24.47"/>
        <n v="32.549999999999997"/>
        <n v="48.79"/>
        <n v="12.76"/>
        <n v="49.76"/>
        <n v="28.24"/>
        <n v="32.1"/>
        <n v="37.549999999999997"/>
        <n v="17.739999999999998"/>
        <n v="15.37"/>
        <n v="38.5"/>
        <n v="48.2"/>
        <n v="25.14"/>
        <n v="10.29"/>
        <n v="47.78"/>
        <n v="10.58"/>
        <n v="33.299999999999997"/>
        <n v="47.45"/>
        <n v="27.11"/>
        <n v="26.34"/>
        <n v="23.22"/>
        <n v="19.8"/>
        <n v="22.3"/>
        <n v="16.55"/>
        <n v="24.67"/>
        <n v="52.96"/>
        <n v="24.12"/>
        <n v="49.77"/>
        <n v="6.87"/>
        <n v="40.56"/>
        <n v="50.58"/>
        <n v="38.83"/>
        <n v="18.53"/>
        <n v="38.81"/>
        <n v="6.07"/>
        <n v="23.06"/>
        <n v="20.97"/>
        <n v="29.26"/>
        <n v="15.92"/>
        <n v="51.72"/>
        <n v="40.94"/>
        <n v="47.01"/>
        <n v="5.52"/>
        <n v="32.82"/>
        <n v="53.68"/>
        <n v="29.12"/>
        <n v="13.77"/>
        <n v="9.7200000000000006"/>
        <n v="52.12"/>
        <n v="19"/>
        <n v="15.33"/>
        <n v="54.45"/>
        <n v="5.94"/>
        <n v="51.87"/>
        <n v="21.05"/>
        <n v="25.05"/>
        <n v="54.59"/>
        <n v="44.84"/>
        <n v="17.66"/>
        <n v="35.770000000000003"/>
        <n v="47.15"/>
        <n v="18.55"/>
        <n v="27.47"/>
        <n v="14.41"/>
        <n v="8.44"/>
        <n v="16.68"/>
        <n v="13.81"/>
        <n v="29.3"/>
        <n v="30.04"/>
        <n v="27.03"/>
        <n v="20.62"/>
        <n v="11.38"/>
        <n v="19.84"/>
        <n v="9.1"/>
        <n v="53.77"/>
        <n v="35.159999999999997"/>
        <n v="37.28"/>
        <n v="54.4"/>
        <n v="53.57"/>
        <n v="40.76"/>
        <n v="31.84"/>
        <n v="18.350000000000001"/>
        <n v="24.8"/>
        <n v="6.46"/>
        <n v="51.74"/>
        <n v="29.15"/>
        <n v="38.03"/>
        <n v="24.55"/>
        <n v="10.89"/>
        <n v="15.59"/>
        <n v="48.91"/>
        <n v="8.56"/>
        <n v="44.79"/>
        <n v="50.75"/>
        <n v="9.15"/>
        <n v="42.44"/>
        <n v="10.27"/>
        <n v="6.61"/>
        <n v="21.57"/>
        <n v="18.25"/>
        <n v="8.67"/>
        <n v="5.04"/>
        <n v="28.74"/>
        <n v="42.82"/>
        <n v="48.15"/>
        <n v="20.04"/>
        <n v="45.41"/>
        <n v="54.94"/>
        <n v="35.35"/>
        <n v="34.75"/>
        <n v="17.8"/>
        <n v="12.7"/>
        <n v="12.17"/>
        <n v="28.88"/>
        <n v="48.81"/>
        <n v="47.83"/>
        <n v="7.66"/>
        <n v="16.75"/>
        <n v="11.76"/>
        <n v="22.11"/>
        <n v="32.979999999999997"/>
        <n v="24.87"/>
        <n v="11.51"/>
        <n v="49.5"/>
        <n v="20.87"/>
        <n v="34.659999999999997"/>
        <n v="33.82"/>
        <n v="42.99"/>
        <n v="6.35"/>
        <n v="31.46"/>
        <n v="33.770000000000003"/>
        <n v="12.87"/>
        <n v="9.49"/>
        <n v="31.74"/>
        <n v="39.65"/>
        <n v="41.65"/>
        <n v="37.270000000000003"/>
        <n v="23.01"/>
        <n v="34.33"/>
        <n v="25.11"/>
        <n v="29.9"/>
        <n v="21.15"/>
        <n v="49.52"/>
        <n v="32.93"/>
        <n v="50.67"/>
        <n v="34.4"/>
        <n v="41.21"/>
        <n v="42.42"/>
        <n v="38.24"/>
        <n v="10.3"/>
        <n v="29.65"/>
        <n v="40.69"/>
        <n v="13.39"/>
        <n v="36.19"/>
        <n v="20.38"/>
        <n v="7.19"/>
        <n v="41.41"/>
        <n v="47.89"/>
        <n v="6.92"/>
        <n v="22.27"/>
        <n v="48.03"/>
        <n v="39.35"/>
        <n v="54.23"/>
        <n v="35.11"/>
        <n v="36.51"/>
        <n v="36.369999999999997"/>
        <n v="42.85"/>
        <n v="11.15"/>
        <n v="5.16"/>
        <n v="39.44"/>
        <n v="38.33"/>
        <n v="28.11"/>
        <n v="54.57"/>
        <n v="37.65"/>
        <n v="39.94"/>
        <n v="54.39"/>
        <n v="36.97"/>
        <n v="33.03"/>
        <n v="28.23"/>
        <n v="46.62"/>
        <n v="22.13"/>
        <n v="18.02"/>
        <n v="53.9"/>
        <n v="11.93"/>
        <n v="45.44"/>
        <n v="46.18"/>
        <n v="24.96"/>
        <n v="20.73"/>
        <n v="54.28"/>
        <n v="14.31"/>
        <n v="19.66"/>
        <n v="26.81"/>
        <n v="43.02"/>
        <n v="38.19"/>
        <n v="30.12"/>
        <n v="42.11"/>
        <n v="32.950000000000003"/>
        <n v="43.74"/>
        <n v="30.09"/>
        <n v="53.23"/>
        <n v="37.07"/>
        <n v="40.35"/>
        <n v="10.039999999999999"/>
        <n v="26.88"/>
        <n v="26.53"/>
        <n v="13.17"/>
        <n v="26.96"/>
        <n v="11.27"/>
        <n v="37.79"/>
        <n v="10.98"/>
        <n v="24.15"/>
        <n v="29.62"/>
        <n v="34.06"/>
        <n v="47.75"/>
        <n v="31.86"/>
        <n v="23.07"/>
        <n v="52.64"/>
        <n v="41.25"/>
        <n v="22.94"/>
        <n v="6.78"/>
        <n v="49.73"/>
        <n v="48.82"/>
        <n v="10.61"/>
        <n v="15.9"/>
        <n v="39.1"/>
        <n v="15.31"/>
        <n v="6.82"/>
        <n v="34.32"/>
        <n v="18.77"/>
        <n v="45.12"/>
        <n v="20.66"/>
        <n v="10.49"/>
        <n v="34.090000000000003"/>
        <n v="33.44"/>
        <n v="9.01"/>
        <n v="38.869999999999997"/>
        <n v="42.04"/>
        <n v="49.81"/>
        <n v="36.03"/>
        <n v="10.130000000000001"/>
        <n v="44.01"/>
        <n v="53.41"/>
        <n v="6.01"/>
        <n v="34.630000000000003"/>
        <n v="17.73"/>
        <n v="49.34"/>
        <n v="18.47"/>
        <n v="17.54"/>
        <n v="10.16"/>
        <n v="26.22"/>
        <n v="16.559999999999999"/>
        <n v="17.489999999999998"/>
        <n v="43.47"/>
        <n v="14.29"/>
        <n v="25.23"/>
        <n v="13.69"/>
        <n v="12.83"/>
        <n v="8.49"/>
        <n v="46.54"/>
        <n v="24.63"/>
        <n v="19.13"/>
        <n v="46.21"/>
        <n v="6.38"/>
        <n v="34.85"/>
        <n v="8.02"/>
        <n v="9.74"/>
        <n v="29.51"/>
        <n v="46.03"/>
        <n v="32.61"/>
        <n v="29.43"/>
        <n v="37.21"/>
        <n v="47.14"/>
        <n v="7.01"/>
        <n v="32.369999999999997"/>
        <n v="42.6"/>
        <n v="38.15"/>
        <n v="13.54"/>
        <n v="54.77"/>
        <n v="22.66"/>
        <n v="49.31"/>
        <n v="11.16"/>
        <n v="23.88"/>
        <n v="23.82"/>
        <n v="52.75"/>
        <n v="21.02"/>
        <n v="51.96"/>
        <n v="23.64"/>
        <n v="7.07"/>
        <n v="13.82"/>
        <n v="43.32"/>
        <n v="14.3"/>
        <n v="6.45"/>
        <n v="26.47"/>
        <n v="25.2"/>
        <n v="13.51"/>
        <n v="54.68"/>
        <n v="7.25"/>
        <n v="5.7"/>
        <n v="7.23"/>
        <n v="38.58"/>
        <n v="5.63"/>
        <n v="15.06"/>
        <n v="53.7"/>
        <n v="27.56"/>
        <n v="23.14"/>
        <n v="36.340000000000003"/>
        <n v="10.7"/>
        <n v="15.1"/>
        <n v="19.28"/>
        <n v="54.85"/>
        <n v="22.61"/>
        <n v="21.79"/>
        <n v="9.58"/>
        <n v="7.4"/>
        <n v="44.38"/>
        <n v="47.5"/>
        <n v="16.420000000000002"/>
        <n v="31.52"/>
        <n v="33.729999999999997"/>
        <n v="13.02"/>
        <n v="7.12"/>
        <n v="26.06"/>
        <n v="18.579999999999998"/>
        <n v="32.01"/>
        <n v="27.88"/>
        <n v="17.239999999999998"/>
      </sharedItems>
    </cacheField>
    <cacheField name="Funding Source" numFmtId="0">
      <sharedItems count="5">
        <s v="Private Equity"/>
        <s v="Angel Investors"/>
        <s v="Venture Capital"/>
        <s v="Corporate Investment"/>
        <s v="Government Grants"/>
      </sharedItems>
    </cacheField>
    <cacheField name="New Employees" numFmtId="0">
      <sharedItems containsSemiMixedTypes="0" containsString="0" containsNumber="1" containsInteger="1" minValue="1" maxValue="50"/>
    </cacheField>
    <cacheField name="Total Employees" numFmtId="0">
      <sharedItems containsSemiMixedTypes="0" containsString="0" containsNumber="1" containsInteger="1" minValue="100" maxValue="599" count="491">
        <n v="524"/>
        <n v="128"/>
        <n v="275"/>
        <n v="582"/>
        <n v="285"/>
        <n v="510"/>
        <n v="123"/>
        <n v="331"/>
        <n v="514"/>
        <n v="231"/>
        <n v="256"/>
        <n v="225"/>
        <n v="469"/>
        <n v="413"/>
        <n v="293"/>
        <n v="223"/>
        <n v="472"/>
        <n v="542"/>
        <n v="500"/>
        <n v="131"/>
        <n v="405"/>
        <n v="104"/>
        <n v="442"/>
        <n v="482"/>
        <n v="431"/>
        <n v="282"/>
        <n v="201"/>
        <n v="103"/>
        <n v="255"/>
        <n v="586"/>
        <n v="595"/>
        <n v="112"/>
        <n v="187"/>
        <n v="597"/>
        <n v="438"/>
        <n v="418"/>
        <n v="533"/>
        <n v="387"/>
        <n v="296"/>
        <n v="452"/>
        <n v="324"/>
        <n v="457"/>
        <n v="390"/>
        <n v="329"/>
        <n v="384"/>
        <n v="109"/>
        <n v="281"/>
        <n v="124"/>
        <n v="599"/>
        <n v="493"/>
        <n v="101"/>
        <n v="235"/>
        <n v="558"/>
        <n v="233"/>
        <n v="312"/>
        <n v="351"/>
        <n v="488"/>
        <n v="265"/>
        <n v="139"/>
        <n v="209"/>
        <n v="138"/>
        <n v="566"/>
        <n v="263"/>
        <n v="499"/>
        <n v="290"/>
        <n v="338"/>
        <n v="552"/>
        <n v="470"/>
        <n v="517"/>
        <n v="194"/>
        <n v="570"/>
        <n v="232"/>
        <n v="463"/>
        <n v="111"/>
        <n v="526"/>
        <n v="388"/>
        <n v="421"/>
        <n v="294"/>
        <n v="301"/>
        <n v="588"/>
        <n v="177"/>
        <n v="578"/>
        <n v="414"/>
        <n v="319"/>
        <n v="569"/>
        <n v="350"/>
        <n v="369"/>
        <n v="279"/>
        <n v="398"/>
        <n v="441"/>
        <n v="339"/>
        <n v="273"/>
        <n v="554"/>
        <n v="460"/>
        <n v="479"/>
        <n v="249"/>
        <n v="274"/>
        <n v="523"/>
        <n v="192"/>
        <n v="120"/>
        <n v="530"/>
        <n v="576"/>
        <n v="345"/>
        <n v="592"/>
        <n v="575"/>
        <n v="333"/>
        <n v="161"/>
        <n v="337"/>
        <n v="229"/>
        <n v="477"/>
        <n v="444"/>
        <n v="494"/>
        <n v="107"/>
        <n v="346"/>
        <n v="362"/>
        <n v="376"/>
        <n v="385"/>
        <n v="439"/>
        <n v="157"/>
        <n v="306"/>
        <n v="222"/>
        <n v="538"/>
        <n v="443"/>
        <n v="368"/>
        <n v="422"/>
        <n v="450"/>
        <n v="567"/>
        <n v="318"/>
        <n v="445"/>
        <n v="148"/>
        <n v="487"/>
        <n v="118"/>
        <n v="537"/>
        <n v="430"/>
        <n v="193"/>
        <n v="102"/>
        <n v="364"/>
        <n v="173"/>
        <n v="261"/>
        <n v="317"/>
        <n v="113"/>
        <n v="334"/>
        <n v="594"/>
        <n v="489"/>
        <n v="253"/>
        <n v="484"/>
        <n v="455"/>
        <n v="149"/>
        <n v="598"/>
        <n v="242"/>
        <n v="425"/>
        <n v="299"/>
        <n v="435"/>
        <n v="221"/>
        <n v="427"/>
        <n v="374"/>
        <n v="252"/>
        <n v="182"/>
        <n v="259"/>
        <n v="137"/>
        <n v="186"/>
        <n v="453"/>
        <n v="132"/>
        <n v="175"/>
        <n v="251"/>
        <n v="434"/>
        <n v="587"/>
        <n v="424"/>
        <n v="244"/>
        <n v="315"/>
        <n v="371"/>
        <n v="208"/>
        <n v="348"/>
        <n v="512"/>
        <n v="449"/>
        <n v="516"/>
        <n v="573"/>
        <n v="295"/>
        <n v="267"/>
        <n v="204"/>
        <n v="415"/>
        <n v="417"/>
        <n v="160"/>
        <n v="522"/>
        <n v="534"/>
        <n v="332"/>
        <n v="495"/>
        <n v="170"/>
        <n v="466"/>
        <n v="181"/>
        <n v="174"/>
        <n v="355"/>
        <n v="544"/>
        <n v="140"/>
        <n v="531"/>
        <n v="110"/>
        <n v="543"/>
        <n v="230"/>
        <n v="248"/>
        <n v="122"/>
        <n v="341"/>
        <n v="276"/>
        <n v="548"/>
        <n v="171"/>
        <n v="462"/>
        <n v="478"/>
        <n v="504"/>
        <n v="536"/>
        <n v="360"/>
        <n v="432"/>
        <n v="191"/>
        <n v="323"/>
        <n v="172"/>
        <n v="497"/>
        <n v="403"/>
        <n v="119"/>
        <n v="117"/>
        <n v="340"/>
        <n v="197"/>
        <n v="258"/>
        <n v="550"/>
        <n v="440"/>
        <n v="210"/>
        <n v="142"/>
        <n v="437"/>
        <n v="116"/>
        <n v="144"/>
        <n v="158"/>
        <n v="507"/>
        <n v="250"/>
        <n v="490"/>
        <n v="304"/>
        <n v="240"/>
        <n v="150"/>
        <n v="529"/>
        <n v="308"/>
        <n v="590"/>
        <n v="127"/>
        <n v="454"/>
        <n v="498"/>
        <n v="220"/>
        <n v="238"/>
        <n v="237"/>
        <n v="356"/>
        <n v="407"/>
        <n v="213"/>
        <n v="151"/>
        <n v="409"/>
        <n v="410"/>
        <n v="153"/>
        <n v="433"/>
        <n v="126"/>
        <n v="521"/>
        <n v="383"/>
        <n v="518"/>
        <n v="262"/>
        <n v="471"/>
        <n v="391"/>
        <n v="302"/>
        <n v="246"/>
        <n v="322"/>
        <n v="349"/>
        <n v="358"/>
        <n v="547"/>
        <n v="108"/>
        <n v="254"/>
        <n v="228"/>
        <n v="309"/>
        <n v="496"/>
        <n v="473"/>
        <n v="288"/>
        <n v="508"/>
        <n v="105"/>
        <n v="165"/>
        <n v="183"/>
        <n v="448"/>
        <n v="464"/>
        <n v="565"/>
        <n v="164"/>
        <n v="401"/>
        <n v="446"/>
        <n v="568"/>
        <n v="483"/>
        <n v="474"/>
        <n v="212"/>
        <n v="382"/>
        <n v="300"/>
        <n v="423"/>
        <n v="357"/>
        <n v="215"/>
        <n v="264"/>
        <n v="428"/>
        <n v="286"/>
        <n v="520"/>
        <n v="404"/>
        <n v="257"/>
        <n v="243"/>
        <n v="532"/>
        <n v="480"/>
        <n v="176"/>
        <n v="289"/>
        <n v="393"/>
        <n v="501"/>
        <n v="217"/>
        <n v="216"/>
        <n v="278"/>
        <n v="395"/>
        <n v="456"/>
        <n v="475"/>
        <n v="167"/>
        <n v="515"/>
        <n v="412"/>
        <n v="125"/>
        <n v="559"/>
        <n v="320"/>
        <n v="551"/>
        <n v="227"/>
        <n v="206"/>
        <n v="129"/>
        <n v="178"/>
        <n v="564"/>
        <n v="585"/>
        <n v="572"/>
        <n v="268"/>
        <n v="236"/>
        <n v="239"/>
        <n v="458"/>
        <n v="557"/>
        <n v="354"/>
        <n v="379"/>
        <n v="394"/>
        <n v="169"/>
        <n v="247"/>
        <n v="314"/>
        <n v="163"/>
        <n v="486"/>
        <n v="461"/>
        <n v="491"/>
        <n v="485"/>
        <n v="218"/>
        <n v="562"/>
        <n v="419"/>
        <n v="224"/>
        <n v="406"/>
        <n v="381"/>
        <n v="367"/>
        <n v="202"/>
        <n v="556"/>
        <n v="325"/>
        <n v="287"/>
        <n v="146"/>
        <n v="245"/>
        <n v="366"/>
        <n v="234"/>
        <n v="283"/>
        <n v="451"/>
        <n v="292"/>
        <n v="492"/>
        <n v="226"/>
        <n v="476"/>
        <n v="207"/>
        <n v="397"/>
        <n v="313"/>
        <n v="555"/>
        <n v="344"/>
        <n v="519"/>
        <n v="269"/>
        <n v="467"/>
        <n v="402"/>
        <n v="280"/>
        <n v="416"/>
        <n v="370"/>
        <n v="189"/>
        <n v="326"/>
        <n v="459"/>
        <n v="200"/>
        <n v="545"/>
        <n v="195"/>
        <n v="375"/>
        <n v="188"/>
        <n v="386"/>
        <n v="399"/>
        <n v="408"/>
        <n v="321"/>
        <n v="561"/>
        <n v="513"/>
        <n v="327"/>
        <n v="330"/>
        <n v="546"/>
        <n v="168"/>
        <n v="303"/>
        <n v="377"/>
        <n v="583"/>
        <n v="389"/>
        <n v="205"/>
        <n v="298"/>
        <n v="335"/>
        <n v="343"/>
        <n v="571"/>
        <n v="159"/>
        <n v="535"/>
        <n v="266"/>
        <n v="577"/>
        <n v="511"/>
        <n v="145"/>
        <n v="166"/>
        <n v="361"/>
        <n v="359"/>
        <n v="342"/>
        <n v="502"/>
        <n v="593"/>
        <n v="584"/>
        <n v="155"/>
        <n v="311"/>
        <n v="436"/>
        <n v="579"/>
        <n v="106"/>
        <n v="152"/>
        <n v="305"/>
        <n v="180"/>
        <n v="115"/>
        <n v="541"/>
        <n v="143"/>
        <n v="135"/>
        <n v="392"/>
        <n v="114"/>
        <n v="297"/>
        <n v="580"/>
        <n v="560"/>
        <n v="465"/>
        <n v="505"/>
        <n v="133"/>
        <n v="316"/>
        <n v="185"/>
        <n v="198"/>
        <n v="553"/>
        <n v="284"/>
        <n v="380"/>
        <n v="307"/>
        <n v="347"/>
        <n v="141"/>
        <n v="591"/>
        <n v="352"/>
        <n v="353"/>
        <n v="509"/>
        <n v="190"/>
        <n v="378"/>
        <n v="596"/>
        <n v="411"/>
        <n v="241"/>
        <n v="420"/>
        <n v="219"/>
        <n v="528"/>
        <n v="310"/>
        <n v="277"/>
        <n v="211"/>
        <n v="336"/>
        <n v="589"/>
        <n v="365"/>
        <n v="549"/>
        <n v="372"/>
        <n v="447"/>
        <n v="539"/>
        <n v="506"/>
        <n v="503"/>
        <n v="162"/>
        <n v="130"/>
        <n v="179"/>
        <n v="468"/>
        <n v="121"/>
        <n v="156"/>
        <n v="525"/>
        <n v="147"/>
        <n v="363"/>
        <n v="214"/>
        <n v="574"/>
        <n v="328"/>
        <n v="563"/>
        <n v="396"/>
        <n v="291"/>
        <n v="581"/>
        <n v="100"/>
        <n v="199"/>
        <n v="429"/>
        <n v="184"/>
        <n v="196"/>
        <n v="540"/>
        <n v="203"/>
        <n v="426"/>
        <n v="154"/>
        <n v="481"/>
      </sharedItems>
    </cacheField>
    <cacheField name="Employee Retention Rate (%)" numFmtId="0">
      <sharedItems containsSemiMixedTypes="0" containsString="0" containsNumber="1" minValue="75.010000000000005" maxValue="94.97"/>
    </cacheField>
    <cacheField name="Revenue Growth (%)" numFmtId="0">
      <sharedItems containsSemiMixedTypes="0" containsString="0" containsNumber="1" minValue="5.04" maxValue="34.99"/>
    </cacheField>
    <cacheField name="Operating Expenses ($M)" numFmtId="0">
      <sharedItems containsSemiMixedTypes="0" containsString="0" containsNumber="1" minValue="2.0099999999999998" maxValue="21.99"/>
    </cacheField>
    <cacheField name="R&amp;D Investment ($M)" numFmtId="0">
      <sharedItems containsSemiMixedTypes="0" containsString="0" containsNumber="1" minValue="1.02" maxValue="16"/>
    </cacheField>
    <cacheField name="Market Valuation ($M)" numFmtId="0">
      <sharedItems containsSemiMixedTypes="0" containsString="0" containsNumber="1" minValue="100.07" maxValue="599.86"/>
    </cacheField>
    <cacheField name="Customer Acquisition" numFmtId="0">
      <sharedItems containsSemiMixedTypes="0" containsString="0" containsNumber="1" containsInteger="1" minValue="100" maxValue="1099"/>
    </cacheField>
    <cacheField name="Expansion Projects" numFmtId="0">
      <sharedItems containsSemiMixedTypes="0" containsString="0" containsNumber="1" containsInteger="1" minValue="1" maxValue="5"/>
    </cacheField>
    <cacheField name="Training Hours" numFmtId="0">
      <sharedItems containsSemiMixedTypes="0" containsString="0" containsNumber="1" containsInteger="1" minValue="50" maxValue="249"/>
    </cacheField>
  </cacheFields>
  <extLst>
    <ext xmlns:x14="http://schemas.microsoft.com/office/spreadsheetml/2009/9/main" uri="{725AE2AE-9491-48be-B2B4-4EB974FC3084}">
      <x14:pivotCacheDefinition pivotCacheId="190166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s v="2020-01-04"/>
    <n v="2020"/>
    <s v="Q1"/>
    <x v="0"/>
    <x v="0"/>
    <x v="0"/>
    <x v="0"/>
    <x v="0"/>
    <n v="47"/>
    <x v="0"/>
    <n v="84.44"/>
    <n v="26.48"/>
    <n v="3.51"/>
    <n v="6.52"/>
    <n v="195.79"/>
    <n v="763"/>
    <n v="4"/>
    <n v="177"/>
  </r>
  <r>
    <n v="2"/>
    <s v="2020-01-24"/>
    <n v="2020"/>
    <s v="Q1"/>
    <x v="0"/>
    <x v="1"/>
    <x v="1"/>
    <x v="1"/>
    <x v="1"/>
    <n v="12"/>
    <x v="1"/>
    <n v="78.930000000000007"/>
    <n v="15.2"/>
    <n v="2.64"/>
    <n v="4.49"/>
    <n v="180.15"/>
    <n v="174"/>
    <n v="3"/>
    <n v="169"/>
  </r>
  <r>
    <n v="3"/>
    <s v="2020-01-08"/>
    <n v="2020"/>
    <s v="Q1"/>
    <x v="0"/>
    <x v="2"/>
    <x v="0"/>
    <x v="2"/>
    <x v="1"/>
    <n v="7"/>
    <x v="2"/>
    <n v="86.2"/>
    <n v="19.73"/>
    <n v="13.1"/>
    <n v="10"/>
    <n v="182.67"/>
    <n v="460"/>
    <n v="5"/>
    <n v="224"/>
  </r>
  <r>
    <n v="4"/>
    <s v="2020-01-02"/>
    <n v="2020"/>
    <s v="Q1"/>
    <x v="0"/>
    <x v="3"/>
    <x v="1"/>
    <x v="3"/>
    <x v="2"/>
    <n v="29"/>
    <x v="3"/>
    <n v="93.97"/>
    <n v="27.68"/>
    <n v="9.6300000000000008"/>
    <n v="14.86"/>
    <n v="298.52"/>
    <n v="385"/>
    <n v="5"/>
    <n v="152"/>
  </r>
  <r>
    <n v="5"/>
    <s v="2020-01-07"/>
    <n v="2020"/>
    <s v="Q1"/>
    <x v="0"/>
    <x v="4"/>
    <x v="2"/>
    <x v="4"/>
    <x v="1"/>
    <n v="12"/>
    <x v="4"/>
    <n v="75.989999999999995"/>
    <n v="34.68"/>
    <n v="20.6"/>
    <n v="6"/>
    <n v="412.14"/>
    <n v="685"/>
    <n v="4"/>
    <n v="62"/>
  </r>
  <r>
    <n v="6"/>
    <s v="2020-01-19"/>
    <n v="2020"/>
    <s v="Q1"/>
    <x v="0"/>
    <x v="5"/>
    <x v="1"/>
    <x v="5"/>
    <x v="3"/>
    <n v="1"/>
    <x v="5"/>
    <n v="81.34"/>
    <n v="14.93"/>
    <n v="3.88"/>
    <n v="2.14"/>
    <n v="455.14"/>
    <n v="555"/>
    <n v="5"/>
    <n v="121"/>
  </r>
  <r>
    <n v="7"/>
    <s v="2020-01-10"/>
    <n v="2020"/>
    <s v="Q1"/>
    <x v="0"/>
    <x v="2"/>
    <x v="3"/>
    <x v="6"/>
    <x v="1"/>
    <n v="14"/>
    <x v="6"/>
    <n v="92.35"/>
    <n v="21.44"/>
    <n v="10.7"/>
    <n v="8.36"/>
    <n v="303.23"/>
    <n v="645"/>
    <n v="1"/>
    <n v="105"/>
  </r>
  <r>
    <n v="8"/>
    <s v="2020-01-26"/>
    <n v="2020"/>
    <s v="Q1"/>
    <x v="0"/>
    <x v="5"/>
    <x v="4"/>
    <x v="7"/>
    <x v="1"/>
    <n v="32"/>
    <x v="7"/>
    <n v="85.78"/>
    <n v="24.74"/>
    <n v="8.7100000000000009"/>
    <n v="13.62"/>
    <n v="210.7"/>
    <n v="833"/>
    <n v="1"/>
    <n v="238"/>
  </r>
  <r>
    <n v="9"/>
    <s v="2020-01-25"/>
    <n v="2020"/>
    <s v="Q1"/>
    <x v="0"/>
    <x v="0"/>
    <x v="3"/>
    <x v="8"/>
    <x v="1"/>
    <n v="27"/>
    <x v="8"/>
    <n v="85.74"/>
    <n v="15.95"/>
    <n v="20.350000000000001"/>
    <n v="15.51"/>
    <n v="528.80999999999995"/>
    <n v="1072"/>
    <n v="5"/>
    <n v="190"/>
  </r>
  <r>
    <n v="10"/>
    <s v="2020-01-23"/>
    <n v="2020"/>
    <s v="Q1"/>
    <x v="0"/>
    <x v="4"/>
    <x v="1"/>
    <x v="9"/>
    <x v="2"/>
    <n v="43"/>
    <x v="9"/>
    <n v="75.27"/>
    <n v="11.22"/>
    <n v="16.100000000000001"/>
    <n v="8.8699999999999992"/>
    <n v="152.08000000000001"/>
    <n v="545"/>
    <n v="1"/>
    <n v="191"/>
  </r>
  <r>
    <n v="11"/>
    <s v="2020-01-04"/>
    <n v="2020"/>
    <s v="Q1"/>
    <x v="0"/>
    <x v="5"/>
    <x v="3"/>
    <x v="10"/>
    <x v="0"/>
    <n v="27"/>
    <x v="10"/>
    <n v="84.66"/>
    <n v="14.66"/>
    <n v="14.4"/>
    <n v="14.26"/>
    <n v="172.41"/>
    <n v="834"/>
    <n v="2"/>
    <n v="185"/>
  </r>
  <r>
    <n v="12"/>
    <s v="2020-01-19"/>
    <n v="2020"/>
    <s v="Q1"/>
    <x v="0"/>
    <x v="0"/>
    <x v="4"/>
    <x v="11"/>
    <x v="1"/>
    <n v="12"/>
    <x v="11"/>
    <n v="87.83"/>
    <n v="21.38"/>
    <n v="5"/>
    <n v="8.43"/>
    <n v="364.08"/>
    <n v="345"/>
    <n v="1"/>
    <n v="109"/>
  </r>
  <r>
    <n v="13"/>
    <s v="2020-01-16"/>
    <n v="2020"/>
    <s v="Q1"/>
    <x v="0"/>
    <x v="3"/>
    <x v="1"/>
    <x v="12"/>
    <x v="1"/>
    <n v="47"/>
    <x v="12"/>
    <n v="81.599999999999994"/>
    <n v="10.35"/>
    <n v="13.11"/>
    <n v="14.93"/>
    <n v="194.96"/>
    <n v="106"/>
    <n v="4"/>
    <n v="92"/>
  </r>
  <r>
    <n v="14"/>
    <s v="2020-01-18"/>
    <n v="2020"/>
    <s v="Q1"/>
    <x v="0"/>
    <x v="1"/>
    <x v="0"/>
    <x v="13"/>
    <x v="4"/>
    <n v="3"/>
    <x v="13"/>
    <n v="82.15"/>
    <n v="10.83"/>
    <n v="12.45"/>
    <n v="11.74"/>
    <n v="266.89"/>
    <n v="780"/>
    <n v="1"/>
    <n v="112"/>
  </r>
  <r>
    <n v="15"/>
    <s v="2020-01-04"/>
    <n v="2020"/>
    <s v="Q1"/>
    <x v="0"/>
    <x v="0"/>
    <x v="3"/>
    <x v="14"/>
    <x v="1"/>
    <n v="22"/>
    <x v="14"/>
    <n v="89.33"/>
    <n v="12.37"/>
    <n v="17.010000000000002"/>
    <n v="9.8800000000000008"/>
    <n v="296.31"/>
    <n v="1020"/>
    <n v="3"/>
    <n v="93"/>
  </r>
  <r>
    <n v="16"/>
    <s v="2020-01-09"/>
    <n v="2020"/>
    <s v="Q1"/>
    <x v="0"/>
    <x v="4"/>
    <x v="2"/>
    <x v="15"/>
    <x v="0"/>
    <n v="21"/>
    <x v="15"/>
    <n v="82.04"/>
    <n v="13.72"/>
    <n v="18.54"/>
    <n v="1.54"/>
    <n v="313.5"/>
    <n v="893"/>
    <n v="2"/>
    <n v="186"/>
  </r>
  <r>
    <n v="17"/>
    <s v="2020-01-06"/>
    <n v="2020"/>
    <s v="Q1"/>
    <x v="0"/>
    <x v="2"/>
    <x v="3"/>
    <x v="16"/>
    <x v="3"/>
    <n v="31"/>
    <x v="16"/>
    <n v="94.32"/>
    <n v="21.26"/>
    <n v="17.32"/>
    <n v="15.76"/>
    <n v="109.67"/>
    <n v="676"/>
    <n v="5"/>
    <n v="62"/>
  </r>
  <r>
    <n v="18"/>
    <s v="2020-01-06"/>
    <n v="2020"/>
    <s v="Q1"/>
    <x v="0"/>
    <x v="2"/>
    <x v="1"/>
    <x v="17"/>
    <x v="3"/>
    <n v="38"/>
    <x v="17"/>
    <n v="90.46"/>
    <n v="32.659999999999997"/>
    <n v="19.03"/>
    <n v="8.98"/>
    <n v="433.02"/>
    <n v="635"/>
    <n v="5"/>
    <n v="181"/>
  </r>
  <r>
    <n v="19"/>
    <s v="2020-01-11"/>
    <n v="2020"/>
    <s v="Q1"/>
    <x v="0"/>
    <x v="5"/>
    <x v="1"/>
    <x v="18"/>
    <x v="3"/>
    <n v="14"/>
    <x v="18"/>
    <n v="88.66"/>
    <n v="7.71"/>
    <n v="21.15"/>
    <n v="9.76"/>
    <n v="463.52"/>
    <n v="249"/>
    <n v="5"/>
    <n v="211"/>
  </r>
  <r>
    <n v="20"/>
    <s v="2020-01-14"/>
    <n v="2020"/>
    <s v="Q1"/>
    <x v="0"/>
    <x v="3"/>
    <x v="2"/>
    <x v="19"/>
    <x v="0"/>
    <n v="22"/>
    <x v="19"/>
    <n v="94.11"/>
    <n v="23.67"/>
    <n v="12.99"/>
    <n v="15.13"/>
    <n v="499.81"/>
    <n v="461"/>
    <n v="3"/>
    <n v="200"/>
  </r>
  <r>
    <n v="21"/>
    <s v="2020-01-15"/>
    <n v="2020"/>
    <s v="Q1"/>
    <x v="0"/>
    <x v="6"/>
    <x v="2"/>
    <x v="20"/>
    <x v="3"/>
    <n v="15"/>
    <x v="20"/>
    <n v="93.73"/>
    <n v="33.64"/>
    <n v="21.09"/>
    <n v="2.14"/>
    <n v="104.28"/>
    <n v="995"/>
    <n v="4"/>
    <n v="63"/>
  </r>
  <r>
    <n v="22"/>
    <s v="2020-01-20"/>
    <n v="2020"/>
    <s v="Q1"/>
    <x v="0"/>
    <x v="3"/>
    <x v="2"/>
    <x v="21"/>
    <x v="1"/>
    <n v="40"/>
    <x v="21"/>
    <n v="80.38"/>
    <n v="7.7"/>
    <n v="12.69"/>
    <n v="13.47"/>
    <n v="112.82"/>
    <n v="519"/>
    <n v="3"/>
    <n v="168"/>
  </r>
  <r>
    <n v="23"/>
    <s v="2020-01-09"/>
    <n v="2020"/>
    <s v="Q1"/>
    <x v="0"/>
    <x v="5"/>
    <x v="2"/>
    <x v="22"/>
    <x v="2"/>
    <n v="10"/>
    <x v="22"/>
    <n v="87.93"/>
    <n v="18.14"/>
    <n v="20.13"/>
    <n v="3.35"/>
    <n v="129.32"/>
    <n v="228"/>
    <n v="4"/>
    <n v="190"/>
  </r>
  <r>
    <n v="24"/>
    <s v="2020-01-18"/>
    <n v="2020"/>
    <s v="Q1"/>
    <x v="0"/>
    <x v="3"/>
    <x v="0"/>
    <x v="23"/>
    <x v="0"/>
    <n v="12"/>
    <x v="23"/>
    <n v="87.54"/>
    <n v="5.43"/>
    <n v="7.94"/>
    <n v="13.84"/>
    <n v="161.79"/>
    <n v="449"/>
    <n v="1"/>
    <n v="71"/>
  </r>
  <r>
    <n v="25"/>
    <s v="2020-01-15"/>
    <n v="2020"/>
    <s v="Q1"/>
    <x v="0"/>
    <x v="0"/>
    <x v="1"/>
    <x v="24"/>
    <x v="2"/>
    <n v="13"/>
    <x v="24"/>
    <n v="85.35"/>
    <n v="8.41"/>
    <n v="20.32"/>
    <n v="11.48"/>
    <n v="450.5"/>
    <n v="199"/>
    <n v="2"/>
    <n v="80"/>
  </r>
  <r>
    <n v="26"/>
    <s v="2020-01-23"/>
    <n v="2020"/>
    <s v="Q1"/>
    <x v="0"/>
    <x v="5"/>
    <x v="3"/>
    <x v="25"/>
    <x v="2"/>
    <n v="45"/>
    <x v="25"/>
    <n v="92.4"/>
    <n v="16.88"/>
    <n v="9.9600000000000009"/>
    <n v="1.76"/>
    <n v="162.87"/>
    <n v="446"/>
    <n v="5"/>
    <n v="233"/>
  </r>
  <r>
    <n v="27"/>
    <s v="2020-01-26"/>
    <n v="2020"/>
    <s v="Q1"/>
    <x v="0"/>
    <x v="3"/>
    <x v="0"/>
    <x v="26"/>
    <x v="1"/>
    <n v="36"/>
    <x v="26"/>
    <n v="77.41"/>
    <n v="5.71"/>
    <n v="20.04"/>
    <n v="1.1299999999999999"/>
    <n v="234.08"/>
    <n v="460"/>
    <n v="4"/>
    <n v="66"/>
  </r>
  <r>
    <n v="28"/>
    <s v="2020-01-11"/>
    <n v="2020"/>
    <s v="Q1"/>
    <x v="0"/>
    <x v="2"/>
    <x v="4"/>
    <x v="27"/>
    <x v="3"/>
    <n v="24"/>
    <x v="27"/>
    <n v="86.35"/>
    <n v="33.090000000000003"/>
    <n v="18.010000000000002"/>
    <n v="15.67"/>
    <n v="466.36"/>
    <n v="601"/>
    <n v="2"/>
    <n v="230"/>
  </r>
  <r>
    <n v="29"/>
    <s v="2020-01-03"/>
    <n v="2020"/>
    <s v="Q1"/>
    <x v="0"/>
    <x v="3"/>
    <x v="1"/>
    <x v="28"/>
    <x v="0"/>
    <n v="43"/>
    <x v="28"/>
    <n v="82.57"/>
    <n v="27.15"/>
    <n v="21.6"/>
    <n v="3.92"/>
    <n v="539.25"/>
    <n v="589"/>
    <n v="4"/>
    <n v="193"/>
  </r>
  <r>
    <n v="30"/>
    <s v="2020-01-09"/>
    <n v="2020"/>
    <s v="Q1"/>
    <x v="0"/>
    <x v="0"/>
    <x v="3"/>
    <x v="29"/>
    <x v="3"/>
    <n v="43"/>
    <x v="29"/>
    <n v="77.39"/>
    <n v="12.58"/>
    <n v="11.06"/>
    <n v="8.74"/>
    <n v="425.82"/>
    <n v="203"/>
    <n v="5"/>
    <n v="78"/>
  </r>
  <r>
    <n v="31"/>
    <s v="2019-12-31"/>
    <n v="2020"/>
    <s v="Q1"/>
    <x v="0"/>
    <x v="0"/>
    <x v="0"/>
    <x v="30"/>
    <x v="2"/>
    <n v="32"/>
    <x v="30"/>
    <n v="80.06"/>
    <n v="23.65"/>
    <n v="6.37"/>
    <n v="2.2799999999999998"/>
    <n v="563.55999999999995"/>
    <n v="251"/>
    <n v="4"/>
    <n v="126"/>
  </r>
  <r>
    <n v="32"/>
    <s v="2020-01-12"/>
    <n v="2020"/>
    <s v="Q1"/>
    <x v="0"/>
    <x v="6"/>
    <x v="1"/>
    <x v="31"/>
    <x v="3"/>
    <n v="22"/>
    <x v="31"/>
    <n v="89.89"/>
    <n v="19.43"/>
    <n v="12.41"/>
    <n v="11.87"/>
    <n v="165.55"/>
    <n v="994"/>
    <n v="1"/>
    <n v="120"/>
  </r>
  <r>
    <n v="33"/>
    <s v="2020-01-25"/>
    <n v="2020"/>
    <s v="Q1"/>
    <x v="0"/>
    <x v="6"/>
    <x v="2"/>
    <x v="32"/>
    <x v="2"/>
    <n v="29"/>
    <x v="32"/>
    <n v="90.31"/>
    <n v="17.420000000000002"/>
    <n v="9.08"/>
    <n v="1.07"/>
    <n v="178.99"/>
    <n v="275"/>
    <n v="4"/>
    <n v="158"/>
  </r>
  <r>
    <n v="34"/>
    <s v="2020-01-12"/>
    <n v="2020"/>
    <s v="Q1"/>
    <x v="0"/>
    <x v="2"/>
    <x v="4"/>
    <x v="33"/>
    <x v="4"/>
    <n v="48"/>
    <x v="33"/>
    <n v="85.92"/>
    <n v="14.4"/>
    <n v="3.53"/>
    <n v="1.58"/>
    <n v="474.45"/>
    <n v="959"/>
    <n v="4"/>
    <n v="99"/>
  </r>
  <r>
    <n v="35"/>
    <s v="2020-02-10"/>
    <n v="2020"/>
    <s v="Q1"/>
    <x v="1"/>
    <x v="6"/>
    <x v="2"/>
    <x v="34"/>
    <x v="0"/>
    <n v="44"/>
    <x v="34"/>
    <n v="86.69"/>
    <n v="34.07"/>
    <n v="13.99"/>
    <n v="13.05"/>
    <n v="196.11"/>
    <n v="1062"/>
    <n v="5"/>
    <n v="83"/>
  </r>
  <r>
    <n v="36"/>
    <s v="2020-02-16"/>
    <n v="2020"/>
    <s v="Q1"/>
    <x v="1"/>
    <x v="5"/>
    <x v="4"/>
    <x v="35"/>
    <x v="1"/>
    <n v="16"/>
    <x v="35"/>
    <n v="94.9"/>
    <n v="12.36"/>
    <n v="19.36"/>
    <n v="14.45"/>
    <n v="156.05000000000001"/>
    <n v="114"/>
    <n v="2"/>
    <n v="86"/>
  </r>
  <r>
    <n v="37"/>
    <s v="2020-02-09"/>
    <n v="2020"/>
    <s v="Q1"/>
    <x v="1"/>
    <x v="2"/>
    <x v="4"/>
    <x v="36"/>
    <x v="1"/>
    <n v="38"/>
    <x v="15"/>
    <n v="83.59"/>
    <n v="29.99"/>
    <n v="4.53"/>
    <n v="3.56"/>
    <n v="598.17999999999995"/>
    <n v="469"/>
    <n v="1"/>
    <n v="166"/>
  </r>
  <r>
    <n v="38"/>
    <s v="2020-02-21"/>
    <n v="2020"/>
    <s v="Q1"/>
    <x v="1"/>
    <x v="7"/>
    <x v="1"/>
    <x v="37"/>
    <x v="2"/>
    <n v="8"/>
    <x v="36"/>
    <n v="79.47"/>
    <n v="6"/>
    <n v="15.3"/>
    <n v="7.6"/>
    <n v="575.91"/>
    <n v="856"/>
    <n v="2"/>
    <n v="210"/>
  </r>
  <r>
    <n v="39"/>
    <s v="2020-02-06"/>
    <n v="2020"/>
    <s v="Q1"/>
    <x v="1"/>
    <x v="6"/>
    <x v="1"/>
    <x v="38"/>
    <x v="2"/>
    <n v="38"/>
    <x v="37"/>
    <n v="90.66"/>
    <n v="15.78"/>
    <n v="14.24"/>
    <n v="13.05"/>
    <n v="590.74"/>
    <n v="185"/>
    <n v="4"/>
    <n v="179"/>
  </r>
  <r>
    <n v="40"/>
    <s v="2020-02-08"/>
    <n v="2020"/>
    <s v="Q1"/>
    <x v="1"/>
    <x v="0"/>
    <x v="0"/>
    <x v="39"/>
    <x v="2"/>
    <n v="46"/>
    <x v="38"/>
    <n v="89.03"/>
    <n v="20.350000000000001"/>
    <n v="7.44"/>
    <n v="10.220000000000001"/>
    <n v="132.52000000000001"/>
    <n v="686"/>
    <n v="5"/>
    <n v="68"/>
  </r>
  <r>
    <n v="41"/>
    <s v="2020-02-14"/>
    <n v="2020"/>
    <s v="Q1"/>
    <x v="1"/>
    <x v="3"/>
    <x v="2"/>
    <x v="40"/>
    <x v="0"/>
    <n v="9"/>
    <x v="39"/>
    <n v="93.76"/>
    <n v="31.01"/>
    <n v="18.8"/>
    <n v="5.71"/>
    <n v="157.68"/>
    <n v="442"/>
    <n v="3"/>
    <n v="222"/>
  </r>
  <r>
    <n v="42"/>
    <s v="2020-02-09"/>
    <n v="2020"/>
    <s v="Q1"/>
    <x v="1"/>
    <x v="1"/>
    <x v="2"/>
    <x v="41"/>
    <x v="4"/>
    <n v="47"/>
    <x v="40"/>
    <n v="84.8"/>
    <n v="27.35"/>
    <n v="3.35"/>
    <n v="6.8"/>
    <n v="541.79999999999995"/>
    <n v="225"/>
    <n v="3"/>
    <n v="122"/>
  </r>
  <r>
    <n v="43"/>
    <s v="2020-02-26"/>
    <n v="2020"/>
    <s v="Q1"/>
    <x v="1"/>
    <x v="5"/>
    <x v="2"/>
    <x v="42"/>
    <x v="3"/>
    <n v="7"/>
    <x v="14"/>
    <n v="81.84"/>
    <n v="5.94"/>
    <n v="15.62"/>
    <n v="7.83"/>
    <n v="250.56"/>
    <n v="622"/>
    <n v="3"/>
    <n v="51"/>
  </r>
  <r>
    <n v="44"/>
    <s v="2020-02-09"/>
    <n v="2020"/>
    <s v="Q1"/>
    <x v="1"/>
    <x v="2"/>
    <x v="1"/>
    <x v="43"/>
    <x v="2"/>
    <n v="29"/>
    <x v="0"/>
    <n v="78.05"/>
    <n v="15.96"/>
    <n v="18.66"/>
    <n v="5.76"/>
    <n v="261.98"/>
    <n v="502"/>
    <n v="2"/>
    <n v="57"/>
  </r>
  <r>
    <n v="45"/>
    <s v="2020-02-12"/>
    <n v="2020"/>
    <s v="Q1"/>
    <x v="1"/>
    <x v="1"/>
    <x v="2"/>
    <x v="44"/>
    <x v="1"/>
    <n v="41"/>
    <x v="41"/>
    <n v="93.5"/>
    <n v="11.58"/>
    <n v="10.3"/>
    <n v="14.34"/>
    <n v="446.95"/>
    <n v="180"/>
    <n v="4"/>
    <n v="140"/>
  </r>
  <r>
    <n v="46"/>
    <s v="2020-02-20"/>
    <n v="2020"/>
    <s v="Q1"/>
    <x v="1"/>
    <x v="1"/>
    <x v="0"/>
    <x v="45"/>
    <x v="3"/>
    <n v="43"/>
    <x v="42"/>
    <n v="91.07"/>
    <n v="24.28"/>
    <n v="11.08"/>
    <n v="6.45"/>
    <n v="311.18"/>
    <n v="552"/>
    <n v="1"/>
    <n v="55"/>
  </r>
  <r>
    <n v="47"/>
    <s v="2020-02-24"/>
    <n v="2020"/>
    <s v="Q1"/>
    <x v="1"/>
    <x v="1"/>
    <x v="3"/>
    <x v="46"/>
    <x v="1"/>
    <n v="39"/>
    <x v="43"/>
    <n v="81.61"/>
    <n v="15.58"/>
    <n v="4.03"/>
    <n v="15.02"/>
    <n v="194.77"/>
    <n v="981"/>
    <n v="3"/>
    <n v="58"/>
  </r>
  <r>
    <n v="48"/>
    <s v="2020-02-20"/>
    <n v="2020"/>
    <s v="Q1"/>
    <x v="1"/>
    <x v="2"/>
    <x v="0"/>
    <x v="47"/>
    <x v="3"/>
    <n v="15"/>
    <x v="44"/>
    <n v="75.78"/>
    <n v="9.19"/>
    <n v="10.029999999999999"/>
    <n v="11.15"/>
    <n v="427.82"/>
    <n v="583"/>
    <n v="3"/>
    <n v="86"/>
  </r>
  <r>
    <n v="49"/>
    <s v="2020-02-20"/>
    <n v="2020"/>
    <s v="Q1"/>
    <x v="1"/>
    <x v="4"/>
    <x v="3"/>
    <x v="48"/>
    <x v="1"/>
    <n v="1"/>
    <x v="45"/>
    <n v="78.27"/>
    <n v="25.24"/>
    <n v="13.58"/>
    <n v="9.36"/>
    <n v="420.8"/>
    <n v="346"/>
    <n v="4"/>
    <n v="165"/>
  </r>
  <r>
    <n v="50"/>
    <s v="2020-02-14"/>
    <n v="2020"/>
    <s v="Q1"/>
    <x v="1"/>
    <x v="6"/>
    <x v="0"/>
    <x v="49"/>
    <x v="0"/>
    <n v="46"/>
    <x v="46"/>
    <n v="93.22"/>
    <n v="26.93"/>
    <n v="4.9400000000000004"/>
    <n v="12.85"/>
    <n v="207.97"/>
    <n v="466"/>
    <n v="4"/>
    <n v="114"/>
  </r>
  <r>
    <n v="51"/>
    <s v="2020-02-24"/>
    <n v="2020"/>
    <s v="Q1"/>
    <x v="1"/>
    <x v="7"/>
    <x v="2"/>
    <x v="50"/>
    <x v="3"/>
    <n v="30"/>
    <x v="47"/>
    <n v="76.19"/>
    <n v="28.25"/>
    <n v="19.43"/>
    <n v="13.07"/>
    <n v="436.06"/>
    <n v="291"/>
    <n v="3"/>
    <n v="70"/>
  </r>
  <r>
    <n v="52"/>
    <s v="2020-02-06"/>
    <n v="2020"/>
    <s v="Q1"/>
    <x v="1"/>
    <x v="3"/>
    <x v="4"/>
    <x v="51"/>
    <x v="3"/>
    <n v="25"/>
    <x v="48"/>
    <n v="88.64"/>
    <n v="32.9"/>
    <n v="8.91"/>
    <n v="4.8499999999999996"/>
    <n v="526.34"/>
    <n v="496"/>
    <n v="3"/>
    <n v="167"/>
  </r>
  <r>
    <n v="53"/>
    <s v="2020-02-12"/>
    <n v="2020"/>
    <s v="Q1"/>
    <x v="1"/>
    <x v="1"/>
    <x v="1"/>
    <x v="52"/>
    <x v="3"/>
    <n v="20"/>
    <x v="49"/>
    <n v="75.16"/>
    <n v="12.01"/>
    <n v="3.39"/>
    <n v="9.34"/>
    <n v="503.25"/>
    <n v="985"/>
    <n v="5"/>
    <n v="145"/>
  </r>
  <r>
    <n v="54"/>
    <s v="2020-02-03"/>
    <n v="2020"/>
    <s v="Q1"/>
    <x v="1"/>
    <x v="6"/>
    <x v="3"/>
    <x v="53"/>
    <x v="2"/>
    <n v="8"/>
    <x v="26"/>
    <n v="79.459999999999994"/>
    <n v="22.91"/>
    <n v="19.11"/>
    <n v="14.82"/>
    <n v="503.65"/>
    <n v="733"/>
    <n v="3"/>
    <n v="208"/>
  </r>
  <r>
    <n v="55"/>
    <s v="2020-02-20"/>
    <n v="2020"/>
    <s v="Q1"/>
    <x v="1"/>
    <x v="3"/>
    <x v="4"/>
    <x v="54"/>
    <x v="3"/>
    <n v="22"/>
    <x v="4"/>
    <n v="87.61"/>
    <n v="15.63"/>
    <n v="6.65"/>
    <n v="12.03"/>
    <n v="127.56"/>
    <n v="980"/>
    <n v="1"/>
    <n v="137"/>
  </r>
  <r>
    <n v="56"/>
    <s v="2020-02-22"/>
    <n v="2020"/>
    <s v="Q1"/>
    <x v="1"/>
    <x v="6"/>
    <x v="1"/>
    <x v="55"/>
    <x v="1"/>
    <n v="6"/>
    <x v="50"/>
    <n v="77.53"/>
    <n v="23.73"/>
    <n v="8.65"/>
    <n v="10.81"/>
    <n v="221.28"/>
    <n v="597"/>
    <n v="3"/>
    <n v="234"/>
  </r>
  <r>
    <n v="57"/>
    <s v="2020-02-24"/>
    <n v="2020"/>
    <s v="Q1"/>
    <x v="1"/>
    <x v="0"/>
    <x v="0"/>
    <x v="56"/>
    <x v="4"/>
    <n v="22"/>
    <x v="51"/>
    <n v="78.209999999999994"/>
    <n v="15.35"/>
    <n v="21.2"/>
    <n v="4.03"/>
    <n v="133.81"/>
    <n v="204"/>
    <n v="1"/>
    <n v="205"/>
  </r>
  <r>
    <n v="58"/>
    <s v="2020-02-25"/>
    <n v="2020"/>
    <s v="Q1"/>
    <x v="1"/>
    <x v="3"/>
    <x v="2"/>
    <x v="57"/>
    <x v="2"/>
    <n v="25"/>
    <x v="52"/>
    <n v="88.9"/>
    <n v="18.809999999999999"/>
    <n v="8.93"/>
    <n v="13.93"/>
    <n v="469.41"/>
    <n v="886"/>
    <n v="4"/>
    <n v="245"/>
  </r>
  <r>
    <n v="59"/>
    <s v="2020-01-31"/>
    <n v="2020"/>
    <s v="Q1"/>
    <x v="1"/>
    <x v="0"/>
    <x v="4"/>
    <x v="58"/>
    <x v="2"/>
    <n v="17"/>
    <x v="53"/>
    <n v="92.97"/>
    <n v="16.760000000000002"/>
    <n v="6.08"/>
    <n v="9.6999999999999993"/>
    <n v="424.85"/>
    <n v="707"/>
    <n v="2"/>
    <n v="130"/>
  </r>
  <r>
    <n v="60"/>
    <s v="2020-02-19"/>
    <n v="2020"/>
    <s v="Q1"/>
    <x v="1"/>
    <x v="7"/>
    <x v="2"/>
    <x v="59"/>
    <x v="0"/>
    <n v="28"/>
    <x v="54"/>
    <n v="90.75"/>
    <n v="5.6"/>
    <n v="20.62"/>
    <n v="3.49"/>
    <n v="400.69"/>
    <n v="594"/>
    <n v="4"/>
    <n v="100"/>
  </r>
  <r>
    <n v="61"/>
    <s v="2020-01-31"/>
    <n v="2020"/>
    <s v="Q1"/>
    <x v="1"/>
    <x v="4"/>
    <x v="4"/>
    <x v="60"/>
    <x v="3"/>
    <n v="5"/>
    <x v="55"/>
    <n v="86.5"/>
    <n v="29.56"/>
    <n v="10.17"/>
    <n v="2.38"/>
    <n v="281.43"/>
    <n v="837"/>
    <n v="1"/>
    <n v="80"/>
  </r>
  <r>
    <n v="62"/>
    <s v="2020-02-24"/>
    <n v="2020"/>
    <s v="Q1"/>
    <x v="1"/>
    <x v="6"/>
    <x v="3"/>
    <x v="61"/>
    <x v="2"/>
    <n v="13"/>
    <x v="19"/>
    <n v="88.44"/>
    <n v="16.23"/>
    <n v="21.2"/>
    <n v="7.16"/>
    <n v="517.38"/>
    <n v="1063"/>
    <n v="3"/>
    <n v="182"/>
  </r>
  <r>
    <n v="63"/>
    <s v="2020-02-08"/>
    <n v="2020"/>
    <s v="Q1"/>
    <x v="1"/>
    <x v="1"/>
    <x v="1"/>
    <x v="62"/>
    <x v="0"/>
    <n v="32"/>
    <x v="56"/>
    <n v="79.27"/>
    <n v="30.02"/>
    <n v="8.89"/>
    <n v="2.94"/>
    <n v="535.53"/>
    <n v="1094"/>
    <n v="5"/>
    <n v="101"/>
  </r>
  <r>
    <n v="64"/>
    <s v="2020-02-24"/>
    <n v="2020"/>
    <s v="Q1"/>
    <x v="1"/>
    <x v="2"/>
    <x v="3"/>
    <x v="63"/>
    <x v="1"/>
    <n v="32"/>
    <x v="57"/>
    <n v="91.08"/>
    <n v="12.8"/>
    <n v="18.84"/>
    <n v="4.22"/>
    <n v="115.34"/>
    <n v="872"/>
    <n v="2"/>
    <n v="196"/>
  </r>
  <r>
    <n v="65"/>
    <s v="2020-02-09"/>
    <n v="2020"/>
    <s v="Q1"/>
    <x v="1"/>
    <x v="2"/>
    <x v="0"/>
    <x v="64"/>
    <x v="4"/>
    <n v="37"/>
    <x v="58"/>
    <n v="89.07"/>
    <n v="26.19"/>
    <n v="4.0599999999999996"/>
    <n v="3.69"/>
    <n v="590.79999999999995"/>
    <n v="1064"/>
    <n v="1"/>
    <n v="161"/>
  </r>
  <r>
    <n v="66"/>
    <s v="2020-02-05"/>
    <n v="2020"/>
    <s v="Q1"/>
    <x v="1"/>
    <x v="3"/>
    <x v="2"/>
    <x v="65"/>
    <x v="3"/>
    <n v="8"/>
    <x v="59"/>
    <n v="82.06"/>
    <n v="8.83"/>
    <n v="4"/>
    <n v="14.51"/>
    <n v="524.5"/>
    <n v="503"/>
    <n v="5"/>
    <n v="141"/>
  </r>
  <r>
    <n v="67"/>
    <s v="2020-02-24"/>
    <n v="2020"/>
    <s v="Q1"/>
    <x v="1"/>
    <x v="7"/>
    <x v="4"/>
    <x v="66"/>
    <x v="3"/>
    <n v="2"/>
    <x v="60"/>
    <n v="81.78"/>
    <n v="7.25"/>
    <n v="19.93"/>
    <n v="5.2"/>
    <n v="243.95"/>
    <n v="1020"/>
    <n v="1"/>
    <n v="115"/>
  </r>
  <r>
    <n v="68"/>
    <s v="2020-02-25"/>
    <n v="2020"/>
    <s v="Q1"/>
    <x v="1"/>
    <x v="3"/>
    <x v="3"/>
    <x v="67"/>
    <x v="2"/>
    <n v="44"/>
    <x v="61"/>
    <n v="87.62"/>
    <n v="11.77"/>
    <n v="9.6999999999999993"/>
    <n v="9.15"/>
    <n v="357.94"/>
    <n v="899"/>
    <n v="4"/>
    <n v="212"/>
  </r>
  <r>
    <n v="69"/>
    <s v="2020-03-26"/>
    <n v="2020"/>
    <s v="Q1"/>
    <x v="2"/>
    <x v="6"/>
    <x v="0"/>
    <x v="68"/>
    <x v="2"/>
    <n v="23"/>
    <x v="62"/>
    <n v="76.14"/>
    <n v="8.83"/>
    <n v="8.99"/>
    <n v="14.77"/>
    <n v="341.35"/>
    <n v="425"/>
    <n v="2"/>
    <n v="192"/>
  </r>
  <r>
    <n v="70"/>
    <s v="2020-03-01"/>
    <n v="2020"/>
    <s v="Q1"/>
    <x v="2"/>
    <x v="6"/>
    <x v="2"/>
    <x v="69"/>
    <x v="2"/>
    <n v="29"/>
    <x v="63"/>
    <n v="89.19"/>
    <n v="10.23"/>
    <n v="2.54"/>
    <n v="4"/>
    <n v="404.97"/>
    <n v="1010"/>
    <n v="4"/>
    <n v="205"/>
  </r>
  <r>
    <n v="71"/>
    <s v="2020-03-14"/>
    <n v="2020"/>
    <s v="Q1"/>
    <x v="2"/>
    <x v="4"/>
    <x v="0"/>
    <x v="55"/>
    <x v="1"/>
    <n v="25"/>
    <x v="64"/>
    <n v="83.72"/>
    <n v="21.13"/>
    <n v="3.13"/>
    <n v="2.65"/>
    <n v="587.87"/>
    <n v="359"/>
    <n v="1"/>
    <n v="195"/>
  </r>
  <r>
    <n v="72"/>
    <s v="2020-03-08"/>
    <n v="2020"/>
    <s v="Q1"/>
    <x v="2"/>
    <x v="2"/>
    <x v="3"/>
    <x v="70"/>
    <x v="4"/>
    <n v="27"/>
    <x v="51"/>
    <n v="94.13"/>
    <n v="30.98"/>
    <n v="21.32"/>
    <n v="10.68"/>
    <n v="527.37"/>
    <n v="770"/>
    <n v="2"/>
    <n v="171"/>
  </r>
  <r>
    <n v="73"/>
    <s v="2020-03-26"/>
    <n v="2020"/>
    <s v="Q1"/>
    <x v="2"/>
    <x v="6"/>
    <x v="0"/>
    <x v="71"/>
    <x v="3"/>
    <n v="38"/>
    <x v="65"/>
    <n v="87.18"/>
    <n v="23.95"/>
    <n v="12.08"/>
    <n v="13.37"/>
    <n v="125.01"/>
    <n v="779"/>
    <n v="4"/>
    <n v="222"/>
  </r>
  <r>
    <n v="74"/>
    <s v="2020-03-13"/>
    <n v="2020"/>
    <s v="Q1"/>
    <x v="2"/>
    <x v="4"/>
    <x v="1"/>
    <x v="72"/>
    <x v="4"/>
    <n v="23"/>
    <x v="66"/>
    <n v="78"/>
    <n v="21.05"/>
    <n v="16.59"/>
    <n v="7.56"/>
    <n v="182.13"/>
    <n v="923"/>
    <n v="1"/>
    <n v="99"/>
  </r>
  <r>
    <n v="75"/>
    <s v="2020-03-12"/>
    <n v="2020"/>
    <s v="Q1"/>
    <x v="2"/>
    <x v="6"/>
    <x v="3"/>
    <x v="73"/>
    <x v="0"/>
    <n v="49"/>
    <x v="67"/>
    <n v="82.85"/>
    <n v="13.43"/>
    <n v="15.52"/>
    <n v="14.42"/>
    <n v="288.11"/>
    <n v="1007"/>
    <n v="2"/>
    <n v="77"/>
  </r>
  <r>
    <n v="76"/>
    <s v="2020-03-08"/>
    <n v="2020"/>
    <s v="Q1"/>
    <x v="2"/>
    <x v="1"/>
    <x v="2"/>
    <x v="74"/>
    <x v="0"/>
    <n v="5"/>
    <x v="68"/>
    <n v="75.66"/>
    <n v="18.23"/>
    <n v="16.149999999999999"/>
    <n v="2.0299999999999998"/>
    <n v="210.7"/>
    <n v="553"/>
    <n v="4"/>
    <n v="50"/>
  </r>
  <r>
    <n v="77"/>
    <s v="2020-03-12"/>
    <n v="2020"/>
    <s v="Q1"/>
    <x v="2"/>
    <x v="2"/>
    <x v="2"/>
    <x v="75"/>
    <x v="1"/>
    <n v="48"/>
    <x v="69"/>
    <n v="78.08"/>
    <n v="30.16"/>
    <n v="8.82"/>
    <n v="3.54"/>
    <n v="457.14"/>
    <n v="685"/>
    <n v="4"/>
    <n v="60"/>
  </r>
  <r>
    <n v="78"/>
    <s v="2020-03-05"/>
    <n v="2020"/>
    <s v="Q1"/>
    <x v="2"/>
    <x v="6"/>
    <x v="1"/>
    <x v="76"/>
    <x v="0"/>
    <n v="15"/>
    <x v="42"/>
    <n v="89.75"/>
    <n v="12.47"/>
    <n v="5.35"/>
    <n v="11.95"/>
    <n v="110.16"/>
    <n v="406"/>
    <n v="1"/>
    <n v="171"/>
  </r>
  <r>
    <n v="79"/>
    <s v="2020-03-02"/>
    <n v="2020"/>
    <s v="Q1"/>
    <x v="2"/>
    <x v="2"/>
    <x v="0"/>
    <x v="77"/>
    <x v="3"/>
    <n v="42"/>
    <x v="70"/>
    <n v="82.78"/>
    <n v="31.17"/>
    <n v="14.28"/>
    <n v="1.25"/>
    <n v="531.45000000000005"/>
    <n v="966"/>
    <n v="5"/>
    <n v="52"/>
  </r>
  <r>
    <n v="80"/>
    <s v="2020-03-12"/>
    <n v="2020"/>
    <s v="Q1"/>
    <x v="2"/>
    <x v="1"/>
    <x v="3"/>
    <x v="78"/>
    <x v="1"/>
    <n v="2"/>
    <x v="71"/>
    <n v="78.010000000000005"/>
    <n v="5.46"/>
    <n v="13.77"/>
    <n v="1.76"/>
    <n v="375.94"/>
    <n v="225"/>
    <n v="4"/>
    <n v="194"/>
  </r>
  <r>
    <n v="81"/>
    <s v="2020-03-05"/>
    <n v="2020"/>
    <s v="Q1"/>
    <x v="2"/>
    <x v="7"/>
    <x v="1"/>
    <x v="79"/>
    <x v="4"/>
    <n v="12"/>
    <x v="72"/>
    <n v="94.96"/>
    <n v="20.309999999999999"/>
    <n v="9.58"/>
    <n v="12.38"/>
    <n v="280.5"/>
    <n v="610"/>
    <n v="3"/>
    <n v="54"/>
  </r>
  <r>
    <n v="82"/>
    <s v="2020-03-27"/>
    <n v="2020"/>
    <s v="Q1"/>
    <x v="2"/>
    <x v="5"/>
    <x v="4"/>
    <x v="80"/>
    <x v="0"/>
    <n v="16"/>
    <x v="73"/>
    <n v="90.98"/>
    <n v="8.06"/>
    <n v="17.87"/>
    <n v="4.42"/>
    <n v="416.34"/>
    <n v="353"/>
    <n v="2"/>
    <n v="120"/>
  </r>
  <r>
    <n v="83"/>
    <s v="2020-03-18"/>
    <n v="2020"/>
    <s v="Q1"/>
    <x v="2"/>
    <x v="0"/>
    <x v="4"/>
    <x v="81"/>
    <x v="1"/>
    <n v="42"/>
    <x v="74"/>
    <n v="85.67"/>
    <n v="7.99"/>
    <n v="4.78"/>
    <n v="15.91"/>
    <n v="207.88"/>
    <n v="429"/>
    <n v="4"/>
    <n v="60"/>
  </r>
  <r>
    <n v="84"/>
    <s v="2020-03-22"/>
    <n v="2020"/>
    <s v="Q1"/>
    <x v="2"/>
    <x v="6"/>
    <x v="0"/>
    <x v="82"/>
    <x v="1"/>
    <n v="50"/>
    <x v="75"/>
    <n v="85.18"/>
    <n v="34.369999999999997"/>
    <n v="5.77"/>
    <n v="15.59"/>
    <n v="171.81"/>
    <n v="1035"/>
    <n v="5"/>
    <n v="89"/>
  </r>
  <r>
    <n v="85"/>
    <s v="2020-03-15"/>
    <n v="2020"/>
    <s v="Q1"/>
    <x v="2"/>
    <x v="2"/>
    <x v="1"/>
    <x v="83"/>
    <x v="2"/>
    <n v="50"/>
    <x v="76"/>
    <n v="90.16"/>
    <n v="7.03"/>
    <n v="3.7"/>
    <n v="5.0599999999999996"/>
    <n v="470.42"/>
    <n v="146"/>
    <n v="1"/>
    <n v="153"/>
  </r>
  <r>
    <n v="86"/>
    <s v="2020-03-09"/>
    <n v="2020"/>
    <s v="Q1"/>
    <x v="2"/>
    <x v="3"/>
    <x v="2"/>
    <x v="84"/>
    <x v="2"/>
    <n v="26"/>
    <x v="77"/>
    <n v="79.36"/>
    <n v="17.27"/>
    <n v="13.55"/>
    <n v="4.68"/>
    <n v="113.36"/>
    <n v="559"/>
    <n v="5"/>
    <n v="168"/>
  </r>
  <r>
    <n v="87"/>
    <s v="2020-03-03"/>
    <n v="2020"/>
    <s v="Q1"/>
    <x v="2"/>
    <x v="3"/>
    <x v="1"/>
    <x v="85"/>
    <x v="1"/>
    <n v="28"/>
    <x v="78"/>
    <n v="92.03"/>
    <n v="13.3"/>
    <n v="21.69"/>
    <n v="10.43"/>
    <n v="362.04"/>
    <n v="1058"/>
    <n v="1"/>
    <n v="63"/>
  </r>
  <r>
    <n v="88"/>
    <s v="2020-03-01"/>
    <n v="2020"/>
    <s v="Q1"/>
    <x v="2"/>
    <x v="7"/>
    <x v="2"/>
    <x v="86"/>
    <x v="3"/>
    <n v="18"/>
    <x v="79"/>
    <n v="92.62"/>
    <n v="14.57"/>
    <n v="14.37"/>
    <n v="1.55"/>
    <n v="291.20999999999998"/>
    <n v="743"/>
    <n v="4"/>
    <n v="92"/>
  </r>
  <r>
    <n v="89"/>
    <s v="2020-03-04"/>
    <n v="2020"/>
    <s v="Q1"/>
    <x v="2"/>
    <x v="0"/>
    <x v="0"/>
    <x v="87"/>
    <x v="2"/>
    <n v="37"/>
    <x v="80"/>
    <n v="92.9"/>
    <n v="23.47"/>
    <n v="8.76"/>
    <n v="15.17"/>
    <n v="318.87"/>
    <n v="485"/>
    <n v="3"/>
    <n v="189"/>
  </r>
  <r>
    <n v="90"/>
    <s v="2020-03-20"/>
    <n v="2020"/>
    <s v="Q1"/>
    <x v="2"/>
    <x v="5"/>
    <x v="4"/>
    <x v="88"/>
    <x v="0"/>
    <n v="17"/>
    <x v="81"/>
    <n v="94.72"/>
    <n v="9.09"/>
    <n v="7.38"/>
    <n v="4.0199999999999996"/>
    <n v="434.14"/>
    <n v="842"/>
    <n v="3"/>
    <n v="77"/>
  </r>
  <r>
    <n v="91"/>
    <s v="2020-03-01"/>
    <n v="2020"/>
    <s v="Q1"/>
    <x v="2"/>
    <x v="5"/>
    <x v="2"/>
    <x v="89"/>
    <x v="4"/>
    <n v="14"/>
    <x v="67"/>
    <n v="92.32"/>
    <n v="11.93"/>
    <n v="8.58"/>
    <n v="16"/>
    <n v="380.65"/>
    <n v="869"/>
    <n v="5"/>
    <n v="241"/>
  </r>
  <r>
    <n v="92"/>
    <s v="2020-03-25"/>
    <n v="2020"/>
    <s v="Q1"/>
    <x v="2"/>
    <x v="4"/>
    <x v="4"/>
    <x v="90"/>
    <x v="3"/>
    <n v="2"/>
    <x v="18"/>
    <n v="82.87"/>
    <n v="24.59"/>
    <n v="19.93"/>
    <n v="6.17"/>
    <n v="498.64"/>
    <n v="171"/>
    <n v="5"/>
    <n v="119"/>
  </r>
  <r>
    <n v="93"/>
    <s v="2020-03-19"/>
    <n v="2020"/>
    <s v="Q1"/>
    <x v="2"/>
    <x v="5"/>
    <x v="0"/>
    <x v="91"/>
    <x v="0"/>
    <n v="38"/>
    <x v="82"/>
    <n v="78.52"/>
    <n v="25.8"/>
    <n v="16.670000000000002"/>
    <n v="14.81"/>
    <n v="478.21"/>
    <n v="232"/>
    <n v="5"/>
    <n v="242"/>
  </r>
  <r>
    <n v="94"/>
    <s v="2020-03-03"/>
    <n v="2020"/>
    <s v="Q1"/>
    <x v="2"/>
    <x v="6"/>
    <x v="4"/>
    <x v="92"/>
    <x v="3"/>
    <n v="16"/>
    <x v="83"/>
    <n v="83.81"/>
    <n v="9.31"/>
    <n v="21.71"/>
    <n v="10.92"/>
    <n v="171.84"/>
    <n v="607"/>
    <n v="1"/>
    <n v="220"/>
  </r>
  <r>
    <n v="95"/>
    <s v="2020-03-24"/>
    <n v="2020"/>
    <s v="Q1"/>
    <x v="2"/>
    <x v="0"/>
    <x v="0"/>
    <x v="93"/>
    <x v="0"/>
    <n v="48"/>
    <x v="84"/>
    <n v="75.17"/>
    <n v="26.95"/>
    <n v="11.27"/>
    <n v="10.5"/>
    <n v="355.77"/>
    <n v="587"/>
    <n v="1"/>
    <n v="131"/>
  </r>
  <r>
    <n v="96"/>
    <s v="2020-03-22"/>
    <n v="2020"/>
    <s v="Q1"/>
    <x v="2"/>
    <x v="1"/>
    <x v="2"/>
    <x v="94"/>
    <x v="1"/>
    <n v="13"/>
    <x v="85"/>
    <n v="89.13"/>
    <n v="34.01"/>
    <n v="15.18"/>
    <n v="4.84"/>
    <n v="361.53"/>
    <n v="869"/>
    <n v="1"/>
    <n v="68"/>
  </r>
  <r>
    <n v="97"/>
    <s v="2020-03-18"/>
    <n v="2020"/>
    <s v="Q1"/>
    <x v="2"/>
    <x v="3"/>
    <x v="4"/>
    <x v="24"/>
    <x v="0"/>
    <n v="3"/>
    <x v="86"/>
    <n v="89.43"/>
    <n v="24.14"/>
    <n v="8.51"/>
    <n v="9.32"/>
    <n v="555.39"/>
    <n v="954"/>
    <n v="2"/>
    <n v="184"/>
  </r>
  <r>
    <n v="98"/>
    <s v="2020-03-04"/>
    <n v="2020"/>
    <s v="Q1"/>
    <x v="2"/>
    <x v="5"/>
    <x v="2"/>
    <x v="95"/>
    <x v="0"/>
    <n v="25"/>
    <x v="87"/>
    <n v="78.3"/>
    <n v="21.48"/>
    <n v="14.06"/>
    <n v="7.22"/>
    <n v="233.88"/>
    <n v="565"/>
    <n v="1"/>
    <n v="242"/>
  </r>
  <r>
    <n v="99"/>
    <s v="2020-03-12"/>
    <n v="2020"/>
    <s v="Q1"/>
    <x v="2"/>
    <x v="3"/>
    <x v="2"/>
    <x v="96"/>
    <x v="1"/>
    <n v="26"/>
    <x v="88"/>
    <n v="77.12"/>
    <n v="21.96"/>
    <n v="16.440000000000001"/>
    <n v="3.95"/>
    <n v="206.59"/>
    <n v="593"/>
    <n v="2"/>
    <n v="227"/>
  </r>
  <r>
    <n v="100"/>
    <s v="2020-03-24"/>
    <n v="2020"/>
    <s v="Q1"/>
    <x v="2"/>
    <x v="7"/>
    <x v="3"/>
    <x v="97"/>
    <x v="1"/>
    <n v="38"/>
    <x v="89"/>
    <n v="94.84"/>
    <n v="20.61"/>
    <n v="8.7100000000000009"/>
    <n v="11.9"/>
    <n v="261.10000000000002"/>
    <n v="205"/>
    <n v="1"/>
    <n v="201"/>
  </r>
  <r>
    <n v="101"/>
    <s v="2020-03-27"/>
    <n v="2020"/>
    <s v="Q1"/>
    <x v="2"/>
    <x v="2"/>
    <x v="1"/>
    <x v="98"/>
    <x v="2"/>
    <n v="38"/>
    <x v="90"/>
    <n v="76.28"/>
    <n v="17.829999999999998"/>
    <n v="17.13"/>
    <n v="10.199999999999999"/>
    <n v="490.36"/>
    <n v="367"/>
    <n v="1"/>
    <n v="172"/>
  </r>
  <r>
    <n v="102"/>
    <s v="2020-03-20"/>
    <n v="2020"/>
    <s v="Q1"/>
    <x v="2"/>
    <x v="7"/>
    <x v="0"/>
    <x v="99"/>
    <x v="1"/>
    <n v="30"/>
    <x v="91"/>
    <n v="87.9"/>
    <n v="28.02"/>
    <n v="15.78"/>
    <n v="6.39"/>
    <n v="525.09"/>
    <n v="665"/>
    <n v="1"/>
    <n v="171"/>
  </r>
  <r>
    <n v="103"/>
    <s v="2020-04-08"/>
    <n v="2020"/>
    <s v="Q2"/>
    <x v="3"/>
    <x v="7"/>
    <x v="3"/>
    <x v="73"/>
    <x v="0"/>
    <n v="29"/>
    <x v="92"/>
    <n v="88.67"/>
    <n v="15.32"/>
    <n v="5.91"/>
    <n v="2.4700000000000002"/>
    <n v="459.9"/>
    <n v="588"/>
    <n v="4"/>
    <n v="132"/>
  </r>
  <r>
    <n v="104"/>
    <s v="2020-04-22"/>
    <n v="2020"/>
    <s v="Q2"/>
    <x v="3"/>
    <x v="7"/>
    <x v="0"/>
    <x v="100"/>
    <x v="0"/>
    <n v="26"/>
    <x v="93"/>
    <n v="90.05"/>
    <n v="11.95"/>
    <n v="11.98"/>
    <n v="8.4"/>
    <n v="483.71"/>
    <n v="831"/>
    <n v="2"/>
    <n v="178"/>
  </r>
  <r>
    <n v="105"/>
    <s v="2020-04-11"/>
    <n v="2020"/>
    <s v="Q2"/>
    <x v="3"/>
    <x v="6"/>
    <x v="2"/>
    <x v="101"/>
    <x v="2"/>
    <n v="43"/>
    <x v="94"/>
    <n v="94.05"/>
    <n v="33.36"/>
    <n v="17.190000000000001"/>
    <n v="11.42"/>
    <n v="262.81"/>
    <n v="593"/>
    <n v="2"/>
    <n v="176"/>
  </r>
  <r>
    <n v="106"/>
    <s v="2020-04-25"/>
    <n v="2020"/>
    <s v="Q2"/>
    <x v="3"/>
    <x v="2"/>
    <x v="4"/>
    <x v="102"/>
    <x v="2"/>
    <n v="19"/>
    <x v="95"/>
    <n v="94.09"/>
    <n v="13.71"/>
    <n v="16.989999999999998"/>
    <n v="4.74"/>
    <n v="122.86"/>
    <n v="1031"/>
    <n v="4"/>
    <n v="120"/>
  </r>
  <r>
    <n v="107"/>
    <s v="2020-04-02"/>
    <n v="2020"/>
    <s v="Q2"/>
    <x v="3"/>
    <x v="7"/>
    <x v="2"/>
    <x v="103"/>
    <x v="4"/>
    <n v="50"/>
    <x v="96"/>
    <n v="83.22"/>
    <n v="27.52"/>
    <n v="11.7"/>
    <n v="12.32"/>
    <n v="320.77"/>
    <n v="535"/>
    <n v="4"/>
    <n v="132"/>
  </r>
  <r>
    <n v="108"/>
    <s v="2020-03-31"/>
    <n v="2020"/>
    <s v="Q2"/>
    <x v="3"/>
    <x v="4"/>
    <x v="1"/>
    <x v="104"/>
    <x v="0"/>
    <n v="48"/>
    <x v="4"/>
    <n v="78.63"/>
    <n v="15.57"/>
    <n v="2.96"/>
    <n v="1.74"/>
    <n v="358.88"/>
    <n v="814"/>
    <n v="4"/>
    <n v="117"/>
  </r>
  <r>
    <n v="109"/>
    <s v="2020-04-13"/>
    <n v="2020"/>
    <s v="Q2"/>
    <x v="3"/>
    <x v="7"/>
    <x v="4"/>
    <x v="105"/>
    <x v="2"/>
    <n v="30"/>
    <x v="97"/>
    <n v="85.38"/>
    <n v="32.979999999999997"/>
    <n v="4.5199999999999996"/>
    <n v="13.81"/>
    <n v="519.54999999999995"/>
    <n v="774"/>
    <n v="4"/>
    <n v="139"/>
  </r>
  <r>
    <n v="110"/>
    <s v="2020-04-07"/>
    <n v="2020"/>
    <s v="Q2"/>
    <x v="3"/>
    <x v="1"/>
    <x v="2"/>
    <x v="106"/>
    <x v="1"/>
    <n v="34"/>
    <x v="89"/>
    <n v="90.1"/>
    <n v="32.1"/>
    <n v="12.12"/>
    <n v="5.38"/>
    <n v="554.11"/>
    <n v="669"/>
    <n v="3"/>
    <n v="139"/>
  </r>
  <r>
    <n v="111"/>
    <s v="2020-04-09"/>
    <n v="2020"/>
    <s v="Q2"/>
    <x v="3"/>
    <x v="6"/>
    <x v="1"/>
    <x v="107"/>
    <x v="0"/>
    <n v="4"/>
    <x v="98"/>
    <n v="80.47"/>
    <n v="27.84"/>
    <n v="19.57"/>
    <n v="8.41"/>
    <n v="420.83"/>
    <n v="1082"/>
    <n v="1"/>
    <n v="117"/>
  </r>
  <r>
    <n v="112"/>
    <s v="2020-04-14"/>
    <n v="2020"/>
    <s v="Q2"/>
    <x v="3"/>
    <x v="4"/>
    <x v="0"/>
    <x v="108"/>
    <x v="1"/>
    <n v="11"/>
    <x v="99"/>
    <n v="80.84"/>
    <n v="7.57"/>
    <n v="18.37"/>
    <n v="14.72"/>
    <n v="351.94"/>
    <n v="976"/>
    <n v="5"/>
    <n v="174"/>
  </r>
  <r>
    <n v="113"/>
    <s v="2020-04-04"/>
    <n v="2020"/>
    <s v="Q2"/>
    <x v="3"/>
    <x v="0"/>
    <x v="1"/>
    <x v="109"/>
    <x v="4"/>
    <n v="32"/>
    <x v="100"/>
    <n v="81.88"/>
    <n v="15.45"/>
    <n v="13.48"/>
    <n v="15.43"/>
    <n v="112.4"/>
    <n v="848"/>
    <n v="5"/>
    <n v="175"/>
  </r>
  <r>
    <n v="114"/>
    <s v="2020-04-09"/>
    <n v="2020"/>
    <s v="Q2"/>
    <x v="3"/>
    <x v="6"/>
    <x v="0"/>
    <x v="110"/>
    <x v="0"/>
    <n v="16"/>
    <x v="96"/>
    <n v="92.43"/>
    <n v="32.700000000000003"/>
    <n v="3.62"/>
    <n v="1.44"/>
    <n v="317.89"/>
    <n v="272"/>
    <n v="5"/>
    <n v="65"/>
  </r>
  <r>
    <n v="115"/>
    <s v="2020-04-18"/>
    <n v="2020"/>
    <s v="Q2"/>
    <x v="3"/>
    <x v="6"/>
    <x v="4"/>
    <x v="111"/>
    <x v="3"/>
    <n v="28"/>
    <x v="101"/>
    <n v="77.67"/>
    <n v="21.18"/>
    <n v="19.28"/>
    <n v="1.83"/>
    <n v="149.52000000000001"/>
    <n v="311"/>
    <n v="5"/>
    <n v="112"/>
  </r>
  <r>
    <n v="116"/>
    <s v="2020-04-06"/>
    <n v="2020"/>
    <s v="Q2"/>
    <x v="3"/>
    <x v="0"/>
    <x v="1"/>
    <x v="85"/>
    <x v="3"/>
    <n v="23"/>
    <x v="77"/>
    <n v="79.03"/>
    <n v="34.32"/>
    <n v="16.670000000000002"/>
    <n v="14.27"/>
    <n v="282.94"/>
    <n v="1051"/>
    <n v="1"/>
    <n v="118"/>
  </r>
  <r>
    <n v="117"/>
    <s v="2020-04-10"/>
    <n v="2020"/>
    <s v="Q2"/>
    <x v="3"/>
    <x v="0"/>
    <x v="1"/>
    <x v="35"/>
    <x v="2"/>
    <n v="43"/>
    <x v="102"/>
    <n v="78.209999999999994"/>
    <n v="22.71"/>
    <n v="14.61"/>
    <n v="9.26"/>
    <n v="590.66999999999996"/>
    <n v="376"/>
    <n v="4"/>
    <n v="194"/>
  </r>
  <r>
    <n v="118"/>
    <s v="2020-04-10"/>
    <n v="2020"/>
    <s v="Q2"/>
    <x v="3"/>
    <x v="4"/>
    <x v="3"/>
    <x v="112"/>
    <x v="1"/>
    <n v="32"/>
    <x v="58"/>
    <n v="87.57"/>
    <n v="7.68"/>
    <n v="21.91"/>
    <n v="9.8000000000000007"/>
    <n v="125.13"/>
    <n v="176"/>
    <n v="2"/>
    <n v="54"/>
  </r>
  <r>
    <n v="119"/>
    <s v="2020-04-24"/>
    <n v="2020"/>
    <s v="Q2"/>
    <x v="3"/>
    <x v="7"/>
    <x v="0"/>
    <x v="113"/>
    <x v="3"/>
    <n v="7"/>
    <x v="103"/>
    <n v="87.7"/>
    <n v="32.94"/>
    <n v="10.79"/>
    <n v="7.67"/>
    <n v="145.78"/>
    <n v="938"/>
    <n v="3"/>
    <n v="99"/>
  </r>
  <r>
    <n v="120"/>
    <s v="2020-04-02"/>
    <n v="2020"/>
    <s v="Q2"/>
    <x v="3"/>
    <x v="2"/>
    <x v="3"/>
    <x v="114"/>
    <x v="2"/>
    <n v="38"/>
    <x v="104"/>
    <n v="91.6"/>
    <n v="26.56"/>
    <n v="8.7799999999999994"/>
    <n v="1.24"/>
    <n v="582.30999999999995"/>
    <n v="232"/>
    <n v="4"/>
    <n v="170"/>
  </r>
  <r>
    <n v="121"/>
    <s v="2020-04-24"/>
    <n v="2020"/>
    <s v="Q2"/>
    <x v="3"/>
    <x v="6"/>
    <x v="2"/>
    <x v="115"/>
    <x v="1"/>
    <n v="15"/>
    <x v="105"/>
    <n v="83.66"/>
    <n v="23.24"/>
    <n v="16.86"/>
    <n v="12.36"/>
    <n v="305.32"/>
    <n v="633"/>
    <n v="3"/>
    <n v="187"/>
  </r>
  <r>
    <n v="122"/>
    <s v="2020-04-16"/>
    <n v="2020"/>
    <s v="Q2"/>
    <x v="3"/>
    <x v="1"/>
    <x v="3"/>
    <x v="116"/>
    <x v="0"/>
    <n v="11"/>
    <x v="106"/>
    <n v="94.11"/>
    <n v="31.68"/>
    <n v="19.850000000000001"/>
    <n v="11.28"/>
    <n v="277.01"/>
    <n v="346"/>
    <n v="2"/>
    <n v="151"/>
  </r>
  <r>
    <n v="123"/>
    <s v="2020-04-11"/>
    <n v="2020"/>
    <s v="Q2"/>
    <x v="3"/>
    <x v="4"/>
    <x v="2"/>
    <x v="117"/>
    <x v="2"/>
    <n v="27"/>
    <x v="97"/>
    <n v="88.73"/>
    <n v="20.170000000000002"/>
    <n v="9.83"/>
    <n v="6.51"/>
    <n v="445.44"/>
    <n v="573"/>
    <n v="3"/>
    <n v="153"/>
  </r>
  <r>
    <n v="124"/>
    <s v="2020-04-18"/>
    <n v="2020"/>
    <s v="Q2"/>
    <x v="3"/>
    <x v="6"/>
    <x v="2"/>
    <x v="118"/>
    <x v="2"/>
    <n v="41"/>
    <x v="107"/>
    <n v="87.72"/>
    <n v="21.61"/>
    <n v="8.81"/>
    <n v="8.49"/>
    <n v="429.96"/>
    <n v="364"/>
    <n v="3"/>
    <n v="190"/>
  </r>
  <r>
    <n v="125"/>
    <s v="2020-04-24"/>
    <n v="2020"/>
    <s v="Q2"/>
    <x v="3"/>
    <x v="5"/>
    <x v="1"/>
    <x v="119"/>
    <x v="1"/>
    <n v="29"/>
    <x v="108"/>
    <n v="77.27"/>
    <n v="6.94"/>
    <n v="20.149999999999999"/>
    <n v="3.44"/>
    <n v="250.68"/>
    <n v="173"/>
    <n v="5"/>
    <n v="179"/>
  </r>
  <r>
    <n v="126"/>
    <s v="2020-04-11"/>
    <n v="2020"/>
    <s v="Q2"/>
    <x v="3"/>
    <x v="3"/>
    <x v="1"/>
    <x v="120"/>
    <x v="2"/>
    <n v="2"/>
    <x v="109"/>
    <n v="83.62"/>
    <n v="32.17"/>
    <n v="7.01"/>
    <n v="3.53"/>
    <n v="406.16"/>
    <n v="622"/>
    <n v="3"/>
    <n v="155"/>
  </r>
  <r>
    <n v="127"/>
    <s v="2020-04-15"/>
    <n v="2020"/>
    <s v="Q2"/>
    <x v="3"/>
    <x v="3"/>
    <x v="3"/>
    <x v="121"/>
    <x v="1"/>
    <n v="28"/>
    <x v="110"/>
    <n v="82.54"/>
    <n v="31.16"/>
    <n v="11.25"/>
    <n v="10.43"/>
    <n v="325.11"/>
    <n v="826"/>
    <n v="4"/>
    <n v="65"/>
  </r>
  <r>
    <n v="128"/>
    <s v="2020-04-19"/>
    <n v="2020"/>
    <s v="Q2"/>
    <x v="3"/>
    <x v="6"/>
    <x v="3"/>
    <x v="122"/>
    <x v="0"/>
    <n v="15"/>
    <x v="111"/>
    <n v="84.35"/>
    <n v="20.28"/>
    <n v="21.45"/>
    <n v="12.52"/>
    <n v="336.8"/>
    <n v="1028"/>
    <n v="4"/>
    <n v="68"/>
  </r>
  <r>
    <n v="129"/>
    <s v="2020-04-27"/>
    <n v="2020"/>
    <s v="Q2"/>
    <x v="3"/>
    <x v="1"/>
    <x v="1"/>
    <x v="113"/>
    <x v="2"/>
    <n v="1"/>
    <x v="60"/>
    <n v="80.38"/>
    <n v="29.99"/>
    <n v="15.81"/>
    <n v="10.51"/>
    <n v="294.25"/>
    <n v="261"/>
    <n v="1"/>
    <n v="103"/>
  </r>
  <r>
    <n v="130"/>
    <s v="2020-04-04"/>
    <n v="2020"/>
    <s v="Q2"/>
    <x v="3"/>
    <x v="0"/>
    <x v="1"/>
    <x v="123"/>
    <x v="1"/>
    <n v="6"/>
    <x v="62"/>
    <n v="84"/>
    <n v="12.76"/>
    <n v="19.59"/>
    <n v="5.89"/>
    <n v="566.75"/>
    <n v="832"/>
    <n v="1"/>
    <n v="58"/>
  </r>
  <r>
    <n v="131"/>
    <s v="2020-04-01"/>
    <n v="2020"/>
    <s v="Q2"/>
    <x v="3"/>
    <x v="0"/>
    <x v="4"/>
    <x v="124"/>
    <x v="3"/>
    <n v="20"/>
    <x v="112"/>
    <n v="76.930000000000007"/>
    <n v="23.13"/>
    <n v="3.78"/>
    <n v="13.45"/>
    <n v="126.63"/>
    <n v="253"/>
    <n v="4"/>
    <n v="59"/>
  </r>
  <r>
    <n v="132"/>
    <s v="2020-04-05"/>
    <n v="2020"/>
    <s v="Q2"/>
    <x v="3"/>
    <x v="4"/>
    <x v="0"/>
    <x v="125"/>
    <x v="1"/>
    <n v="20"/>
    <x v="113"/>
    <n v="78.930000000000007"/>
    <n v="33.35"/>
    <n v="20.64"/>
    <n v="13.4"/>
    <n v="368.37"/>
    <n v="762"/>
    <n v="2"/>
    <n v="101"/>
  </r>
  <r>
    <n v="133"/>
    <s v="2020-04-03"/>
    <n v="2020"/>
    <s v="Q2"/>
    <x v="3"/>
    <x v="3"/>
    <x v="1"/>
    <x v="126"/>
    <x v="1"/>
    <n v="13"/>
    <x v="114"/>
    <n v="89.51"/>
    <n v="26.97"/>
    <n v="7.45"/>
    <n v="11.66"/>
    <n v="530.87"/>
    <n v="261"/>
    <n v="3"/>
    <n v="112"/>
  </r>
  <r>
    <n v="134"/>
    <s v="2020-04-22"/>
    <n v="2020"/>
    <s v="Q2"/>
    <x v="3"/>
    <x v="6"/>
    <x v="0"/>
    <x v="127"/>
    <x v="3"/>
    <n v="1"/>
    <x v="115"/>
    <n v="89.91"/>
    <n v="11.68"/>
    <n v="7.31"/>
    <n v="15.09"/>
    <n v="260.99"/>
    <n v="1048"/>
    <n v="5"/>
    <n v="177"/>
  </r>
  <r>
    <n v="135"/>
    <s v="2020-04-19"/>
    <n v="2020"/>
    <s v="Q2"/>
    <x v="3"/>
    <x v="6"/>
    <x v="4"/>
    <x v="128"/>
    <x v="3"/>
    <n v="13"/>
    <x v="116"/>
    <n v="83.63"/>
    <n v="22.6"/>
    <n v="5.67"/>
    <n v="10.71"/>
    <n v="555.58000000000004"/>
    <n v="179"/>
    <n v="3"/>
    <n v="151"/>
  </r>
  <r>
    <n v="136"/>
    <s v="2020-04-25"/>
    <n v="2020"/>
    <s v="Q2"/>
    <x v="3"/>
    <x v="6"/>
    <x v="3"/>
    <x v="129"/>
    <x v="1"/>
    <n v="16"/>
    <x v="117"/>
    <n v="79.06"/>
    <n v="14.64"/>
    <n v="12.88"/>
    <n v="6.41"/>
    <n v="387.66"/>
    <n v="1061"/>
    <n v="2"/>
    <n v="78"/>
  </r>
  <r>
    <n v="137"/>
    <s v="2020-05-19"/>
    <n v="2020"/>
    <s v="Q2"/>
    <x v="4"/>
    <x v="2"/>
    <x v="2"/>
    <x v="130"/>
    <x v="0"/>
    <n v="1"/>
    <x v="118"/>
    <n v="84.8"/>
    <n v="12.69"/>
    <n v="19.02"/>
    <n v="11.46"/>
    <n v="211.29"/>
    <n v="679"/>
    <n v="3"/>
    <n v="217"/>
  </r>
  <r>
    <n v="138"/>
    <s v="2020-05-23"/>
    <n v="2020"/>
    <s v="Q2"/>
    <x v="4"/>
    <x v="0"/>
    <x v="3"/>
    <x v="131"/>
    <x v="0"/>
    <n v="10"/>
    <x v="119"/>
    <n v="89.55"/>
    <n v="33.43"/>
    <n v="15.36"/>
    <n v="13.25"/>
    <n v="345.79"/>
    <n v="856"/>
    <n v="2"/>
    <n v="195"/>
  </r>
  <r>
    <n v="139"/>
    <s v="2020-04-30"/>
    <n v="2020"/>
    <s v="Q2"/>
    <x v="4"/>
    <x v="3"/>
    <x v="3"/>
    <x v="132"/>
    <x v="4"/>
    <n v="13"/>
    <x v="120"/>
    <n v="79.3"/>
    <n v="9.93"/>
    <n v="7.71"/>
    <n v="13.12"/>
    <n v="389.18"/>
    <n v="1051"/>
    <n v="4"/>
    <n v="191"/>
  </r>
  <r>
    <n v="140"/>
    <s v="2020-05-17"/>
    <n v="2020"/>
    <s v="Q2"/>
    <x v="4"/>
    <x v="6"/>
    <x v="3"/>
    <x v="133"/>
    <x v="4"/>
    <n v="6"/>
    <x v="121"/>
    <n v="81.61"/>
    <n v="17.93"/>
    <n v="9.98"/>
    <n v="3.45"/>
    <n v="481.92"/>
    <n v="713"/>
    <n v="5"/>
    <n v="53"/>
  </r>
  <r>
    <n v="141"/>
    <s v="2020-05-07"/>
    <n v="2020"/>
    <s v="Q2"/>
    <x v="4"/>
    <x v="6"/>
    <x v="3"/>
    <x v="134"/>
    <x v="3"/>
    <n v="13"/>
    <x v="57"/>
    <n v="92.04"/>
    <n v="19.170000000000002"/>
    <n v="13.31"/>
    <n v="15.94"/>
    <n v="438.22"/>
    <n v="370"/>
    <n v="4"/>
    <n v="50"/>
  </r>
  <r>
    <n v="142"/>
    <s v="2020-05-06"/>
    <n v="2020"/>
    <s v="Q2"/>
    <x v="4"/>
    <x v="5"/>
    <x v="0"/>
    <x v="135"/>
    <x v="2"/>
    <n v="42"/>
    <x v="122"/>
    <n v="85.91"/>
    <n v="11.68"/>
    <n v="14.76"/>
    <n v="3.29"/>
    <n v="182.16"/>
    <n v="114"/>
    <n v="5"/>
    <n v="135"/>
  </r>
  <r>
    <n v="143"/>
    <s v="2020-05-14"/>
    <n v="2020"/>
    <s v="Q2"/>
    <x v="4"/>
    <x v="3"/>
    <x v="2"/>
    <x v="136"/>
    <x v="3"/>
    <n v="44"/>
    <x v="104"/>
    <n v="79.98"/>
    <n v="18.690000000000001"/>
    <n v="21.14"/>
    <n v="11.5"/>
    <n v="165.93"/>
    <n v="302"/>
    <n v="2"/>
    <n v="86"/>
  </r>
  <r>
    <n v="144"/>
    <s v="2020-05-17"/>
    <n v="2020"/>
    <s v="Q2"/>
    <x v="4"/>
    <x v="5"/>
    <x v="1"/>
    <x v="137"/>
    <x v="3"/>
    <n v="41"/>
    <x v="123"/>
    <n v="78.56"/>
    <n v="24.62"/>
    <n v="19.68"/>
    <n v="3.93"/>
    <n v="543.83000000000004"/>
    <n v="972"/>
    <n v="4"/>
    <n v="166"/>
  </r>
  <r>
    <n v="145"/>
    <s v="2020-05-10"/>
    <n v="2020"/>
    <s v="Q2"/>
    <x v="4"/>
    <x v="2"/>
    <x v="2"/>
    <x v="138"/>
    <x v="3"/>
    <n v="38"/>
    <x v="124"/>
    <n v="82.28"/>
    <n v="9.18"/>
    <n v="5.49"/>
    <n v="8.64"/>
    <n v="342.83"/>
    <n v="181"/>
    <n v="4"/>
    <n v="116"/>
  </r>
  <r>
    <n v="146"/>
    <s v="2020-05-21"/>
    <n v="2020"/>
    <s v="Q2"/>
    <x v="4"/>
    <x v="2"/>
    <x v="2"/>
    <x v="139"/>
    <x v="3"/>
    <n v="8"/>
    <x v="36"/>
    <n v="86.43"/>
    <n v="33.5"/>
    <n v="9.18"/>
    <n v="5.24"/>
    <n v="312.27"/>
    <n v="744"/>
    <n v="3"/>
    <n v="50"/>
  </r>
  <r>
    <n v="147"/>
    <s v="2020-05-21"/>
    <n v="2020"/>
    <s v="Q2"/>
    <x v="4"/>
    <x v="6"/>
    <x v="3"/>
    <x v="140"/>
    <x v="3"/>
    <n v="49"/>
    <x v="125"/>
    <n v="81.069999999999993"/>
    <n v="13.6"/>
    <n v="9.86"/>
    <n v="5.16"/>
    <n v="192.6"/>
    <n v="408"/>
    <n v="3"/>
    <n v="244"/>
  </r>
  <r>
    <n v="148"/>
    <s v="2020-05-14"/>
    <n v="2020"/>
    <s v="Q2"/>
    <x v="4"/>
    <x v="1"/>
    <x v="3"/>
    <x v="141"/>
    <x v="1"/>
    <n v="34"/>
    <x v="109"/>
    <n v="77.760000000000005"/>
    <n v="15.9"/>
    <n v="8.25"/>
    <n v="7.31"/>
    <n v="283.36"/>
    <n v="1044"/>
    <n v="4"/>
    <n v="104"/>
  </r>
  <r>
    <n v="149"/>
    <s v="2020-05-27"/>
    <n v="2020"/>
    <s v="Q2"/>
    <x v="4"/>
    <x v="3"/>
    <x v="1"/>
    <x v="142"/>
    <x v="1"/>
    <n v="22"/>
    <x v="126"/>
    <n v="94.85"/>
    <n v="17.579999999999998"/>
    <n v="6.32"/>
    <n v="15.07"/>
    <n v="206.32"/>
    <n v="497"/>
    <n v="2"/>
    <n v="78"/>
  </r>
  <r>
    <n v="150"/>
    <s v="2020-05-21"/>
    <n v="2020"/>
    <s v="Q2"/>
    <x v="4"/>
    <x v="1"/>
    <x v="3"/>
    <x v="143"/>
    <x v="4"/>
    <n v="5"/>
    <x v="127"/>
    <n v="82.26"/>
    <n v="13.03"/>
    <n v="13.36"/>
    <n v="8.34"/>
    <n v="551.98"/>
    <n v="251"/>
    <n v="2"/>
    <n v="109"/>
  </r>
  <r>
    <n v="151"/>
    <s v="2020-05-27"/>
    <n v="2020"/>
    <s v="Q2"/>
    <x v="4"/>
    <x v="0"/>
    <x v="0"/>
    <x v="144"/>
    <x v="2"/>
    <n v="34"/>
    <x v="128"/>
    <n v="93.51"/>
    <n v="11.44"/>
    <n v="3.11"/>
    <n v="3.08"/>
    <n v="365.77"/>
    <n v="957"/>
    <n v="4"/>
    <n v="111"/>
  </r>
  <r>
    <n v="152"/>
    <s v="2020-05-17"/>
    <n v="2020"/>
    <s v="Q2"/>
    <x v="4"/>
    <x v="5"/>
    <x v="3"/>
    <x v="145"/>
    <x v="4"/>
    <n v="12"/>
    <x v="49"/>
    <n v="84.35"/>
    <n v="15.23"/>
    <n v="19.649999999999999"/>
    <n v="4.3499999999999996"/>
    <n v="167.96"/>
    <n v="416"/>
    <n v="2"/>
    <n v="223"/>
  </r>
  <r>
    <n v="153"/>
    <s v="2020-05-04"/>
    <n v="2020"/>
    <s v="Q2"/>
    <x v="4"/>
    <x v="7"/>
    <x v="2"/>
    <x v="146"/>
    <x v="4"/>
    <n v="32"/>
    <x v="129"/>
    <n v="89.55"/>
    <n v="10.65"/>
    <n v="13.23"/>
    <n v="2.62"/>
    <n v="207.47"/>
    <n v="726"/>
    <n v="5"/>
    <n v="214"/>
  </r>
  <r>
    <n v="154"/>
    <s v="2020-04-30"/>
    <n v="2020"/>
    <s v="Q2"/>
    <x v="4"/>
    <x v="5"/>
    <x v="0"/>
    <x v="147"/>
    <x v="1"/>
    <n v="30"/>
    <x v="130"/>
    <n v="94.02"/>
    <n v="21.87"/>
    <n v="13.04"/>
    <n v="10.52"/>
    <n v="261.60000000000002"/>
    <n v="502"/>
    <n v="3"/>
    <n v="175"/>
  </r>
  <r>
    <n v="155"/>
    <s v="2020-05-01"/>
    <n v="2020"/>
    <s v="Q2"/>
    <x v="4"/>
    <x v="0"/>
    <x v="0"/>
    <x v="148"/>
    <x v="2"/>
    <n v="28"/>
    <x v="131"/>
    <n v="80.430000000000007"/>
    <n v="34.659999999999997"/>
    <n v="5.24"/>
    <n v="5.17"/>
    <n v="436.68"/>
    <n v="611"/>
    <n v="5"/>
    <n v="174"/>
  </r>
  <r>
    <n v="156"/>
    <s v="2020-05-04"/>
    <n v="2020"/>
    <s v="Q2"/>
    <x v="4"/>
    <x v="2"/>
    <x v="2"/>
    <x v="149"/>
    <x v="2"/>
    <n v="46"/>
    <x v="132"/>
    <n v="84.24"/>
    <n v="30.06"/>
    <n v="5.91"/>
    <n v="9.9600000000000009"/>
    <n v="196.05"/>
    <n v="365"/>
    <n v="1"/>
    <n v="122"/>
  </r>
  <r>
    <n v="157"/>
    <s v="2020-05-25"/>
    <n v="2020"/>
    <s v="Q2"/>
    <x v="4"/>
    <x v="3"/>
    <x v="0"/>
    <x v="150"/>
    <x v="4"/>
    <n v="19"/>
    <x v="133"/>
    <n v="77.239999999999995"/>
    <n v="15.81"/>
    <n v="19.84"/>
    <n v="7.01"/>
    <n v="180.52"/>
    <n v="703"/>
    <n v="2"/>
    <n v="224"/>
  </r>
  <r>
    <n v="158"/>
    <s v="2020-05-09"/>
    <n v="2020"/>
    <s v="Q2"/>
    <x v="4"/>
    <x v="0"/>
    <x v="4"/>
    <x v="151"/>
    <x v="3"/>
    <n v="32"/>
    <x v="6"/>
    <n v="93.05"/>
    <n v="24.07"/>
    <n v="10.6"/>
    <n v="14.98"/>
    <n v="551.73"/>
    <n v="282"/>
    <n v="2"/>
    <n v="85"/>
  </r>
  <r>
    <n v="159"/>
    <s v="2020-05-08"/>
    <n v="2020"/>
    <s v="Q2"/>
    <x v="4"/>
    <x v="7"/>
    <x v="1"/>
    <x v="152"/>
    <x v="1"/>
    <n v="49"/>
    <x v="134"/>
    <n v="91.52"/>
    <n v="24.18"/>
    <n v="21.26"/>
    <n v="12.5"/>
    <n v="203.29"/>
    <n v="527"/>
    <n v="1"/>
    <n v="206"/>
  </r>
  <r>
    <n v="160"/>
    <s v="2020-05-24"/>
    <n v="2020"/>
    <s v="Q2"/>
    <x v="4"/>
    <x v="0"/>
    <x v="0"/>
    <x v="153"/>
    <x v="3"/>
    <n v="30"/>
    <x v="47"/>
    <n v="89.14"/>
    <n v="8.66"/>
    <n v="14.44"/>
    <n v="14.47"/>
    <n v="130.29"/>
    <n v="967"/>
    <n v="3"/>
    <n v="168"/>
  </r>
  <r>
    <n v="161"/>
    <s v="2020-05-18"/>
    <n v="2020"/>
    <s v="Q2"/>
    <x v="4"/>
    <x v="4"/>
    <x v="4"/>
    <x v="154"/>
    <x v="0"/>
    <n v="24"/>
    <x v="99"/>
    <n v="79.680000000000007"/>
    <n v="18.760000000000002"/>
    <n v="7.05"/>
    <n v="10.65"/>
    <n v="459.08"/>
    <n v="639"/>
    <n v="4"/>
    <n v="83"/>
  </r>
  <r>
    <n v="162"/>
    <s v="2020-05-06"/>
    <n v="2020"/>
    <s v="Q2"/>
    <x v="4"/>
    <x v="7"/>
    <x v="2"/>
    <x v="155"/>
    <x v="0"/>
    <n v="45"/>
    <x v="135"/>
    <n v="75.11"/>
    <n v="32.21"/>
    <n v="19.45"/>
    <n v="13.53"/>
    <n v="298.85000000000002"/>
    <n v="375"/>
    <n v="3"/>
    <n v="225"/>
  </r>
  <r>
    <n v="163"/>
    <s v="2020-05-03"/>
    <n v="2020"/>
    <s v="Q2"/>
    <x v="4"/>
    <x v="3"/>
    <x v="4"/>
    <x v="156"/>
    <x v="3"/>
    <n v="14"/>
    <x v="136"/>
    <n v="84.23"/>
    <n v="10.6"/>
    <n v="9.32"/>
    <n v="9.16"/>
    <n v="340.33"/>
    <n v="490"/>
    <n v="5"/>
    <n v="58"/>
  </r>
  <r>
    <n v="164"/>
    <s v="2020-05-24"/>
    <n v="2020"/>
    <s v="Q2"/>
    <x v="4"/>
    <x v="5"/>
    <x v="0"/>
    <x v="157"/>
    <x v="3"/>
    <n v="39"/>
    <x v="137"/>
    <n v="78.95"/>
    <n v="17.57"/>
    <n v="18.64"/>
    <n v="15.22"/>
    <n v="338.17"/>
    <n v="897"/>
    <n v="2"/>
    <n v="126"/>
  </r>
  <r>
    <n v="165"/>
    <s v="2020-05-07"/>
    <n v="2020"/>
    <s v="Q2"/>
    <x v="4"/>
    <x v="2"/>
    <x v="1"/>
    <x v="158"/>
    <x v="1"/>
    <n v="6"/>
    <x v="138"/>
    <n v="80.510000000000005"/>
    <n v="24.38"/>
    <n v="2.25"/>
    <n v="11.82"/>
    <n v="335.58"/>
    <n v="978"/>
    <n v="1"/>
    <n v="160"/>
  </r>
  <r>
    <n v="166"/>
    <s v="2020-05-23"/>
    <n v="2020"/>
    <s v="Q2"/>
    <x v="4"/>
    <x v="2"/>
    <x v="0"/>
    <x v="159"/>
    <x v="3"/>
    <n v="38"/>
    <x v="139"/>
    <n v="89.63"/>
    <n v="31.1"/>
    <n v="18.97"/>
    <n v="5.48"/>
    <n v="459.57"/>
    <n v="296"/>
    <n v="1"/>
    <n v="128"/>
  </r>
  <r>
    <n v="167"/>
    <s v="2020-05-17"/>
    <n v="2020"/>
    <s v="Q2"/>
    <x v="4"/>
    <x v="2"/>
    <x v="3"/>
    <x v="160"/>
    <x v="4"/>
    <n v="31"/>
    <x v="140"/>
    <n v="76.17"/>
    <n v="8.2899999999999991"/>
    <n v="7.22"/>
    <n v="9.1"/>
    <n v="299.83999999999997"/>
    <n v="672"/>
    <n v="4"/>
    <n v="145"/>
  </r>
  <r>
    <n v="168"/>
    <s v="2020-05-08"/>
    <n v="2020"/>
    <s v="Q2"/>
    <x v="4"/>
    <x v="5"/>
    <x v="3"/>
    <x v="161"/>
    <x v="3"/>
    <n v="16"/>
    <x v="141"/>
    <n v="82.29"/>
    <n v="32.479999999999997"/>
    <n v="15.72"/>
    <n v="9.17"/>
    <n v="443.45"/>
    <n v="1032"/>
    <n v="5"/>
    <n v="148"/>
  </r>
  <r>
    <n v="169"/>
    <s v="2020-05-22"/>
    <n v="2020"/>
    <s v="Q2"/>
    <x v="4"/>
    <x v="4"/>
    <x v="4"/>
    <x v="162"/>
    <x v="2"/>
    <n v="27"/>
    <x v="142"/>
    <n v="84.74"/>
    <n v="25.28"/>
    <n v="20.170000000000002"/>
    <n v="9.57"/>
    <n v="405.82"/>
    <n v="1032"/>
    <n v="2"/>
    <n v="215"/>
  </r>
  <r>
    <n v="170"/>
    <s v="2020-05-05"/>
    <n v="2020"/>
    <s v="Q2"/>
    <x v="4"/>
    <x v="5"/>
    <x v="0"/>
    <x v="163"/>
    <x v="3"/>
    <n v="49"/>
    <x v="143"/>
    <n v="85.32"/>
    <n v="33.61"/>
    <n v="15.74"/>
    <n v="6.96"/>
    <n v="284.19"/>
    <n v="579"/>
    <n v="5"/>
    <n v="153"/>
  </r>
  <r>
    <n v="171"/>
    <s v="2020-06-08"/>
    <n v="2020"/>
    <s v="Q2"/>
    <x v="5"/>
    <x v="7"/>
    <x v="2"/>
    <x v="164"/>
    <x v="0"/>
    <n v="46"/>
    <x v="144"/>
    <n v="86.64"/>
    <n v="29.89"/>
    <n v="13.75"/>
    <n v="15.56"/>
    <n v="286.82"/>
    <n v="546"/>
    <n v="5"/>
    <n v="223"/>
  </r>
  <r>
    <n v="172"/>
    <s v="2020-06-04"/>
    <n v="2020"/>
    <s v="Q2"/>
    <x v="5"/>
    <x v="7"/>
    <x v="0"/>
    <x v="165"/>
    <x v="4"/>
    <n v="40"/>
    <x v="145"/>
    <n v="91.99"/>
    <n v="13.46"/>
    <n v="18.329999999999998"/>
    <n v="4.29"/>
    <n v="584.02"/>
    <n v="135"/>
    <n v="2"/>
    <n v="59"/>
  </r>
  <r>
    <n v="173"/>
    <s v="2020-06-10"/>
    <n v="2020"/>
    <s v="Q2"/>
    <x v="5"/>
    <x v="4"/>
    <x v="4"/>
    <x v="166"/>
    <x v="3"/>
    <n v="6"/>
    <x v="133"/>
    <n v="94.76"/>
    <n v="6.69"/>
    <n v="4.17"/>
    <n v="11.93"/>
    <n v="388.3"/>
    <n v="933"/>
    <n v="5"/>
    <n v="91"/>
  </r>
  <r>
    <n v="174"/>
    <s v="2020-06-14"/>
    <n v="2020"/>
    <s v="Q2"/>
    <x v="5"/>
    <x v="6"/>
    <x v="0"/>
    <x v="167"/>
    <x v="4"/>
    <n v="30"/>
    <x v="146"/>
    <n v="85.34"/>
    <n v="31.55"/>
    <n v="20.46"/>
    <n v="3.49"/>
    <n v="115.71"/>
    <n v="729"/>
    <n v="2"/>
    <n v="59"/>
  </r>
  <r>
    <n v="175"/>
    <s v="2020-06-04"/>
    <n v="2020"/>
    <s v="Q2"/>
    <x v="5"/>
    <x v="4"/>
    <x v="1"/>
    <x v="168"/>
    <x v="1"/>
    <n v="28"/>
    <x v="34"/>
    <n v="86.52"/>
    <n v="26.16"/>
    <n v="16.78"/>
    <n v="8.86"/>
    <n v="149.81"/>
    <n v="534"/>
    <n v="4"/>
    <n v="117"/>
  </r>
  <r>
    <n v="176"/>
    <s v="2020-06-20"/>
    <n v="2020"/>
    <s v="Q2"/>
    <x v="5"/>
    <x v="4"/>
    <x v="4"/>
    <x v="169"/>
    <x v="0"/>
    <n v="37"/>
    <x v="19"/>
    <n v="75.91"/>
    <n v="7.74"/>
    <n v="12.69"/>
    <n v="1.1599999999999999"/>
    <n v="314.73"/>
    <n v="314"/>
    <n v="5"/>
    <n v="83"/>
  </r>
  <r>
    <n v="177"/>
    <s v="2020-06-14"/>
    <n v="2020"/>
    <s v="Q2"/>
    <x v="5"/>
    <x v="6"/>
    <x v="1"/>
    <x v="170"/>
    <x v="1"/>
    <n v="27"/>
    <x v="113"/>
    <n v="82.35"/>
    <n v="8.2200000000000006"/>
    <n v="10"/>
    <n v="1.07"/>
    <n v="302.75"/>
    <n v="174"/>
    <n v="2"/>
    <n v="64"/>
  </r>
  <r>
    <n v="178"/>
    <s v="2020-06-25"/>
    <n v="2020"/>
    <s v="Q2"/>
    <x v="5"/>
    <x v="3"/>
    <x v="1"/>
    <x v="171"/>
    <x v="2"/>
    <n v="16"/>
    <x v="147"/>
    <n v="93.06"/>
    <n v="26.79"/>
    <n v="20.8"/>
    <n v="11.66"/>
    <n v="196.15"/>
    <n v="1027"/>
    <n v="1"/>
    <n v="54"/>
  </r>
  <r>
    <n v="179"/>
    <s v="2020-06-27"/>
    <n v="2020"/>
    <s v="Q2"/>
    <x v="5"/>
    <x v="0"/>
    <x v="0"/>
    <x v="172"/>
    <x v="3"/>
    <n v="31"/>
    <x v="148"/>
    <n v="85.97"/>
    <n v="12.92"/>
    <n v="20.87"/>
    <n v="4.76"/>
    <n v="164.02"/>
    <n v="882"/>
    <n v="1"/>
    <n v="51"/>
  </r>
  <r>
    <n v="180"/>
    <s v="2020-06-12"/>
    <n v="2020"/>
    <s v="Q2"/>
    <x v="5"/>
    <x v="7"/>
    <x v="4"/>
    <x v="173"/>
    <x v="2"/>
    <n v="17"/>
    <x v="149"/>
    <n v="85.62"/>
    <n v="11.34"/>
    <n v="5.7"/>
    <n v="2.6"/>
    <n v="256.55"/>
    <n v="135"/>
    <n v="5"/>
    <n v="146"/>
  </r>
  <r>
    <n v="181"/>
    <s v="2020-06-20"/>
    <n v="2020"/>
    <s v="Q2"/>
    <x v="5"/>
    <x v="1"/>
    <x v="1"/>
    <x v="174"/>
    <x v="3"/>
    <n v="34"/>
    <x v="150"/>
    <n v="93.6"/>
    <n v="11.7"/>
    <n v="5.36"/>
    <n v="1.07"/>
    <n v="117.39"/>
    <n v="1092"/>
    <n v="1"/>
    <n v="196"/>
  </r>
  <r>
    <n v="182"/>
    <s v="2020-06-21"/>
    <n v="2020"/>
    <s v="Q2"/>
    <x v="5"/>
    <x v="2"/>
    <x v="1"/>
    <x v="175"/>
    <x v="0"/>
    <n v="49"/>
    <x v="151"/>
    <n v="91.51"/>
    <n v="15.7"/>
    <n v="4.6900000000000004"/>
    <n v="7.61"/>
    <n v="342.21"/>
    <n v="269"/>
    <n v="2"/>
    <n v="79"/>
  </r>
  <r>
    <n v="183"/>
    <s v="2020-06-16"/>
    <n v="2020"/>
    <s v="Q2"/>
    <x v="5"/>
    <x v="3"/>
    <x v="4"/>
    <x v="176"/>
    <x v="3"/>
    <n v="30"/>
    <x v="152"/>
    <n v="88.46"/>
    <n v="7.57"/>
    <n v="19.11"/>
    <n v="8.65"/>
    <n v="276.01"/>
    <n v="199"/>
    <n v="5"/>
    <n v="50"/>
  </r>
  <r>
    <n v="184"/>
    <s v="2020-06-06"/>
    <n v="2020"/>
    <s v="Q2"/>
    <x v="5"/>
    <x v="7"/>
    <x v="0"/>
    <x v="177"/>
    <x v="3"/>
    <n v="27"/>
    <x v="18"/>
    <n v="84.62"/>
    <n v="11.49"/>
    <n v="19.97"/>
    <n v="5.46"/>
    <n v="125.22"/>
    <n v="785"/>
    <n v="5"/>
    <n v="152"/>
  </r>
  <r>
    <n v="185"/>
    <s v="2020-06-03"/>
    <n v="2020"/>
    <s v="Q2"/>
    <x v="5"/>
    <x v="2"/>
    <x v="0"/>
    <x v="178"/>
    <x v="0"/>
    <n v="38"/>
    <x v="20"/>
    <n v="84.31"/>
    <n v="34.25"/>
    <n v="19.57"/>
    <n v="6.32"/>
    <n v="183.89"/>
    <n v="913"/>
    <n v="4"/>
    <n v="99"/>
  </r>
  <r>
    <n v="186"/>
    <s v="2020-06-17"/>
    <n v="2020"/>
    <s v="Q2"/>
    <x v="5"/>
    <x v="6"/>
    <x v="2"/>
    <x v="179"/>
    <x v="4"/>
    <n v="24"/>
    <x v="153"/>
    <n v="94.93"/>
    <n v="6.4"/>
    <n v="11.43"/>
    <n v="4.01"/>
    <n v="286.55"/>
    <n v="865"/>
    <n v="5"/>
    <n v="212"/>
  </r>
  <r>
    <n v="187"/>
    <s v="2020-06-24"/>
    <n v="2020"/>
    <s v="Q2"/>
    <x v="5"/>
    <x v="2"/>
    <x v="1"/>
    <x v="180"/>
    <x v="2"/>
    <n v="41"/>
    <x v="154"/>
    <n v="78.569999999999993"/>
    <n v="21.99"/>
    <n v="4.75"/>
    <n v="1.03"/>
    <n v="187.91"/>
    <n v="398"/>
    <n v="1"/>
    <n v="178"/>
  </r>
  <r>
    <n v="188"/>
    <s v="2020-06-10"/>
    <n v="2020"/>
    <s v="Q2"/>
    <x v="5"/>
    <x v="3"/>
    <x v="0"/>
    <x v="181"/>
    <x v="0"/>
    <n v="13"/>
    <x v="155"/>
    <n v="83.96"/>
    <n v="34.07"/>
    <n v="3.87"/>
    <n v="9.42"/>
    <n v="489.46"/>
    <n v="116"/>
    <n v="2"/>
    <n v="85"/>
  </r>
  <r>
    <n v="189"/>
    <s v="2020-06-09"/>
    <n v="2020"/>
    <s v="Q2"/>
    <x v="5"/>
    <x v="0"/>
    <x v="2"/>
    <x v="182"/>
    <x v="3"/>
    <n v="27"/>
    <x v="85"/>
    <n v="83.94"/>
    <n v="17.8"/>
    <n v="6.63"/>
    <n v="11.88"/>
    <n v="166.27"/>
    <n v="738"/>
    <n v="5"/>
    <n v="161"/>
  </r>
  <r>
    <n v="190"/>
    <s v="2020-06-09"/>
    <n v="2020"/>
    <s v="Q2"/>
    <x v="5"/>
    <x v="4"/>
    <x v="0"/>
    <x v="183"/>
    <x v="0"/>
    <n v="45"/>
    <x v="126"/>
    <n v="78.45"/>
    <n v="18.25"/>
    <n v="21.81"/>
    <n v="13.95"/>
    <n v="465.98"/>
    <n v="523"/>
    <n v="1"/>
    <n v="203"/>
  </r>
  <r>
    <n v="191"/>
    <s v="2020-06-02"/>
    <n v="2020"/>
    <s v="Q2"/>
    <x v="5"/>
    <x v="3"/>
    <x v="4"/>
    <x v="184"/>
    <x v="3"/>
    <n v="17"/>
    <x v="14"/>
    <n v="90.29"/>
    <n v="16.989999999999998"/>
    <n v="10.02"/>
    <n v="13.87"/>
    <n v="583.35"/>
    <n v="749"/>
    <n v="4"/>
    <n v="129"/>
  </r>
  <r>
    <n v="192"/>
    <s v="2020-06-21"/>
    <n v="2020"/>
    <s v="Q2"/>
    <x v="5"/>
    <x v="4"/>
    <x v="3"/>
    <x v="168"/>
    <x v="2"/>
    <n v="40"/>
    <x v="156"/>
    <n v="82.38"/>
    <n v="12.17"/>
    <n v="17.22"/>
    <n v="12.9"/>
    <n v="287.86"/>
    <n v="503"/>
    <n v="1"/>
    <n v="185"/>
  </r>
  <r>
    <n v="193"/>
    <s v="2020-06-17"/>
    <n v="2020"/>
    <s v="Q2"/>
    <x v="5"/>
    <x v="6"/>
    <x v="3"/>
    <x v="185"/>
    <x v="0"/>
    <n v="36"/>
    <x v="157"/>
    <n v="94.96"/>
    <n v="23.96"/>
    <n v="21.6"/>
    <n v="10.66"/>
    <n v="117.7"/>
    <n v="1068"/>
    <n v="4"/>
    <n v="185"/>
  </r>
  <r>
    <n v="194"/>
    <s v="2020-06-23"/>
    <n v="2020"/>
    <s v="Q2"/>
    <x v="5"/>
    <x v="4"/>
    <x v="0"/>
    <x v="186"/>
    <x v="4"/>
    <n v="6"/>
    <x v="158"/>
    <n v="93.17"/>
    <n v="28.33"/>
    <n v="4.99"/>
    <n v="13.79"/>
    <n v="235.69"/>
    <n v="138"/>
    <n v="4"/>
    <n v="148"/>
  </r>
  <r>
    <n v="195"/>
    <s v="2020-05-31"/>
    <n v="2020"/>
    <s v="Q2"/>
    <x v="5"/>
    <x v="7"/>
    <x v="1"/>
    <x v="187"/>
    <x v="2"/>
    <n v="28"/>
    <x v="12"/>
    <n v="84.58"/>
    <n v="18.37"/>
    <n v="10.08"/>
    <n v="14.71"/>
    <n v="450.3"/>
    <n v="210"/>
    <n v="4"/>
    <n v="244"/>
  </r>
  <r>
    <n v="196"/>
    <s v="2020-06-03"/>
    <n v="2020"/>
    <s v="Q2"/>
    <x v="5"/>
    <x v="0"/>
    <x v="4"/>
    <x v="35"/>
    <x v="0"/>
    <n v="18"/>
    <x v="159"/>
    <n v="92.35"/>
    <n v="24.54"/>
    <n v="6.39"/>
    <n v="5.78"/>
    <n v="385.62"/>
    <n v="745"/>
    <n v="2"/>
    <n v="162"/>
  </r>
  <r>
    <n v="197"/>
    <s v="2020-06-15"/>
    <n v="2020"/>
    <s v="Q2"/>
    <x v="5"/>
    <x v="3"/>
    <x v="0"/>
    <x v="188"/>
    <x v="2"/>
    <n v="13"/>
    <x v="160"/>
    <n v="86.19"/>
    <n v="31.88"/>
    <n v="8.7899999999999991"/>
    <n v="11.28"/>
    <n v="165.58"/>
    <n v="360"/>
    <n v="3"/>
    <n v="162"/>
  </r>
  <r>
    <n v="198"/>
    <s v="2020-06-15"/>
    <n v="2020"/>
    <s v="Q2"/>
    <x v="5"/>
    <x v="0"/>
    <x v="2"/>
    <x v="189"/>
    <x v="1"/>
    <n v="33"/>
    <x v="161"/>
    <n v="94.86"/>
    <n v="15.2"/>
    <n v="8.6300000000000008"/>
    <n v="10.41"/>
    <n v="255.61"/>
    <n v="757"/>
    <n v="1"/>
    <n v="148"/>
  </r>
  <r>
    <n v="199"/>
    <s v="2020-06-26"/>
    <n v="2020"/>
    <s v="Q2"/>
    <x v="5"/>
    <x v="2"/>
    <x v="0"/>
    <x v="190"/>
    <x v="1"/>
    <n v="24"/>
    <x v="126"/>
    <n v="75.209999999999994"/>
    <n v="15.65"/>
    <n v="5.87"/>
    <n v="12.21"/>
    <n v="323.13"/>
    <n v="304"/>
    <n v="3"/>
    <n v="65"/>
  </r>
  <r>
    <n v="200"/>
    <s v="2020-06-04"/>
    <n v="2020"/>
    <s v="Q2"/>
    <x v="5"/>
    <x v="2"/>
    <x v="1"/>
    <x v="191"/>
    <x v="1"/>
    <n v="23"/>
    <x v="162"/>
    <n v="86.09"/>
    <n v="29.56"/>
    <n v="6.22"/>
    <n v="9.89"/>
    <n v="362.86"/>
    <n v="1085"/>
    <n v="5"/>
    <n v="189"/>
  </r>
  <r>
    <n v="201"/>
    <s v="2020-06-01"/>
    <n v="2020"/>
    <s v="Q2"/>
    <x v="5"/>
    <x v="6"/>
    <x v="3"/>
    <x v="192"/>
    <x v="4"/>
    <n v="1"/>
    <x v="163"/>
    <n v="79.59"/>
    <n v="13.06"/>
    <n v="3.7"/>
    <n v="10.95"/>
    <n v="511.51"/>
    <n v="336"/>
    <n v="5"/>
    <n v="158"/>
  </r>
  <r>
    <n v="202"/>
    <s v="2020-06-15"/>
    <n v="2020"/>
    <s v="Q2"/>
    <x v="5"/>
    <x v="6"/>
    <x v="4"/>
    <x v="193"/>
    <x v="4"/>
    <n v="15"/>
    <x v="54"/>
    <n v="79.44"/>
    <n v="17.079999999999998"/>
    <n v="20.440000000000001"/>
    <n v="11.03"/>
    <n v="201.88"/>
    <n v="646"/>
    <n v="3"/>
    <n v="208"/>
  </r>
  <r>
    <n v="203"/>
    <s v="2020-06-11"/>
    <n v="2020"/>
    <s v="Q2"/>
    <x v="5"/>
    <x v="5"/>
    <x v="1"/>
    <x v="194"/>
    <x v="2"/>
    <n v="49"/>
    <x v="164"/>
    <n v="79.819999999999993"/>
    <n v="10.19"/>
    <n v="13.44"/>
    <n v="12.08"/>
    <n v="586.88"/>
    <n v="475"/>
    <n v="3"/>
    <n v="174"/>
  </r>
  <r>
    <n v="204"/>
    <s v="2020-06-23"/>
    <n v="2020"/>
    <s v="Q2"/>
    <x v="5"/>
    <x v="7"/>
    <x v="2"/>
    <x v="195"/>
    <x v="1"/>
    <n v="5"/>
    <x v="25"/>
    <n v="90.92"/>
    <n v="11.44"/>
    <n v="4.7"/>
    <n v="12.48"/>
    <n v="103.47"/>
    <n v="938"/>
    <n v="2"/>
    <n v="195"/>
  </r>
  <r>
    <n v="205"/>
    <s v="2020-07-20"/>
    <n v="2020"/>
    <s v="Q3"/>
    <x v="6"/>
    <x v="1"/>
    <x v="1"/>
    <x v="196"/>
    <x v="3"/>
    <n v="30"/>
    <x v="165"/>
    <n v="93.51"/>
    <n v="8.75"/>
    <n v="19.5"/>
    <n v="10.75"/>
    <n v="264.73"/>
    <n v="465"/>
    <n v="5"/>
    <n v="76"/>
  </r>
  <r>
    <n v="206"/>
    <s v="2020-07-18"/>
    <n v="2020"/>
    <s v="Q3"/>
    <x v="6"/>
    <x v="2"/>
    <x v="2"/>
    <x v="197"/>
    <x v="0"/>
    <n v="18"/>
    <x v="166"/>
    <n v="79.2"/>
    <n v="6.8"/>
    <n v="12.7"/>
    <n v="2.34"/>
    <n v="340.18"/>
    <n v="319"/>
    <n v="5"/>
    <n v="154"/>
  </r>
  <r>
    <n v="207"/>
    <s v="2020-07-05"/>
    <n v="2020"/>
    <s v="Q3"/>
    <x v="6"/>
    <x v="6"/>
    <x v="2"/>
    <x v="198"/>
    <x v="4"/>
    <n v="4"/>
    <x v="167"/>
    <n v="77.010000000000005"/>
    <n v="10.36"/>
    <n v="10.27"/>
    <n v="14.09"/>
    <n v="248.91"/>
    <n v="153"/>
    <n v="3"/>
    <n v="59"/>
  </r>
  <r>
    <n v="208"/>
    <s v="2020-07-10"/>
    <n v="2020"/>
    <s v="Q3"/>
    <x v="6"/>
    <x v="3"/>
    <x v="1"/>
    <x v="199"/>
    <x v="4"/>
    <n v="21"/>
    <x v="168"/>
    <n v="81.150000000000006"/>
    <n v="14.99"/>
    <n v="14.45"/>
    <n v="3.57"/>
    <n v="590.41"/>
    <n v="492"/>
    <n v="3"/>
    <n v="98"/>
  </r>
  <r>
    <n v="209"/>
    <s v="2020-07-13"/>
    <n v="2020"/>
    <s v="Q3"/>
    <x v="6"/>
    <x v="5"/>
    <x v="0"/>
    <x v="200"/>
    <x v="2"/>
    <n v="30"/>
    <x v="83"/>
    <n v="75.069999999999993"/>
    <n v="33.76"/>
    <n v="12.14"/>
    <n v="9.19"/>
    <n v="165.18"/>
    <n v="244"/>
    <n v="4"/>
    <n v="51"/>
  </r>
  <r>
    <n v="210"/>
    <s v="2020-07-01"/>
    <n v="2020"/>
    <s v="Q3"/>
    <x v="6"/>
    <x v="2"/>
    <x v="3"/>
    <x v="201"/>
    <x v="3"/>
    <n v="35"/>
    <x v="169"/>
    <n v="94.35"/>
    <n v="28.41"/>
    <n v="2.0299999999999998"/>
    <n v="2.2200000000000002"/>
    <n v="444.18"/>
    <n v="638"/>
    <n v="2"/>
    <n v="108"/>
  </r>
  <r>
    <n v="211"/>
    <s v="2020-07-06"/>
    <n v="2020"/>
    <s v="Q3"/>
    <x v="6"/>
    <x v="1"/>
    <x v="0"/>
    <x v="202"/>
    <x v="0"/>
    <n v="50"/>
    <x v="170"/>
    <n v="92.86"/>
    <n v="8.4700000000000006"/>
    <n v="12.16"/>
    <n v="11.28"/>
    <n v="317.19"/>
    <n v="182"/>
    <n v="4"/>
    <n v="230"/>
  </r>
  <r>
    <n v="212"/>
    <s v="2020-06-30"/>
    <n v="2020"/>
    <s v="Q3"/>
    <x v="6"/>
    <x v="5"/>
    <x v="4"/>
    <x v="203"/>
    <x v="0"/>
    <n v="7"/>
    <x v="171"/>
    <n v="93.62"/>
    <n v="8.15"/>
    <n v="12.89"/>
    <n v="11.58"/>
    <n v="587.48"/>
    <n v="400"/>
    <n v="4"/>
    <n v="230"/>
  </r>
  <r>
    <n v="213"/>
    <s v="2020-07-23"/>
    <n v="2020"/>
    <s v="Q3"/>
    <x v="6"/>
    <x v="4"/>
    <x v="4"/>
    <x v="204"/>
    <x v="1"/>
    <n v="5"/>
    <x v="172"/>
    <n v="94.93"/>
    <n v="22.33"/>
    <n v="17.77"/>
    <n v="10.02"/>
    <n v="213.46"/>
    <n v="403"/>
    <n v="1"/>
    <n v="248"/>
  </r>
  <r>
    <n v="214"/>
    <s v="2020-07-02"/>
    <n v="2020"/>
    <s v="Q3"/>
    <x v="6"/>
    <x v="3"/>
    <x v="2"/>
    <x v="205"/>
    <x v="2"/>
    <n v="24"/>
    <x v="173"/>
    <n v="90.69"/>
    <n v="20.5"/>
    <n v="20.8"/>
    <n v="6.34"/>
    <n v="386.92"/>
    <n v="124"/>
    <n v="3"/>
    <n v="111"/>
  </r>
  <r>
    <n v="215"/>
    <s v="2020-07-16"/>
    <n v="2020"/>
    <s v="Q3"/>
    <x v="6"/>
    <x v="6"/>
    <x v="0"/>
    <x v="206"/>
    <x v="3"/>
    <n v="15"/>
    <x v="172"/>
    <n v="76.64"/>
    <n v="14.31"/>
    <n v="4.32"/>
    <n v="13.9"/>
    <n v="409.62"/>
    <n v="716"/>
    <n v="4"/>
    <n v="213"/>
  </r>
  <r>
    <n v="216"/>
    <s v="2020-07-21"/>
    <n v="2020"/>
    <s v="Q3"/>
    <x v="6"/>
    <x v="3"/>
    <x v="0"/>
    <x v="207"/>
    <x v="2"/>
    <n v="1"/>
    <x v="174"/>
    <n v="90.47"/>
    <n v="32.35"/>
    <n v="3.59"/>
    <n v="15.21"/>
    <n v="238.71"/>
    <n v="574"/>
    <n v="2"/>
    <n v="118"/>
  </r>
  <r>
    <n v="217"/>
    <s v="2020-07-16"/>
    <n v="2020"/>
    <s v="Q3"/>
    <x v="6"/>
    <x v="0"/>
    <x v="0"/>
    <x v="208"/>
    <x v="2"/>
    <n v="35"/>
    <x v="171"/>
    <n v="85.27"/>
    <n v="20.53"/>
    <n v="14.95"/>
    <n v="7.34"/>
    <n v="491.62"/>
    <n v="761"/>
    <n v="4"/>
    <n v="159"/>
  </r>
  <r>
    <n v="218"/>
    <s v="2020-07-15"/>
    <n v="2020"/>
    <s v="Q3"/>
    <x v="6"/>
    <x v="0"/>
    <x v="1"/>
    <x v="209"/>
    <x v="4"/>
    <n v="35"/>
    <x v="37"/>
    <n v="79.89"/>
    <n v="23.37"/>
    <n v="13"/>
    <n v="10.92"/>
    <n v="362.7"/>
    <n v="197"/>
    <n v="1"/>
    <n v="65"/>
  </r>
  <r>
    <n v="219"/>
    <s v="2020-07-20"/>
    <n v="2020"/>
    <s v="Q3"/>
    <x v="6"/>
    <x v="7"/>
    <x v="1"/>
    <x v="210"/>
    <x v="2"/>
    <n v="9"/>
    <x v="167"/>
    <n v="85.19"/>
    <n v="16.440000000000001"/>
    <n v="12.35"/>
    <n v="10.67"/>
    <n v="372.45"/>
    <n v="930"/>
    <n v="4"/>
    <n v="184"/>
  </r>
  <r>
    <n v="220"/>
    <s v="2020-07-16"/>
    <n v="2020"/>
    <s v="Q3"/>
    <x v="6"/>
    <x v="4"/>
    <x v="1"/>
    <x v="211"/>
    <x v="1"/>
    <n v="49"/>
    <x v="175"/>
    <n v="82.83"/>
    <n v="27.63"/>
    <n v="20.149999999999999"/>
    <n v="8"/>
    <n v="550.91"/>
    <n v="972"/>
    <n v="2"/>
    <n v="121"/>
  </r>
  <r>
    <n v="221"/>
    <s v="2020-07-08"/>
    <n v="2020"/>
    <s v="Q3"/>
    <x v="6"/>
    <x v="0"/>
    <x v="0"/>
    <x v="212"/>
    <x v="1"/>
    <n v="38"/>
    <x v="176"/>
    <n v="91.79"/>
    <n v="22.62"/>
    <n v="8.7200000000000006"/>
    <n v="8.31"/>
    <n v="273.60000000000002"/>
    <n v="1071"/>
    <n v="3"/>
    <n v="60"/>
  </r>
  <r>
    <n v="222"/>
    <s v="2020-07-19"/>
    <n v="2020"/>
    <s v="Q3"/>
    <x v="6"/>
    <x v="1"/>
    <x v="2"/>
    <x v="213"/>
    <x v="2"/>
    <n v="26"/>
    <x v="177"/>
    <n v="81"/>
    <n v="11.38"/>
    <n v="10.01"/>
    <n v="9.2799999999999994"/>
    <n v="441.08"/>
    <n v="198"/>
    <n v="1"/>
    <n v="218"/>
  </r>
  <r>
    <n v="223"/>
    <s v="2020-07-27"/>
    <n v="2020"/>
    <s v="Q3"/>
    <x v="6"/>
    <x v="5"/>
    <x v="4"/>
    <x v="214"/>
    <x v="1"/>
    <n v="25"/>
    <x v="178"/>
    <n v="92.83"/>
    <n v="19.440000000000001"/>
    <n v="13.63"/>
    <n v="3.81"/>
    <n v="164.54"/>
    <n v="906"/>
    <n v="1"/>
    <n v="163"/>
  </r>
  <r>
    <n v="224"/>
    <s v="2020-07-23"/>
    <n v="2020"/>
    <s v="Q3"/>
    <x v="6"/>
    <x v="3"/>
    <x v="2"/>
    <x v="215"/>
    <x v="1"/>
    <n v="26"/>
    <x v="179"/>
    <n v="93.6"/>
    <n v="6.71"/>
    <n v="18.25"/>
    <n v="9.17"/>
    <n v="201.68"/>
    <n v="711"/>
    <n v="2"/>
    <n v="227"/>
  </r>
  <r>
    <n v="225"/>
    <s v="2020-07-11"/>
    <n v="2020"/>
    <s v="Q3"/>
    <x v="6"/>
    <x v="3"/>
    <x v="3"/>
    <x v="216"/>
    <x v="0"/>
    <n v="34"/>
    <x v="124"/>
    <n v="86.55"/>
    <n v="9.27"/>
    <n v="4.9800000000000004"/>
    <n v="7.55"/>
    <n v="352.02"/>
    <n v="1020"/>
    <n v="3"/>
    <n v="100"/>
  </r>
  <r>
    <n v="226"/>
    <s v="2020-07-24"/>
    <n v="2020"/>
    <s v="Q3"/>
    <x v="6"/>
    <x v="7"/>
    <x v="3"/>
    <x v="217"/>
    <x v="1"/>
    <n v="35"/>
    <x v="180"/>
    <n v="89.31"/>
    <n v="11.29"/>
    <n v="13.92"/>
    <n v="1.47"/>
    <n v="288.57"/>
    <n v="422"/>
    <n v="5"/>
    <n v="117"/>
  </r>
  <r>
    <n v="227"/>
    <s v="2020-07-19"/>
    <n v="2020"/>
    <s v="Q3"/>
    <x v="6"/>
    <x v="1"/>
    <x v="1"/>
    <x v="69"/>
    <x v="1"/>
    <n v="18"/>
    <x v="181"/>
    <n v="83.26"/>
    <n v="30.46"/>
    <n v="9.01"/>
    <n v="14.81"/>
    <n v="480.12"/>
    <n v="368"/>
    <n v="1"/>
    <n v="153"/>
  </r>
  <r>
    <n v="228"/>
    <s v="2020-07-14"/>
    <n v="2020"/>
    <s v="Q3"/>
    <x v="6"/>
    <x v="0"/>
    <x v="1"/>
    <x v="218"/>
    <x v="0"/>
    <n v="30"/>
    <x v="182"/>
    <n v="91.83"/>
    <n v="15.18"/>
    <n v="3.33"/>
    <n v="9.7100000000000009"/>
    <n v="535.55999999999995"/>
    <n v="826"/>
    <n v="4"/>
    <n v="214"/>
  </r>
  <r>
    <n v="229"/>
    <s v="2020-07-26"/>
    <n v="2020"/>
    <s v="Q3"/>
    <x v="6"/>
    <x v="2"/>
    <x v="2"/>
    <x v="219"/>
    <x v="3"/>
    <n v="43"/>
    <x v="183"/>
    <n v="91.92"/>
    <n v="16.62"/>
    <n v="12.64"/>
    <n v="12.37"/>
    <n v="590.91"/>
    <n v="317"/>
    <n v="4"/>
    <n v="131"/>
  </r>
  <r>
    <n v="230"/>
    <s v="2020-07-03"/>
    <n v="2020"/>
    <s v="Q3"/>
    <x v="6"/>
    <x v="7"/>
    <x v="1"/>
    <x v="220"/>
    <x v="4"/>
    <n v="37"/>
    <x v="184"/>
    <n v="91.16"/>
    <n v="20.75"/>
    <n v="9.11"/>
    <n v="3.98"/>
    <n v="543.04999999999995"/>
    <n v="611"/>
    <n v="4"/>
    <n v="176"/>
  </r>
  <r>
    <n v="231"/>
    <s v="2020-07-06"/>
    <n v="2020"/>
    <s v="Q3"/>
    <x v="6"/>
    <x v="1"/>
    <x v="0"/>
    <x v="221"/>
    <x v="3"/>
    <n v="36"/>
    <x v="185"/>
    <n v="85.56"/>
    <n v="12.48"/>
    <n v="10.09"/>
    <n v="2.14"/>
    <n v="544.26"/>
    <n v="826"/>
    <n v="1"/>
    <n v="52"/>
  </r>
  <r>
    <n v="232"/>
    <s v="2020-07-12"/>
    <n v="2020"/>
    <s v="Q3"/>
    <x v="6"/>
    <x v="7"/>
    <x v="4"/>
    <x v="222"/>
    <x v="4"/>
    <n v="28"/>
    <x v="158"/>
    <n v="75.44"/>
    <n v="5.54"/>
    <n v="18.63"/>
    <n v="4.3600000000000003"/>
    <n v="214.72"/>
    <n v="246"/>
    <n v="3"/>
    <n v="241"/>
  </r>
  <r>
    <n v="233"/>
    <s v="2020-07-08"/>
    <n v="2020"/>
    <s v="Q3"/>
    <x v="6"/>
    <x v="7"/>
    <x v="2"/>
    <x v="223"/>
    <x v="3"/>
    <n v="41"/>
    <x v="52"/>
    <n v="90.76"/>
    <n v="9.07"/>
    <n v="18.75"/>
    <n v="11.92"/>
    <n v="492.21"/>
    <n v="872"/>
    <n v="4"/>
    <n v="126"/>
  </r>
  <r>
    <n v="234"/>
    <s v="2020-07-25"/>
    <n v="2020"/>
    <s v="Q3"/>
    <x v="6"/>
    <x v="2"/>
    <x v="1"/>
    <x v="224"/>
    <x v="3"/>
    <n v="17"/>
    <x v="66"/>
    <n v="93.03"/>
    <n v="7.17"/>
    <n v="17.04"/>
    <n v="4.75"/>
    <n v="292.13"/>
    <n v="452"/>
    <n v="2"/>
    <n v="138"/>
  </r>
  <r>
    <n v="235"/>
    <s v="2020-07-09"/>
    <n v="2020"/>
    <s v="Q3"/>
    <x v="6"/>
    <x v="1"/>
    <x v="1"/>
    <x v="225"/>
    <x v="3"/>
    <n v="37"/>
    <x v="46"/>
    <n v="88.88"/>
    <n v="10.09"/>
    <n v="7.26"/>
    <n v="14.03"/>
    <n v="339.74"/>
    <n v="663"/>
    <n v="1"/>
    <n v="113"/>
  </r>
  <r>
    <n v="236"/>
    <s v="2020-07-14"/>
    <n v="2020"/>
    <s v="Q3"/>
    <x v="6"/>
    <x v="1"/>
    <x v="0"/>
    <x v="226"/>
    <x v="2"/>
    <n v="19"/>
    <x v="178"/>
    <n v="84.8"/>
    <n v="30.73"/>
    <n v="15.03"/>
    <n v="4.66"/>
    <n v="202.03"/>
    <n v="368"/>
    <n v="2"/>
    <n v="74"/>
  </r>
  <r>
    <n v="237"/>
    <s v="2020-07-04"/>
    <n v="2020"/>
    <s v="Q3"/>
    <x v="6"/>
    <x v="6"/>
    <x v="0"/>
    <x v="227"/>
    <x v="2"/>
    <n v="7"/>
    <x v="132"/>
    <n v="90.55"/>
    <n v="13.22"/>
    <n v="11.64"/>
    <n v="6.45"/>
    <n v="123.85"/>
    <n v="460"/>
    <n v="2"/>
    <n v="181"/>
  </r>
  <r>
    <n v="238"/>
    <s v="2020-07-15"/>
    <n v="2020"/>
    <s v="Q3"/>
    <x v="6"/>
    <x v="2"/>
    <x v="4"/>
    <x v="228"/>
    <x v="1"/>
    <n v="23"/>
    <x v="186"/>
    <n v="79.98"/>
    <n v="27.82"/>
    <n v="7.4"/>
    <n v="10.210000000000001"/>
    <n v="500.66"/>
    <n v="1046"/>
    <n v="2"/>
    <n v="188"/>
  </r>
  <r>
    <n v="239"/>
    <s v="2020-08-21"/>
    <n v="2020"/>
    <s v="Q3"/>
    <x v="7"/>
    <x v="3"/>
    <x v="2"/>
    <x v="229"/>
    <x v="1"/>
    <n v="39"/>
    <x v="187"/>
    <n v="93.49"/>
    <n v="14.34"/>
    <n v="18.39"/>
    <n v="3.42"/>
    <n v="532.75"/>
    <n v="730"/>
    <n v="2"/>
    <n v="171"/>
  </r>
  <r>
    <n v="240"/>
    <s v="2020-08-25"/>
    <n v="2020"/>
    <s v="Q3"/>
    <x v="7"/>
    <x v="6"/>
    <x v="0"/>
    <x v="230"/>
    <x v="4"/>
    <n v="48"/>
    <x v="188"/>
    <n v="82.62"/>
    <n v="17.64"/>
    <n v="17.61"/>
    <n v="13.04"/>
    <n v="166.16"/>
    <n v="114"/>
    <n v="2"/>
    <n v="182"/>
  </r>
  <r>
    <n v="241"/>
    <s v="2020-08-16"/>
    <n v="2020"/>
    <s v="Q3"/>
    <x v="7"/>
    <x v="7"/>
    <x v="1"/>
    <x v="231"/>
    <x v="4"/>
    <n v="50"/>
    <x v="24"/>
    <n v="79.25"/>
    <n v="33.520000000000003"/>
    <n v="12.31"/>
    <n v="7.36"/>
    <n v="103.54"/>
    <n v="390"/>
    <n v="3"/>
    <n v="112"/>
  </r>
  <r>
    <n v="242"/>
    <s v="2020-08-17"/>
    <n v="2020"/>
    <s v="Q3"/>
    <x v="7"/>
    <x v="4"/>
    <x v="1"/>
    <x v="232"/>
    <x v="1"/>
    <n v="13"/>
    <x v="140"/>
    <n v="91.16"/>
    <n v="23.41"/>
    <n v="2.34"/>
    <n v="13.79"/>
    <n v="352.36"/>
    <n v="932"/>
    <n v="3"/>
    <n v="125"/>
  </r>
  <r>
    <n v="243"/>
    <s v="2020-08-05"/>
    <n v="2020"/>
    <s v="Q3"/>
    <x v="7"/>
    <x v="1"/>
    <x v="3"/>
    <x v="233"/>
    <x v="0"/>
    <n v="30"/>
    <x v="26"/>
    <n v="83.14"/>
    <n v="27.42"/>
    <n v="15.04"/>
    <n v="1.05"/>
    <n v="339.73"/>
    <n v="784"/>
    <n v="5"/>
    <n v="198"/>
  </r>
  <r>
    <n v="244"/>
    <s v="2020-08-06"/>
    <n v="2020"/>
    <s v="Q3"/>
    <x v="7"/>
    <x v="1"/>
    <x v="1"/>
    <x v="234"/>
    <x v="2"/>
    <n v="9"/>
    <x v="187"/>
    <n v="92.52"/>
    <n v="26.65"/>
    <n v="3.55"/>
    <n v="7.27"/>
    <n v="467.43"/>
    <n v="504"/>
    <n v="5"/>
    <n v="109"/>
  </r>
  <r>
    <n v="245"/>
    <s v="2020-08-26"/>
    <n v="2020"/>
    <s v="Q3"/>
    <x v="7"/>
    <x v="7"/>
    <x v="0"/>
    <x v="9"/>
    <x v="4"/>
    <n v="19"/>
    <x v="189"/>
    <n v="94.12"/>
    <n v="33.85"/>
    <n v="20.7"/>
    <n v="11.89"/>
    <n v="269.77"/>
    <n v="634"/>
    <n v="1"/>
    <n v="191"/>
  </r>
  <r>
    <n v="246"/>
    <s v="2020-08-21"/>
    <n v="2020"/>
    <s v="Q3"/>
    <x v="7"/>
    <x v="2"/>
    <x v="3"/>
    <x v="235"/>
    <x v="0"/>
    <n v="37"/>
    <x v="168"/>
    <n v="75.69"/>
    <n v="24.58"/>
    <n v="11.22"/>
    <n v="7.03"/>
    <n v="579.01"/>
    <n v="227"/>
    <n v="1"/>
    <n v="248"/>
  </r>
  <r>
    <n v="247"/>
    <s v="2020-08-18"/>
    <n v="2020"/>
    <s v="Q3"/>
    <x v="7"/>
    <x v="1"/>
    <x v="2"/>
    <x v="236"/>
    <x v="3"/>
    <n v="36"/>
    <x v="190"/>
    <n v="93.41"/>
    <n v="22.42"/>
    <n v="5.78"/>
    <n v="2.52"/>
    <n v="300.38"/>
    <n v="1033"/>
    <n v="5"/>
    <n v="120"/>
  </r>
  <r>
    <n v="248"/>
    <s v="2020-08-11"/>
    <n v="2020"/>
    <s v="Q3"/>
    <x v="7"/>
    <x v="1"/>
    <x v="2"/>
    <x v="237"/>
    <x v="0"/>
    <n v="43"/>
    <x v="191"/>
    <n v="94.2"/>
    <n v="20.04"/>
    <n v="12.08"/>
    <n v="8.48"/>
    <n v="212.65"/>
    <n v="189"/>
    <n v="5"/>
    <n v="122"/>
  </r>
  <r>
    <n v="249"/>
    <s v="2020-07-31"/>
    <n v="2020"/>
    <s v="Q3"/>
    <x v="7"/>
    <x v="0"/>
    <x v="3"/>
    <x v="238"/>
    <x v="2"/>
    <n v="44"/>
    <x v="192"/>
    <n v="77.989999999999995"/>
    <n v="26.85"/>
    <n v="11.27"/>
    <n v="3.76"/>
    <n v="218.58"/>
    <n v="355"/>
    <n v="1"/>
    <n v="67"/>
  </r>
  <r>
    <n v="250"/>
    <s v="2020-08-19"/>
    <n v="2020"/>
    <s v="Q3"/>
    <x v="7"/>
    <x v="6"/>
    <x v="0"/>
    <x v="239"/>
    <x v="3"/>
    <n v="34"/>
    <x v="193"/>
    <n v="82.59"/>
    <n v="21.8"/>
    <n v="13.41"/>
    <n v="3.34"/>
    <n v="519.75"/>
    <n v="922"/>
    <n v="1"/>
    <n v="162"/>
  </r>
  <r>
    <n v="251"/>
    <s v="2020-08-11"/>
    <n v="2020"/>
    <s v="Q3"/>
    <x v="7"/>
    <x v="1"/>
    <x v="4"/>
    <x v="240"/>
    <x v="1"/>
    <n v="20"/>
    <x v="194"/>
    <n v="92.11"/>
    <n v="30.22"/>
    <n v="19.5"/>
    <n v="7.7"/>
    <n v="488.89"/>
    <n v="550"/>
    <n v="4"/>
    <n v="82"/>
  </r>
  <r>
    <n v="252"/>
    <s v="2020-08-14"/>
    <n v="2020"/>
    <s v="Q3"/>
    <x v="7"/>
    <x v="2"/>
    <x v="4"/>
    <x v="241"/>
    <x v="2"/>
    <n v="40"/>
    <x v="76"/>
    <n v="86.25"/>
    <n v="10.210000000000001"/>
    <n v="21.08"/>
    <n v="6.54"/>
    <n v="111.21"/>
    <n v="245"/>
    <n v="2"/>
    <n v="71"/>
  </r>
  <r>
    <n v="253"/>
    <s v="2020-08-27"/>
    <n v="2020"/>
    <s v="Q3"/>
    <x v="7"/>
    <x v="0"/>
    <x v="2"/>
    <x v="242"/>
    <x v="4"/>
    <n v="4"/>
    <x v="195"/>
    <n v="87.26"/>
    <n v="17.489999999999998"/>
    <n v="21.61"/>
    <n v="10.89"/>
    <n v="328.89"/>
    <n v="584"/>
    <n v="5"/>
    <n v="76"/>
  </r>
  <r>
    <n v="254"/>
    <s v="2020-08-20"/>
    <n v="2020"/>
    <s v="Q3"/>
    <x v="7"/>
    <x v="1"/>
    <x v="4"/>
    <x v="243"/>
    <x v="3"/>
    <n v="23"/>
    <x v="107"/>
    <n v="80.88"/>
    <n v="25.05"/>
    <n v="5.81"/>
    <n v="3.17"/>
    <n v="139.22999999999999"/>
    <n v="307"/>
    <n v="4"/>
    <n v="219"/>
  </r>
  <r>
    <n v="255"/>
    <s v="2020-08-06"/>
    <n v="2020"/>
    <s v="Q3"/>
    <x v="7"/>
    <x v="5"/>
    <x v="0"/>
    <x v="244"/>
    <x v="3"/>
    <n v="14"/>
    <x v="196"/>
    <n v="79.47"/>
    <n v="7.47"/>
    <n v="2.5499999999999998"/>
    <n v="5.01"/>
    <n v="517.08000000000004"/>
    <n v="845"/>
    <n v="3"/>
    <n v="99"/>
  </r>
  <r>
    <n v="256"/>
    <s v="2020-08-08"/>
    <n v="2020"/>
    <s v="Q3"/>
    <x v="7"/>
    <x v="3"/>
    <x v="3"/>
    <x v="245"/>
    <x v="3"/>
    <n v="9"/>
    <x v="197"/>
    <n v="84.99"/>
    <n v="31.98"/>
    <n v="9.2100000000000009"/>
    <n v="1.29"/>
    <n v="390.21"/>
    <n v="368"/>
    <n v="4"/>
    <n v="144"/>
  </r>
  <r>
    <n v="257"/>
    <s v="2020-08-10"/>
    <n v="2020"/>
    <s v="Q3"/>
    <x v="7"/>
    <x v="6"/>
    <x v="1"/>
    <x v="246"/>
    <x v="4"/>
    <n v="20"/>
    <x v="198"/>
    <n v="93.88"/>
    <n v="34.1"/>
    <n v="12.04"/>
    <n v="6.22"/>
    <n v="259.44"/>
    <n v="226"/>
    <n v="1"/>
    <n v="107"/>
  </r>
  <r>
    <n v="258"/>
    <s v="2020-08-03"/>
    <n v="2020"/>
    <s v="Q3"/>
    <x v="7"/>
    <x v="7"/>
    <x v="2"/>
    <x v="247"/>
    <x v="4"/>
    <n v="50"/>
    <x v="199"/>
    <n v="88.9"/>
    <n v="33.39"/>
    <n v="20.76"/>
    <n v="9.81"/>
    <n v="593.52"/>
    <n v="179"/>
    <n v="3"/>
    <n v="102"/>
  </r>
  <r>
    <n v="259"/>
    <s v="2020-08-16"/>
    <n v="2020"/>
    <s v="Q3"/>
    <x v="7"/>
    <x v="1"/>
    <x v="1"/>
    <x v="248"/>
    <x v="0"/>
    <n v="5"/>
    <x v="116"/>
    <n v="82.36"/>
    <n v="9.56"/>
    <n v="21.71"/>
    <n v="14.14"/>
    <n v="360.88"/>
    <n v="529"/>
    <n v="2"/>
    <n v="152"/>
  </r>
  <r>
    <n v="260"/>
    <s v="2020-08-26"/>
    <n v="2020"/>
    <s v="Q3"/>
    <x v="7"/>
    <x v="6"/>
    <x v="3"/>
    <x v="249"/>
    <x v="2"/>
    <n v="13"/>
    <x v="99"/>
    <n v="84.94"/>
    <n v="26.25"/>
    <n v="8.6999999999999993"/>
    <n v="9.1"/>
    <n v="159.02000000000001"/>
    <n v="453"/>
    <n v="4"/>
    <n v="116"/>
  </r>
  <r>
    <n v="261"/>
    <s v="2020-08-08"/>
    <n v="2020"/>
    <s v="Q3"/>
    <x v="7"/>
    <x v="7"/>
    <x v="3"/>
    <x v="250"/>
    <x v="0"/>
    <n v="20"/>
    <x v="69"/>
    <n v="93.25"/>
    <n v="22.2"/>
    <n v="17.09"/>
    <n v="8.0299999999999994"/>
    <n v="134.69999999999999"/>
    <n v="277"/>
    <n v="4"/>
    <n v="166"/>
  </r>
  <r>
    <n v="262"/>
    <s v="2020-08-26"/>
    <n v="2020"/>
    <s v="Q3"/>
    <x v="7"/>
    <x v="6"/>
    <x v="0"/>
    <x v="251"/>
    <x v="3"/>
    <n v="41"/>
    <x v="200"/>
    <n v="82.4"/>
    <n v="11.28"/>
    <n v="11.48"/>
    <n v="2.1"/>
    <n v="223.34"/>
    <n v="1008"/>
    <n v="4"/>
    <n v="116"/>
  </r>
  <r>
    <n v="263"/>
    <s v="2020-08-02"/>
    <n v="2020"/>
    <s v="Q3"/>
    <x v="7"/>
    <x v="0"/>
    <x v="2"/>
    <x v="252"/>
    <x v="3"/>
    <n v="38"/>
    <x v="201"/>
    <n v="76.16"/>
    <n v="28.88"/>
    <n v="17.14"/>
    <n v="7.66"/>
    <n v="556.95000000000005"/>
    <n v="209"/>
    <n v="3"/>
    <n v="98"/>
  </r>
  <r>
    <n v="264"/>
    <s v="2020-08-07"/>
    <n v="2020"/>
    <s v="Q3"/>
    <x v="7"/>
    <x v="4"/>
    <x v="0"/>
    <x v="253"/>
    <x v="4"/>
    <n v="10"/>
    <x v="202"/>
    <n v="89.56"/>
    <n v="11.31"/>
    <n v="11.03"/>
    <n v="15.58"/>
    <n v="346.04"/>
    <n v="867"/>
    <n v="5"/>
    <n v="141"/>
  </r>
  <r>
    <n v="265"/>
    <s v="2020-08-17"/>
    <n v="2020"/>
    <s v="Q3"/>
    <x v="7"/>
    <x v="5"/>
    <x v="3"/>
    <x v="14"/>
    <x v="2"/>
    <n v="1"/>
    <x v="203"/>
    <n v="90.72"/>
    <n v="9.32"/>
    <n v="12.39"/>
    <n v="14.14"/>
    <n v="472.01"/>
    <n v="885"/>
    <n v="1"/>
    <n v="160"/>
  </r>
  <r>
    <n v="266"/>
    <s v="2020-08-23"/>
    <n v="2020"/>
    <s v="Q3"/>
    <x v="7"/>
    <x v="2"/>
    <x v="0"/>
    <x v="254"/>
    <x v="2"/>
    <n v="38"/>
    <x v="204"/>
    <n v="77.849999999999994"/>
    <n v="6.8"/>
    <n v="13.94"/>
    <n v="10.95"/>
    <n v="190.68"/>
    <n v="618"/>
    <n v="4"/>
    <n v="130"/>
  </r>
  <r>
    <n v="267"/>
    <s v="2020-08-17"/>
    <n v="2020"/>
    <s v="Q3"/>
    <x v="7"/>
    <x v="0"/>
    <x v="0"/>
    <x v="255"/>
    <x v="4"/>
    <n v="5"/>
    <x v="205"/>
    <n v="85.24"/>
    <n v="14.93"/>
    <n v="18.260000000000002"/>
    <n v="7.17"/>
    <n v="594.63"/>
    <n v="698"/>
    <n v="2"/>
    <n v="156"/>
  </r>
  <r>
    <n v="268"/>
    <s v="2020-08-06"/>
    <n v="2020"/>
    <s v="Q3"/>
    <x v="7"/>
    <x v="0"/>
    <x v="4"/>
    <x v="256"/>
    <x v="3"/>
    <n v="8"/>
    <x v="206"/>
    <n v="86.67"/>
    <n v="21.28"/>
    <n v="20.6"/>
    <n v="10.93"/>
    <n v="381.23"/>
    <n v="843"/>
    <n v="2"/>
    <n v="177"/>
  </r>
  <r>
    <n v="269"/>
    <s v="2020-07-31"/>
    <n v="2020"/>
    <s v="Q3"/>
    <x v="7"/>
    <x v="1"/>
    <x v="1"/>
    <x v="67"/>
    <x v="0"/>
    <n v="49"/>
    <x v="207"/>
    <n v="94.94"/>
    <n v="22.07"/>
    <n v="3.31"/>
    <n v="7.68"/>
    <n v="281.81"/>
    <n v="503"/>
    <n v="1"/>
    <n v="120"/>
  </r>
  <r>
    <n v="270"/>
    <s v="2020-07-31"/>
    <n v="2020"/>
    <s v="Q3"/>
    <x v="7"/>
    <x v="2"/>
    <x v="2"/>
    <x v="257"/>
    <x v="1"/>
    <n v="13"/>
    <x v="208"/>
    <n v="79.760000000000005"/>
    <n v="19.739999999999998"/>
    <n v="5.66"/>
    <n v="6.44"/>
    <n v="273.58999999999997"/>
    <n v="138"/>
    <n v="3"/>
    <n v="165"/>
  </r>
  <r>
    <n v="271"/>
    <s v="2020-08-14"/>
    <n v="2020"/>
    <s v="Q3"/>
    <x v="7"/>
    <x v="2"/>
    <x v="1"/>
    <x v="258"/>
    <x v="1"/>
    <n v="43"/>
    <x v="191"/>
    <n v="92.03"/>
    <n v="24.96"/>
    <n v="20.6"/>
    <n v="14.14"/>
    <n v="147.72"/>
    <n v="781"/>
    <n v="5"/>
    <n v="245"/>
  </r>
  <r>
    <n v="272"/>
    <s v="2020-08-10"/>
    <n v="2020"/>
    <s v="Q3"/>
    <x v="7"/>
    <x v="3"/>
    <x v="0"/>
    <x v="259"/>
    <x v="4"/>
    <n v="41"/>
    <x v="22"/>
    <n v="79.430000000000007"/>
    <n v="21.25"/>
    <n v="9.9"/>
    <n v="1.56"/>
    <n v="188.39"/>
    <n v="873"/>
    <n v="3"/>
    <n v="180"/>
  </r>
  <r>
    <n v="273"/>
    <s v="2020-09-10"/>
    <n v="2020"/>
    <s v="Q3"/>
    <x v="8"/>
    <x v="3"/>
    <x v="1"/>
    <x v="260"/>
    <x v="1"/>
    <n v="5"/>
    <x v="209"/>
    <n v="87.69"/>
    <n v="11.99"/>
    <n v="14.8"/>
    <n v="8.7200000000000006"/>
    <n v="583.09"/>
    <n v="902"/>
    <n v="2"/>
    <n v="142"/>
  </r>
  <r>
    <n v="274"/>
    <s v="2020-09-27"/>
    <n v="2020"/>
    <s v="Q3"/>
    <x v="8"/>
    <x v="5"/>
    <x v="2"/>
    <x v="261"/>
    <x v="3"/>
    <n v="14"/>
    <x v="209"/>
    <n v="81.75"/>
    <n v="24.5"/>
    <n v="17.8"/>
    <n v="9.9600000000000009"/>
    <n v="558.73"/>
    <n v="510"/>
    <n v="2"/>
    <n v="235"/>
  </r>
  <r>
    <n v="275"/>
    <s v="2020-09-14"/>
    <n v="2020"/>
    <s v="Q3"/>
    <x v="8"/>
    <x v="2"/>
    <x v="4"/>
    <x v="262"/>
    <x v="4"/>
    <n v="38"/>
    <x v="132"/>
    <n v="84.18"/>
    <n v="19.43"/>
    <n v="16.920000000000002"/>
    <n v="11.83"/>
    <n v="399.09"/>
    <n v="815"/>
    <n v="4"/>
    <n v="113"/>
  </r>
  <r>
    <n v="276"/>
    <s v="2020-09-25"/>
    <n v="2020"/>
    <s v="Q3"/>
    <x v="8"/>
    <x v="6"/>
    <x v="3"/>
    <x v="263"/>
    <x v="1"/>
    <n v="39"/>
    <x v="150"/>
    <n v="90.27"/>
    <n v="31.09"/>
    <n v="15.54"/>
    <n v="12.76"/>
    <n v="250.61"/>
    <n v="939"/>
    <n v="2"/>
    <n v="94"/>
  </r>
  <r>
    <n v="277"/>
    <s v="2020-09-15"/>
    <n v="2020"/>
    <s v="Q3"/>
    <x v="8"/>
    <x v="4"/>
    <x v="3"/>
    <x v="264"/>
    <x v="2"/>
    <n v="13"/>
    <x v="48"/>
    <n v="76.31"/>
    <n v="19.399999999999999"/>
    <n v="2.96"/>
    <n v="15.05"/>
    <n v="344.29"/>
    <n v="695"/>
    <n v="1"/>
    <n v="57"/>
  </r>
  <r>
    <n v="278"/>
    <s v="2020-09-24"/>
    <n v="2020"/>
    <s v="Q3"/>
    <x v="8"/>
    <x v="6"/>
    <x v="0"/>
    <x v="265"/>
    <x v="4"/>
    <n v="23"/>
    <x v="210"/>
    <n v="79.400000000000006"/>
    <n v="7.27"/>
    <n v="20.99"/>
    <n v="12.81"/>
    <n v="245.62"/>
    <n v="1037"/>
    <n v="1"/>
    <n v="154"/>
  </r>
  <r>
    <n v="279"/>
    <s v="2020-09-03"/>
    <n v="2020"/>
    <s v="Q3"/>
    <x v="8"/>
    <x v="7"/>
    <x v="4"/>
    <x v="266"/>
    <x v="1"/>
    <n v="45"/>
    <x v="211"/>
    <n v="76.2"/>
    <n v="33.26"/>
    <n v="6.28"/>
    <n v="9.7200000000000006"/>
    <n v="488.49"/>
    <n v="1006"/>
    <n v="4"/>
    <n v="133"/>
  </r>
  <r>
    <n v="280"/>
    <s v="2020-09-06"/>
    <n v="2020"/>
    <s v="Q3"/>
    <x v="8"/>
    <x v="7"/>
    <x v="1"/>
    <x v="198"/>
    <x v="3"/>
    <n v="40"/>
    <x v="212"/>
    <n v="91.15"/>
    <n v="34.15"/>
    <n v="15.23"/>
    <n v="13.23"/>
    <n v="260.76"/>
    <n v="490"/>
    <n v="1"/>
    <n v="179"/>
  </r>
  <r>
    <n v="281"/>
    <s v="2020-09-10"/>
    <n v="2020"/>
    <s v="Q3"/>
    <x v="8"/>
    <x v="7"/>
    <x v="2"/>
    <x v="267"/>
    <x v="2"/>
    <n v="46"/>
    <x v="213"/>
    <n v="90.68"/>
    <n v="24.11"/>
    <n v="11.98"/>
    <n v="10.65"/>
    <n v="265.02"/>
    <n v="354"/>
    <n v="3"/>
    <n v="52"/>
  </r>
  <r>
    <n v="282"/>
    <s v="2020-09-20"/>
    <n v="2020"/>
    <s v="Q3"/>
    <x v="8"/>
    <x v="4"/>
    <x v="1"/>
    <x v="268"/>
    <x v="0"/>
    <n v="42"/>
    <x v="214"/>
    <n v="83.49"/>
    <n v="9.52"/>
    <n v="3.01"/>
    <n v="8.24"/>
    <n v="221.19"/>
    <n v="353"/>
    <n v="2"/>
    <n v="194"/>
  </r>
  <r>
    <n v="283"/>
    <s v="2020-09-22"/>
    <n v="2020"/>
    <s v="Q3"/>
    <x v="8"/>
    <x v="1"/>
    <x v="1"/>
    <x v="269"/>
    <x v="0"/>
    <n v="14"/>
    <x v="102"/>
    <n v="76.569999999999993"/>
    <n v="24.67"/>
    <n v="20.28"/>
    <n v="15.61"/>
    <n v="523.54999999999995"/>
    <n v="341"/>
    <n v="3"/>
    <n v="141"/>
  </r>
  <r>
    <n v="284"/>
    <s v="2020-09-05"/>
    <n v="2020"/>
    <s v="Q3"/>
    <x v="8"/>
    <x v="0"/>
    <x v="4"/>
    <x v="270"/>
    <x v="1"/>
    <n v="22"/>
    <x v="72"/>
    <n v="82.05"/>
    <n v="16.600000000000001"/>
    <n v="13.82"/>
    <n v="10.64"/>
    <n v="533.42999999999995"/>
    <n v="675"/>
    <n v="5"/>
    <n v="124"/>
  </r>
  <r>
    <n v="285"/>
    <s v="2020-09-06"/>
    <n v="2020"/>
    <s v="Q3"/>
    <x v="8"/>
    <x v="4"/>
    <x v="3"/>
    <x v="271"/>
    <x v="3"/>
    <n v="32"/>
    <x v="39"/>
    <n v="84.67"/>
    <n v="28.69"/>
    <n v="15.48"/>
    <n v="6.38"/>
    <n v="558.80999999999995"/>
    <n v="267"/>
    <n v="2"/>
    <n v="159"/>
  </r>
  <r>
    <n v="286"/>
    <s v="2020-09-15"/>
    <n v="2020"/>
    <s v="Q3"/>
    <x v="8"/>
    <x v="2"/>
    <x v="2"/>
    <x v="272"/>
    <x v="0"/>
    <n v="22"/>
    <x v="215"/>
    <n v="90.15"/>
    <n v="32.659999999999997"/>
    <n v="18.260000000000002"/>
    <n v="15.67"/>
    <n v="306.89999999999998"/>
    <n v="185"/>
    <n v="4"/>
    <n v="245"/>
  </r>
  <r>
    <n v="287"/>
    <s v="2020-09-15"/>
    <n v="2020"/>
    <s v="Q3"/>
    <x v="8"/>
    <x v="4"/>
    <x v="4"/>
    <x v="273"/>
    <x v="1"/>
    <n v="25"/>
    <x v="114"/>
    <n v="81.42"/>
    <n v="28.19"/>
    <n v="9.3699999999999992"/>
    <n v="6.55"/>
    <n v="145.65"/>
    <n v="467"/>
    <n v="2"/>
    <n v="165"/>
  </r>
  <r>
    <n v="288"/>
    <s v="2020-09-08"/>
    <n v="2020"/>
    <s v="Q3"/>
    <x v="8"/>
    <x v="1"/>
    <x v="4"/>
    <x v="274"/>
    <x v="3"/>
    <n v="40"/>
    <x v="216"/>
    <n v="87.24"/>
    <n v="34.71"/>
    <n v="8.6199999999999992"/>
    <n v="15.14"/>
    <n v="445.73"/>
    <n v="551"/>
    <n v="1"/>
    <n v="137"/>
  </r>
  <r>
    <n v="289"/>
    <s v="2020-09-02"/>
    <n v="2020"/>
    <s v="Q3"/>
    <x v="8"/>
    <x v="3"/>
    <x v="1"/>
    <x v="219"/>
    <x v="0"/>
    <n v="13"/>
    <x v="217"/>
    <n v="94.59"/>
    <n v="25"/>
    <n v="18.309999999999999"/>
    <n v="7.56"/>
    <n v="225.06"/>
    <n v="279"/>
    <n v="4"/>
    <n v="194"/>
  </r>
  <r>
    <n v="290"/>
    <s v="2020-09-27"/>
    <n v="2020"/>
    <s v="Q3"/>
    <x v="8"/>
    <x v="2"/>
    <x v="4"/>
    <x v="275"/>
    <x v="1"/>
    <n v="26"/>
    <x v="140"/>
    <n v="78.37"/>
    <n v="30.1"/>
    <n v="9.4600000000000009"/>
    <n v="3.91"/>
    <n v="287.73"/>
    <n v="471"/>
    <n v="1"/>
    <n v="177"/>
  </r>
  <r>
    <n v="291"/>
    <s v="2020-09-21"/>
    <n v="2020"/>
    <s v="Q3"/>
    <x v="8"/>
    <x v="1"/>
    <x v="1"/>
    <x v="276"/>
    <x v="0"/>
    <n v="48"/>
    <x v="218"/>
    <n v="91.56"/>
    <n v="9.49"/>
    <n v="9.02"/>
    <n v="5.89"/>
    <n v="580.78"/>
    <n v="168"/>
    <n v="2"/>
    <n v="114"/>
  </r>
  <r>
    <n v="292"/>
    <s v="2020-09-26"/>
    <n v="2020"/>
    <s v="Q3"/>
    <x v="8"/>
    <x v="5"/>
    <x v="3"/>
    <x v="277"/>
    <x v="2"/>
    <n v="43"/>
    <x v="105"/>
    <n v="81.5"/>
    <n v="28.09"/>
    <n v="7.95"/>
    <n v="9.32"/>
    <n v="494.52"/>
    <n v="731"/>
    <n v="3"/>
    <n v="197"/>
  </r>
  <r>
    <n v="293"/>
    <s v="2020-09-06"/>
    <n v="2020"/>
    <s v="Q3"/>
    <x v="8"/>
    <x v="0"/>
    <x v="3"/>
    <x v="278"/>
    <x v="3"/>
    <n v="6"/>
    <x v="82"/>
    <n v="82.89"/>
    <n v="8.57"/>
    <n v="4.62"/>
    <n v="2.37"/>
    <n v="334.4"/>
    <n v="199"/>
    <n v="1"/>
    <n v="215"/>
  </r>
  <r>
    <n v="294"/>
    <s v="2020-09-03"/>
    <n v="2020"/>
    <s v="Q3"/>
    <x v="8"/>
    <x v="4"/>
    <x v="1"/>
    <x v="279"/>
    <x v="1"/>
    <n v="17"/>
    <x v="158"/>
    <n v="83.2"/>
    <n v="16.420000000000002"/>
    <n v="8.35"/>
    <n v="13.69"/>
    <n v="147.01"/>
    <n v="909"/>
    <n v="1"/>
    <n v="188"/>
  </r>
  <r>
    <n v="295"/>
    <s v="2020-09-20"/>
    <n v="2020"/>
    <s v="Q3"/>
    <x v="8"/>
    <x v="1"/>
    <x v="4"/>
    <x v="280"/>
    <x v="1"/>
    <n v="35"/>
    <x v="219"/>
    <n v="82.45"/>
    <n v="20.67"/>
    <n v="5.51"/>
    <n v="8.3800000000000008"/>
    <n v="499.04"/>
    <n v="585"/>
    <n v="5"/>
    <n v="142"/>
  </r>
  <r>
    <n v="296"/>
    <s v="2020-09-22"/>
    <n v="2020"/>
    <s v="Q3"/>
    <x v="8"/>
    <x v="0"/>
    <x v="2"/>
    <x v="281"/>
    <x v="4"/>
    <n v="6"/>
    <x v="181"/>
    <n v="80.77"/>
    <n v="17.100000000000001"/>
    <n v="8.57"/>
    <n v="2.91"/>
    <n v="182.02"/>
    <n v="312"/>
    <n v="3"/>
    <n v="156"/>
  </r>
  <r>
    <n v="297"/>
    <s v="2020-09-19"/>
    <n v="2020"/>
    <s v="Q3"/>
    <x v="8"/>
    <x v="5"/>
    <x v="0"/>
    <x v="282"/>
    <x v="1"/>
    <n v="32"/>
    <x v="220"/>
    <n v="88.23"/>
    <n v="34.020000000000003"/>
    <n v="3.02"/>
    <n v="5.7"/>
    <n v="244.5"/>
    <n v="687"/>
    <n v="1"/>
    <n v="233"/>
  </r>
  <r>
    <n v="298"/>
    <s v="2020-09-07"/>
    <n v="2020"/>
    <s v="Q3"/>
    <x v="8"/>
    <x v="4"/>
    <x v="0"/>
    <x v="283"/>
    <x v="3"/>
    <n v="7"/>
    <x v="136"/>
    <n v="93.58"/>
    <n v="23.18"/>
    <n v="12.47"/>
    <n v="6.71"/>
    <n v="534.78"/>
    <n v="459"/>
    <n v="2"/>
    <n v="113"/>
  </r>
  <r>
    <n v="299"/>
    <s v="2020-09-09"/>
    <n v="2020"/>
    <s v="Q3"/>
    <x v="8"/>
    <x v="7"/>
    <x v="2"/>
    <x v="284"/>
    <x v="2"/>
    <n v="41"/>
    <x v="88"/>
    <n v="89.97"/>
    <n v="16.32"/>
    <n v="21.21"/>
    <n v="1.43"/>
    <n v="590.25"/>
    <n v="318"/>
    <n v="2"/>
    <n v="167"/>
  </r>
  <r>
    <n v="300"/>
    <s v="2020-09-25"/>
    <n v="2020"/>
    <s v="Q3"/>
    <x v="8"/>
    <x v="6"/>
    <x v="2"/>
    <x v="285"/>
    <x v="2"/>
    <n v="19"/>
    <x v="221"/>
    <n v="86.23"/>
    <n v="34.83"/>
    <n v="15.81"/>
    <n v="2.25"/>
    <n v="386.47"/>
    <n v="454"/>
    <n v="5"/>
    <n v="172"/>
  </r>
  <r>
    <n v="301"/>
    <s v="2020-09-20"/>
    <n v="2020"/>
    <s v="Q3"/>
    <x v="8"/>
    <x v="6"/>
    <x v="2"/>
    <x v="286"/>
    <x v="0"/>
    <n v="26"/>
    <x v="222"/>
    <n v="86.8"/>
    <n v="33.799999999999997"/>
    <n v="19.260000000000002"/>
    <n v="5.63"/>
    <n v="205.19"/>
    <n v="693"/>
    <n v="5"/>
    <n v="86"/>
  </r>
  <r>
    <n v="302"/>
    <s v="2020-09-03"/>
    <n v="2020"/>
    <s v="Q3"/>
    <x v="8"/>
    <x v="1"/>
    <x v="1"/>
    <x v="287"/>
    <x v="1"/>
    <n v="22"/>
    <x v="223"/>
    <n v="91.97"/>
    <n v="9.19"/>
    <n v="12.78"/>
    <n v="7.84"/>
    <n v="404.51"/>
    <n v="203"/>
    <n v="5"/>
    <n v="138"/>
  </r>
  <r>
    <n v="303"/>
    <s v="2020-09-17"/>
    <n v="2020"/>
    <s v="Q3"/>
    <x v="8"/>
    <x v="1"/>
    <x v="4"/>
    <x v="288"/>
    <x v="3"/>
    <n v="19"/>
    <x v="43"/>
    <n v="93.52"/>
    <n v="17.420000000000002"/>
    <n v="15.85"/>
    <n v="5.6"/>
    <n v="416.83"/>
    <n v="520"/>
    <n v="5"/>
    <n v="88"/>
  </r>
  <r>
    <n v="304"/>
    <s v="2020-09-22"/>
    <n v="2020"/>
    <s v="Q3"/>
    <x v="8"/>
    <x v="3"/>
    <x v="2"/>
    <x v="289"/>
    <x v="2"/>
    <n v="6"/>
    <x v="187"/>
    <n v="88.74"/>
    <n v="20.45"/>
    <n v="19.48"/>
    <n v="9.0399999999999991"/>
    <n v="305.05"/>
    <n v="572"/>
    <n v="3"/>
    <n v="188"/>
  </r>
  <r>
    <n v="305"/>
    <s v="2020-09-10"/>
    <n v="2020"/>
    <s v="Q3"/>
    <x v="8"/>
    <x v="6"/>
    <x v="3"/>
    <x v="290"/>
    <x v="4"/>
    <n v="7"/>
    <x v="224"/>
    <n v="91.97"/>
    <n v="30.35"/>
    <n v="9.6"/>
    <n v="15.97"/>
    <n v="225.16"/>
    <n v="632"/>
    <n v="4"/>
    <n v="239"/>
  </r>
  <r>
    <n v="306"/>
    <s v="2020-09-17"/>
    <n v="2020"/>
    <s v="Q3"/>
    <x v="8"/>
    <x v="3"/>
    <x v="0"/>
    <x v="291"/>
    <x v="2"/>
    <n v="24"/>
    <x v="0"/>
    <n v="93.24"/>
    <n v="20.38"/>
    <n v="18.12"/>
    <n v="15.59"/>
    <n v="119.38"/>
    <n v="963"/>
    <n v="2"/>
    <n v="98"/>
  </r>
  <r>
    <n v="307"/>
    <s v="2020-10-26"/>
    <n v="2020"/>
    <s v="Q4"/>
    <x v="9"/>
    <x v="4"/>
    <x v="1"/>
    <x v="292"/>
    <x v="1"/>
    <n v="2"/>
    <x v="47"/>
    <n v="76.27"/>
    <n v="18.88"/>
    <n v="2.7"/>
    <n v="12.83"/>
    <n v="344.49"/>
    <n v="715"/>
    <n v="3"/>
    <n v="193"/>
  </r>
  <r>
    <n v="308"/>
    <s v="2020-10-07"/>
    <n v="2020"/>
    <s v="Q4"/>
    <x v="9"/>
    <x v="2"/>
    <x v="1"/>
    <x v="293"/>
    <x v="3"/>
    <n v="11"/>
    <x v="5"/>
    <n v="87.69"/>
    <n v="18.829999999999998"/>
    <n v="6.64"/>
    <n v="7.46"/>
    <n v="154.91"/>
    <n v="824"/>
    <n v="5"/>
    <n v="111"/>
  </r>
  <r>
    <n v="309"/>
    <s v="2020-10-21"/>
    <n v="2020"/>
    <s v="Q4"/>
    <x v="9"/>
    <x v="0"/>
    <x v="0"/>
    <x v="294"/>
    <x v="3"/>
    <n v="21"/>
    <x v="150"/>
    <n v="75.86"/>
    <n v="28.94"/>
    <n v="5.6"/>
    <n v="10.1"/>
    <n v="406.94"/>
    <n v="622"/>
    <n v="4"/>
    <n v="232"/>
  </r>
  <r>
    <n v="310"/>
    <s v="2020-10-19"/>
    <n v="2020"/>
    <s v="Q4"/>
    <x v="9"/>
    <x v="0"/>
    <x v="1"/>
    <x v="295"/>
    <x v="2"/>
    <n v="25"/>
    <x v="225"/>
    <n v="84.21"/>
    <n v="25.47"/>
    <n v="14.78"/>
    <n v="13.11"/>
    <n v="399.83"/>
    <n v="703"/>
    <n v="4"/>
    <n v="114"/>
  </r>
  <r>
    <n v="311"/>
    <s v="2020-10-25"/>
    <n v="2020"/>
    <s v="Q4"/>
    <x v="9"/>
    <x v="2"/>
    <x v="1"/>
    <x v="296"/>
    <x v="2"/>
    <n v="24"/>
    <x v="226"/>
    <n v="81.180000000000007"/>
    <n v="28.98"/>
    <n v="20.14"/>
    <n v="2.98"/>
    <n v="476.51"/>
    <n v="998"/>
    <n v="3"/>
    <n v="87"/>
  </r>
  <r>
    <n v="312"/>
    <s v="2020-10-22"/>
    <n v="2020"/>
    <s v="Q4"/>
    <x v="9"/>
    <x v="0"/>
    <x v="1"/>
    <x v="297"/>
    <x v="4"/>
    <n v="40"/>
    <x v="149"/>
    <n v="81.99"/>
    <n v="10.81"/>
    <n v="2.98"/>
    <n v="5.43"/>
    <n v="408.18"/>
    <n v="1038"/>
    <n v="2"/>
    <n v="156"/>
  </r>
  <r>
    <n v="313"/>
    <s v="2020-10-25"/>
    <n v="2020"/>
    <s v="Q4"/>
    <x v="9"/>
    <x v="3"/>
    <x v="1"/>
    <x v="298"/>
    <x v="4"/>
    <n v="41"/>
    <x v="227"/>
    <n v="94.38"/>
    <n v="26.8"/>
    <n v="5.56"/>
    <n v="6.88"/>
    <n v="443.79"/>
    <n v="1048"/>
    <n v="4"/>
    <n v="235"/>
  </r>
  <r>
    <n v="314"/>
    <s v="2020-10-07"/>
    <n v="2020"/>
    <s v="Q4"/>
    <x v="9"/>
    <x v="4"/>
    <x v="2"/>
    <x v="299"/>
    <x v="1"/>
    <n v="44"/>
    <x v="228"/>
    <n v="90.56"/>
    <n v="24.9"/>
    <n v="20.100000000000001"/>
    <n v="10.5"/>
    <n v="536.66999999999996"/>
    <n v="333"/>
    <n v="3"/>
    <n v="98"/>
  </r>
  <r>
    <n v="315"/>
    <s v="2020-10-09"/>
    <n v="2020"/>
    <s v="Q4"/>
    <x v="9"/>
    <x v="4"/>
    <x v="1"/>
    <x v="300"/>
    <x v="0"/>
    <n v="17"/>
    <x v="184"/>
    <n v="80.67"/>
    <n v="14.23"/>
    <n v="21.61"/>
    <n v="4.21"/>
    <n v="182.23"/>
    <n v="726"/>
    <n v="3"/>
    <n v="88"/>
  </r>
  <r>
    <n v="316"/>
    <s v="2020-10-10"/>
    <n v="2020"/>
    <s v="Q4"/>
    <x v="9"/>
    <x v="0"/>
    <x v="2"/>
    <x v="301"/>
    <x v="2"/>
    <n v="2"/>
    <x v="229"/>
    <n v="84.76"/>
    <n v="34.119999999999997"/>
    <n v="7.34"/>
    <n v="7.5"/>
    <n v="215.56"/>
    <n v="388"/>
    <n v="4"/>
    <n v="202"/>
  </r>
  <r>
    <n v="317"/>
    <s v="2020-10-10"/>
    <n v="2020"/>
    <s v="Q4"/>
    <x v="9"/>
    <x v="3"/>
    <x v="4"/>
    <x v="302"/>
    <x v="1"/>
    <n v="35"/>
    <x v="32"/>
    <n v="90.85"/>
    <n v="31.33"/>
    <n v="7.46"/>
    <n v="13.15"/>
    <n v="448.65"/>
    <n v="110"/>
    <n v="5"/>
    <n v="181"/>
  </r>
  <r>
    <n v="318"/>
    <s v="2020-10-01"/>
    <n v="2020"/>
    <s v="Q4"/>
    <x v="9"/>
    <x v="7"/>
    <x v="3"/>
    <x v="303"/>
    <x v="3"/>
    <n v="20"/>
    <x v="230"/>
    <n v="81.78"/>
    <n v="15.88"/>
    <n v="15.45"/>
    <n v="3.62"/>
    <n v="295.01"/>
    <n v="551"/>
    <n v="2"/>
    <n v="81"/>
  </r>
  <r>
    <n v="319"/>
    <s v="2020-09-30"/>
    <n v="2020"/>
    <s v="Q4"/>
    <x v="9"/>
    <x v="3"/>
    <x v="3"/>
    <x v="304"/>
    <x v="2"/>
    <n v="38"/>
    <x v="182"/>
    <n v="78.209999999999994"/>
    <n v="22.87"/>
    <n v="7.52"/>
    <n v="15.99"/>
    <n v="213.34"/>
    <n v="973"/>
    <n v="5"/>
    <n v="185"/>
  </r>
  <r>
    <n v="320"/>
    <s v="2020-10-04"/>
    <n v="2020"/>
    <s v="Q4"/>
    <x v="9"/>
    <x v="4"/>
    <x v="1"/>
    <x v="305"/>
    <x v="3"/>
    <n v="25"/>
    <x v="231"/>
    <n v="92.03"/>
    <n v="12.28"/>
    <n v="6.72"/>
    <n v="12.38"/>
    <n v="169.92"/>
    <n v="554"/>
    <n v="2"/>
    <n v="64"/>
  </r>
  <r>
    <n v="321"/>
    <s v="2020-10-15"/>
    <n v="2020"/>
    <s v="Q4"/>
    <x v="9"/>
    <x v="5"/>
    <x v="2"/>
    <x v="306"/>
    <x v="4"/>
    <n v="27"/>
    <x v="232"/>
    <n v="84.75"/>
    <n v="21.13"/>
    <n v="21.88"/>
    <n v="7.93"/>
    <n v="251.68"/>
    <n v="292"/>
    <n v="2"/>
    <n v="191"/>
  </r>
  <r>
    <n v="322"/>
    <s v="2020-10-16"/>
    <n v="2020"/>
    <s v="Q4"/>
    <x v="9"/>
    <x v="4"/>
    <x v="4"/>
    <x v="307"/>
    <x v="3"/>
    <n v="8"/>
    <x v="162"/>
    <n v="87.27"/>
    <n v="14.64"/>
    <n v="12.8"/>
    <n v="4.0199999999999996"/>
    <n v="431.1"/>
    <n v="966"/>
    <n v="5"/>
    <n v="54"/>
  </r>
  <r>
    <n v="323"/>
    <s v="2020-10-04"/>
    <n v="2020"/>
    <s v="Q4"/>
    <x v="9"/>
    <x v="4"/>
    <x v="1"/>
    <x v="308"/>
    <x v="3"/>
    <n v="38"/>
    <x v="233"/>
    <n v="82.7"/>
    <n v="23.28"/>
    <n v="15.89"/>
    <n v="7.52"/>
    <n v="345.47"/>
    <n v="907"/>
    <n v="1"/>
    <n v="215"/>
  </r>
  <r>
    <n v="324"/>
    <s v="2020-10-03"/>
    <n v="2020"/>
    <s v="Q4"/>
    <x v="9"/>
    <x v="7"/>
    <x v="1"/>
    <x v="309"/>
    <x v="1"/>
    <n v="26"/>
    <x v="234"/>
    <n v="87.97"/>
    <n v="18.57"/>
    <n v="8.49"/>
    <n v="10.72"/>
    <n v="452.84"/>
    <n v="834"/>
    <n v="4"/>
    <n v="99"/>
  </r>
  <r>
    <n v="325"/>
    <s v="2020-10-27"/>
    <n v="2020"/>
    <s v="Q4"/>
    <x v="9"/>
    <x v="3"/>
    <x v="1"/>
    <x v="310"/>
    <x v="0"/>
    <n v="24"/>
    <x v="235"/>
    <n v="89.45"/>
    <n v="17.149999999999999"/>
    <n v="8.43"/>
    <n v="7.58"/>
    <n v="480.97"/>
    <n v="410"/>
    <n v="1"/>
    <n v="115"/>
  </r>
  <r>
    <n v="326"/>
    <s v="2020-10-14"/>
    <n v="2020"/>
    <s v="Q4"/>
    <x v="9"/>
    <x v="2"/>
    <x v="0"/>
    <x v="311"/>
    <x v="4"/>
    <n v="42"/>
    <x v="236"/>
    <n v="87.82"/>
    <n v="7.1"/>
    <n v="9.58"/>
    <n v="12.32"/>
    <n v="288.66000000000003"/>
    <n v="358"/>
    <n v="2"/>
    <n v="126"/>
  </r>
  <r>
    <n v="327"/>
    <s v="2020-10-20"/>
    <n v="2020"/>
    <s v="Q4"/>
    <x v="9"/>
    <x v="0"/>
    <x v="4"/>
    <x v="312"/>
    <x v="0"/>
    <n v="23"/>
    <x v="172"/>
    <n v="90.68"/>
    <n v="24.45"/>
    <n v="3.56"/>
    <n v="15.66"/>
    <n v="291.2"/>
    <n v="1099"/>
    <n v="1"/>
    <n v="93"/>
  </r>
  <r>
    <n v="328"/>
    <s v="2020-10-11"/>
    <n v="2020"/>
    <s v="Q4"/>
    <x v="9"/>
    <x v="4"/>
    <x v="2"/>
    <x v="313"/>
    <x v="1"/>
    <n v="46"/>
    <x v="237"/>
    <n v="87.94"/>
    <n v="20.29"/>
    <n v="12.32"/>
    <n v="8.7200000000000006"/>
    <n v="599.07000000000005"/>
    <n v="304"/>
    <n v="4"/>
    <n v="65"/>
  </r>
  <r>
    <n v="329"/>
    <s v="2020-10-03"/>
    <n v="2020"/>
    <s v="Q4"/>
    <x v="9"/>
    <x v="6"/>
    <x v="1"/>
    <x v="314"/>
    <x v="0"/>
    <n v="34"/>
    <x v="238"/>
    <n v="86.18"/>
    <n v="6.73"/>
    <n v="16.21"/>
    <n v="8.15"/>
    <n v="297.42"/>
    <n v="796"/>
    <n v="1"/>
    <n v="206"/>
  </r>
  <r>
    <n v="330"/>
    <s v="2020-10-11"/>
    <n v="2020"/>
    <s v="Q4"/>
    <x v="9"/>
    <x v="7"/>
    <x v="4"/>
    <x v="315"/>
    <x v="0"/>
    <n v="40"/>
    <x v="239"/>
    <n v="85.02"/>
    <n v="18.989999999999998"/>
    <n v="15.31"/>
    <n v="11.11"/>
    <n v="108.38"/>
    <n v="797"/>
    <n v="4"/>
    <n v="153"/>
  </r>
  <r>
    <n v="331"/>
    <s v="2020-10-20"/>
    <n v="2020"/>
    <s v="Q4"/>
    <x v="9"/>
    <x v="3"/>
    <x v="3"/>
    <x v="316"/>
    <x v="1"/>
    <n v="9"/>
    <x v="152"/>
    <n v="87.36"/>
    <n v="28.39"/>
    <n v="8.31"/>
    <n v="11.83"/>
    <n v="532.01"/>
    <n v="500"/>
    <n v="1"/>
    <n v="207"/>
  </r>
  <r>
    <n v="332"/>
    <s v="2020-10-11"/>
    <n v="2020"/>
    <s v="Q4"/>
    <x v="9"/>
    <x v="3"/>
    <x v="2"/>
    <x v="317"/>
    <x v="4"/>
    <n v="40"/>
    <x v="32"/>
    <n v="82.8"/>
    <n v="6.88"/>
    <n v="8.01"/>
    <n v="5.58"/>
    <n v="527.9"/>
    <n v="578"/>
    <n v="3"/>
    <n v="158"/>
  </r>
  <r>
    <n v="333"/>
    <s v="2020-10-09"/>
    <n v="2020"/>
    <s v="Q4"/>
    <x v="9"/>
    <x v="2"/>
    <x v="4"/>
    <x v="318"/>
    <x v="1"/>
    <n v="37"/>
    <x v="219"/>
    <n v="80.33"/>
    <n v="30.01"/>
    <n v="15.39"/>
    <n v="12.53"/>
    <n v="500.97"/>
    <n v="733"/>
    <n v="5"/>
    <n v="50"/>
  </r>
  <r>
    <n v="334"/>
    <s v="2020-10-16"/>
    <n v="2020"/>
    <s v="Q4"/>
    <x v="9"/>
    <x v="5"/>
    <x v="0"/>
    <x v="319"/>
    <x v="2"/>
    <n v="16"/>
    <x v="240"/>
    <n v="76.510000000000005"/>
    <n v="34.75"/>
    <n v="12.8"/>
    <n v="2.73"/>
    <n v="293.63"/>
    <n v="657"/>
    <n v="2"/>
    <n v="79"/>
  </r>
  <r>
    <n v="335"/>
    <s v="2020-10-08"/>
    <n v="2020"/>
    <s v="Q4"/>
    <x v="9"/>
    <x v="4"/>
    <x v="2"/>
    <x v="320"/>
    <x v="2"/>
    <n v="9"/>
    <x v="241"/>
    <n v="86.55"/>
    <n v="33.299999999999997"/>
    <n v="13.7"/>
    <n v="2.1"/>
    <n v="389.56"/>
    <n v="146"/>
    <n v="4"/>
    <n v="130"/>
  </r>
  <r>
    <n v="336"/>
    <s v="2020-10-22"/>
    <n v="2020"/>
    <s v="Q4"/>
    <x v="9"/>
    <x v="1"/>
    <x v="3"/>
    <x v="321"/>
    <x v="4"/>
    <n v="9"/>
    <x v="188"/>
    <n v="75.11"/>
    <n v="29.73"/>
    <n v="18.12"/>
    <n v="7.86"/>
    <n v="127.29"/>
    <n v="680"/>
    <n v="4"/>
    <n v="222"/>
  </r>
  <r>
    <n v="337"/>
    <s v="2020-10-05"/>
    <n v="2020"/>
    <s v="Q4"/>
    <x v="9"/>
    <x v="0"/>
    <x v="1"/>
    <x v="322"/>
    <x v="2"/>
    <n v="6"/>
    <x v="79"/>
    <n v="79.61"/>
    <n v="16.21"/>
    <n v="21.33"/>
    <n v="1.03"/>
    <n v="265.13"/>
    <n v="698"/>
    <n v="2"/>
    <n v="229"/>
  </r>
  <r>
    <n v="338"/>
    <s v="2020-10-20"/>
    <n v="2020"/>
    <s v="Q4"/>
    <x v="9"/>
    <x v="4"/>
    <x v="4"/>
    <x v="323"/>
    <x v="1"/>
    <n v="35"/>
    <x v="189"/>
    <n v="86.27"/>
    <n v="28.48"/>
    <n v="19.809999999999999"/>
    <n v="3.31"/>
    <n v="240.4"/>
    <n v="822"/>
    <n v="3"/>
    <n v="176"/>
  </r>
  <r>
    <n v="339"/>
    <s v="2020-10-27"/>
    <n v="2020"/>
    <s v="Q4"/>
    <x v="9"/>
    <x v="2"/>
    <x v="1"/>
    <x v="324"/>
    <x v="3"/>
    <n v="38"/>
    <x v="11"/>
    <n v="81.7"/>
    <n v="25.25"/>
    <n v="17.54"/>
    <n v="12.73"/>
    <n v="392.59"/>
    <n v="163"/>
    <n v="3"/>
    <n v="116"/>
  </r>
  <r>
    <n v="340"/>
    <s v="2020-10-12"/>
    <n v="2020"/>
    <s v="Q4"/>
    <x v="9"/>
    <x v="7"/>
    <x v="4"/>
    <x v="325"/>
    <x v="2"/>
    <n v="36"/>
    <x v="242"/>
    <n v="90.41"/>
    <n v="21.36"/>
    <n v="13.96"/>
    <n v="6.78"/>
    <n v="216.08"/>
    <n v="308"/>
    <n v="1"/>
    <n v="68"/>
  </r>
  <r>
    <n v="341"/>
    <s v="2020-11-24"/>
    <n v="2020"/>
    <s v="Q4"/>
    <x v="10"/>
    <x v="7"/>
    <x v="2"/>
    <x v="326"/>
    <x v="4"/>
    <n v="18"/>
    <x v="243"/>
    <n v="76.84"/>
    <n v="6.28"/>
    <n v="6.08"/>
    <n v="1.76"/>
    <n v="184.69"/>
    <n v="858"/>
    <n v="4"/>
    <n v="124"/>
  </r>
  <r>
    <n v="342"/>
    <s v="2020-11-08"/>
    <n v="2020"/>
    <s v="Q4"/>
    <x v="10"/>
    <x v="6"/>
    <x v="3"/>
    <x v="327"/>
    <x v="3"/>
    <n v="27"/>
    <x v="244"/>
    <n v="80.180000000000007"/>
    <n v="18.02"/>
    <n v="3.29"/>
    <n v="14.09"/>
    <n v="275.33999999999997"/>
    <n v="779"/>
    <n v="1"/>
    <n v="140"/>
  </r>
  <r>
    <n v="343"/>
    <s v="2020-11-24"/>
    <n v="2020"/>
    <s v="Q4"/>
    <x v="10"/>
    <x v="0"/>
    <x v="3"/>
    <x v="328"/>
    <x v="0"/>
    <n v="14"/>
    <x v="245"/>
    <n v="89.17"/>
    <n v="29.31"/>
    <n v="12.39"/>
    <n v="11.18"/>
    <n v="270.11"/>
    <n v="953"/>
    <n v="1"/>
    <n v="194"/>
  </r>
  <r>
    <n v="344"/>
    <s v="2020-11-04"/>
    <n v="2020"/>
    <s v="Q4"/>
    <x v="10"/>
    <x v="7"/>
    <x v="0"/>
    <x v="329"/>
    <x v="4"/>
    <n v="45"/>
    <x v="91"/>
    <n v="83.05"/>
    <n v="9.24"/>
    <n v="18.100000000000001"/>
    <n v="8.1"/>
    <n v="390.2"/>
    <n v="1061"/>
    <n v="2"/>
    <n v="196"/>
  </r>
  <r>
    <n v="345"/>
    <s v="2020-11-10"/>
    <n v="2020"/>
    <s v="Q4"/>
    <x v="10"/>
    <x v="1"/>
    <x v="4"/>
    <x v="330"/>
    <x v="1"/>
    <n v="38"/>
    <x v="246"/>
    <n v="83.43"/>
    <n v="34.75"/>
    <n v="17.239999999999998"/>
    <n v="1.98"/>
    <n v="591.87"/>
    <n v="906"/>
    <n v="5"/>
    <n v="247"/>
  </r>
  <r>
    <n v="346"/>
    <s v="2020-11-13"/>
    <n v="2020"/>
    <s v="Q4"/>
    <x v="10"/>
    <x v="4"/>
    <x v="4"/>
    <x v="331"/>
    <x v="4"/>
    <n v="32"/>
    <x v="217"/>
    <n v="86.84"/>
    <n v="15.06"/>
    <n v="3.27"/>
    <n v="8.64"/>
    <n v="217.28"/>
    <n v="816"/>
    <n v="4"/>
    <n v="64"/>
  </r>
  <r>
    <n v="347"/>
    <s v="2020-10-31"/>
    <n v="2020"/>
    <s v="Q4"/>
    <x v="10"/>
    <x v="5"/>
    <x v="4"/>
    <x v="332"/>
    <x v="0"/>
    <n v="45"/>
    <x v="95"/>
    <n v="78.349999999999994"/>
    <n v="33.28"/>
    <n v="15.66"/>
    <n v="3.46"/>
    <n v="440.38"/>
    <n v="492"/>
    <n v="4"/>
    <n v="180"/>
  </r>
  <r>
    <n v="348"/>
    <s v="2020-11-24"/>
    <n v="2020"/>
    <s v="Q4"/>
    <x v="10"/>
    <x v="1"/>
    <x v="3"/>
    <x v="86"/>
    <x v="1"/>
    <n v="11"/>
    <x v="247"/>
    <n v="92.83"/>
    <n v="29.5"/>
    <n v="17.329999999999998"/>
    <n v="1.77"/>
    <n v="580.91"/>
    <n v="837"/>
    <n v="5"/>
    <n v="138"/>
  </r>
  <r>
    <n v="349"/>
    <s v="2020-11-04"/>
    <n v="2020"/>
    <s v="Q4"/>
    <x v="10"/>
    <x v="3"/>
    <x v="2"/>
    <x v="333"/>
    <x v="4"/>
    <n v="35"/>
    <x v="207"/>
    <n v="84.64"/>
    <n v="27.21"/>
    <n v="14.98"/>
    <n v="15.15"/>
    <n v="196.78"/>
    <n v="904"/>
    <n v="4"/>
    <n v="180"/>
  </r>
  <r>
    <n v="350"/>
    <s v="2020-11-19"/>
    <n v="2020"/>
    <s v="Q4"/>
    <x v="10"/>
    <x v="3"/>
    <x v="1"/>
    <x v="240"/>
    <x v="2"/>
    <n v="35"/>
    <x v="248"/>
    <n v="85.24"/>
    <n v="28.65"/>
    <n v="5.99"/>
    <n v="2.89"/>
    <n v="367.56"/>
    <n v="639"/>
    <n v="3"/>
    <n v="87"/>
  </r>
  <r>
    <n v="351"/>
    <s v="2020-10-31"/>
    <n v="2020"/>
    <s v="Q4"/>
    <x v="10"/>
    <x v="7"/>
    <x v="4"/>
    <x v="334"/>
    <x v="3"/>
    <n v="9"/>
    <x v="193"/>
    <n v="90.8"/>
    <n v="27.57"/>
    <n v="6.72"/>
    <n v="6.32"/>
    <n v="467.03"/>
    <n v="314"/>
    <n v="1"/>
    <n v="243"/>
  </r>
  <r>
    <n v="352"/>
    <s v="2020-11-13"/>
    <n v="2020"/>
    <s v="Q4"/>
    <x v="10"/>
    <x v="7"/>
    <x v="1"/>
    <x v="335"/>
    <x v="2"/>
    <n v="17"/>
    <x v="55"/>
    <n v="76.010000000000005"/>
    <n v="22.42"/>
    <n v="13.01"/>
    <n v="15.81"/>
    <n v="141.6"/>
    <n v="158"/>
    <n v="4"/>
    <n v="185"/>
  </r>
  <r>
    <n v="353"/>
    <s v="2020-11-10"/>
    <n v="2020"/>
    <s v="Q4"/>
    <x v="10"/>
    <x v="7"/>
    <x v="1"/>
    <x v="336"/>
    <x v="3"/>
    <n v="12"/>
    <x v="249"/>
    <n v="79.77"/>
    <n v="13.09"/>
    <n v="4.38"/>
    <n v="5.97"/>
    <n v="445.92"/>
    <n v="559"/>
    <n v="1"/>
    <n v="151"/>
  </r>
  <r>
    <n v="354"/>
    <s v="2020-10-31"/>
    <n v="2020"/>
    <s v="Q4"/>
    <x v="10"/>
    <x v="0"/>
    <x v="2"/>
    <x v="337"/>
    <x v="0"/>
    <n v="1"/>
    <x v="250"/>
    <n v="84.69"/>
    <n v="18.54"/>
    <n v="3.97"/>
    <n v="6.89"/>
    <n v="531.79999999999995"/>
    <n v="638"/>
    <n v="4"/>
    <n v="228"/>
  </r>
  <r>
    <n v="355"/>
    <s v="2020-11-09"/>
    <n v="2020"/>
    <s v="Q4"/>
    <x v="10"/>
    <x v="6"/>
    <x v="3"/>
    <x v="338"/>
    <x v="4"/>
    <n v="50"/>
    <x v="251"/>
    <n v="86.5"/>
    <n v="15.49"/>
    <n v="13.89"/>
    <n v="10.73"/>
    <n v="160.87"/>
    <n v="460"/>
    <n v="3"/>
    <n v="171"/>
  </r>
  <r>
    <n v="356"/>
    <s v="2020-11-21"/>
    <n v="2020"/>
    <s v="Q4"/>
    <x v="10"/>
    <x v="6"/>
    <x v="4"/>
    <x v="339"/>
    <x v="4"/>
    <n v="16"/>
    <x v="30"/>
    <n v="81.94"/>
    <n v="15.15"/>
    <n v="9.17"/>
    <n v="7.98"/>
    <n v="287.45999999999998"/>
    <n v="759"/>
    <n v="3"/>
    <n v="145"/>
  </r>
  <r>
    <n v="357"/>
    <s v="2020-11-12"/>
    <n v="2020"/>
    <s v="Q4"/>
    <x v="10"/>
    <x v="5"/>
    <x v="4"/>
    <x v="48"/>
    <x v="0"/>
    <n v="35"/>
    <x v="252"/>
    <n v="89.08"/>
    <n v="25.59"/>
    <n v="16.48"/>
    <n v="1.97"/>
    <n v="132.44999999999999"/>
    <n v="797"/>
    <n v="4"/>
    <n v="241"/>
  </r>
  <r>
    <n v="358"/>
    <s v="2020-11-14"/>
    <n v="2020"/>
    <s v="Q4"/>
    <x v="10"/>
    <x v="2"/>
    <x v="0"/>
    <x v="340"/>
    <x v="1"/>
    <n v="40"/>
    <x v="253"/>
    <n v="92.97"/>
    <n v="21.37"/>
    <n v="5.93"/>
    <n v="1.37"/>
    <n v="265.67"/>
    <n v="580"/>
    <n v="3"/>
    <n v="138"/>
  </r>
  <r>
    <n v="359"/>
    <s v="2020-11-16"/>
    <n v="2020"/>
    <s v="Q4"/>
    <x v="10"/>
    <x v="7"/>
    <x v="2"/>
    <x v="341"/>
    <x v="0"/>
    <n v="23"/>
    <x v="254"/>
    <n v="93.48"/>
    <n v="6.21"/>
    <n v="2.4500000000000002"/>
    <n v="13.18"/>
    <n v="326.85000000000002"/>
    <n v="560"/>
    <n v="5"/>
    <n v="142"/>
  </r>
  <r>
    <n v="360"/>
    <s v="2020-11-11"/>
    <n v="2020"/>
    <s v="Q4"/>
    <x v="10"/>
    <x v="4"/>
    <x v="1"/>
    <x v="342"/>
    <x v="1"/>
    <n v="7"/>
    <x v="204"/>
    <n v="89.12"/>
    <n v="20.56"/>
    <n v="19.190000000000001"/>
    <n v="1.85"/>
    <n v="103.36"/>
    <n v="387"/>
    <n v="1"/>
    <n v="80"/>
  </r>
  <r>
    <n v="361"/>
    <s v="2020-11-15"/>
    <n v="2020"/>
    <s v="Q4"/>
    <x v="10"/>
    <x v="1"/>
    <x v="2"/>
    <x v="343"/>
    <x v="4"/>
    <n v="5"/>
    <x v="244"/>
    <n v="83.09"/>
    <n v="15.26"/>
    <n v="3.06"/>
    <n v="1.69"/>
    <n v="100.76"/>
    <n v="465"/>
    <n v="2"/>
    <n v="105"/>
  </r>
  <r>
    <n v="362"/>
    <s v="2020-11-26"/>
    <n v="2020"/>
    <s v="Q4"/>
    <x v="10"/>
    <x v="6"/>
    <x v="4"/>
    <x v="218"/>
    <x v="4"/>
    <n v="8"/>
    <x v="255"/>
    <n v="88.49"/>
    <n v="31.55"/>
    <n v="20.95"/>
    <n v="13.02"/>
    <n v="386.61"/>
    <n v="203"/>
    <n v="5"/>
    <n v="240"/>
  </r>
  <r>
    <n v="363"/>
    <s v="2020-11-17"/>
    <n v="2020"/>
    <s v="Q4"/>
    <x v="10"/>
    <x v="1"/>
    <x v="0"/>
    <x v="344"/>
    <x v="4"/>
    <n v="11"/>
    <x v="215"/>
    <n v="91.91"/>
    <n v="24.13"/>
    <n v="20.36"/>
    <n v="13.62"/>
    <n v="325.14999999999998"/>
    <n v="998"/>
    <n v="3"/>
    <n v="62"/>
  </r>
  <r>
    <n v="364"/>
    <s v="2020-11-15"/>
    <n v="2020"/>
    <s v="Q4"/>
    <x v="10"/>
    <x v="6"/>
    <x v="3"/>
    <x v="345"/>
    <x v="2"/>
    <n v="8"/>
    <x v="83"/>
    <n v="86.41"/>
    <n v="13.3"/>
    <n v="12.11"/>
    <n v="3.38"/>
    <n v="591.25"/>
    <n v="690"/>
    <n v="2"/>
    <n v="234"/>
  </r>
  <r>
    <n v="365"/>
    <s v="2020-11-22"/>
    <n v="2020"/>
    <s v="Q4"/>
    <x v="10"/>
    <x v="3"/>
    <x v="2"/>
    <x v="346"/>
    <x v="4"/>
    <n v="4"/>
    <x v="238"/>
    <n v="84.96"/>
    <n v="17.600000000000001"/>
    <n v="20.18"/>
    <n v="12.28"/>
    <n v="595.26"/>
    <n v="734"/>
    <n v="4"/>
    <n v="249"/>
  </r>
  <r>
    <n v="366"/>
    <s v="2020-11-03"/>
    <n v="2020"/>
    <s v="Q4"/>
    <x v="10"/>
    <x v="3"/>
    <x v="3"/>
    <x v="347"/>
    <x v="0"/>
    <n v="21"/>
    <x v="256"/>
    <n v="86.42"/>
    <n v="31.71"/>
    <n v="13.82"/>
    <n v="10.73"/>
    <n v="364.29"/>
    <n v="437"/>
    <n v="5"/>
    <n v="247"/>
  </r>
  <r>
    <n v="367"/>
    <s v="2020-11-10"/>
    <n v="2020"/>
    <s v="Q4"/>
    <x v="10"/>
    <x v="4"/>
    <x v="2"/>
    <x v="200"/>
    <x v="1"/>
    <n v="10"/>
    <x v="257"/>
    <n v="78.45"/>
    <n v="20.97"/>
    <n v="9.1"/>
    <n v="14.18"/>
    <n v="132.08000000000001"/>
    <n v="457"/>
    <n v="2"/>
    <n v="162"/>
  </r>
  <r>
    <n v="368"/>
    <s v="2020-11-04"/>
    <n v="2020"/>
    <s v="Q4"/>
    <x v="10"/>
    <x v="7"/>
    <x v="1"/>
    <x v="348"/>
    <x v="0"/>
    <n v="20"/>
    <x v="258"/>
    <n v="77.8"/>
    <n v="29.99"/>
    <n v="20.84"/>
    <n v="10.24"/>
    <n v="508.54"/>
    <n v="369"/>
    <n v="3"/>
    <n v="238"/>
  </r>
  <r>
    <n v="369"/>
    <s v="2020-11-11"/>
    <n v="2020"/>
    <s v="Q4"/>
    <x v="10"/>
    <x v="2"/>
    <x v="2"/>
    <x v="349"/>
    <x v="2"/>
    <n v="7"/>
    <x v="59"/>
    <n v="86.24"/>
    <n v="32.200000000000003"/>
    <n v="6.71"/>
    <n v="11.67"/>
    <n v="239.76"/>
    <n v="672"/>
    <n v="2"/>
    <n v="208"/>
  </r>
  <r>
    <n v="370"/>
    <s v="2020-11-12"/>
    <n v="2020"/>
    <s v="Q4"/>
    <x v="10"/>
    <x v="7"/>
    <x v="4"/>
    <x v="350"/>
    <x v="1"/>
    <n v="38"/>
    <x v="97"/>
    <n v="84.73"/>
    <n v="18.59"/>
    <n v="3.61"/>
    <n v="2.42"/>
    <n v="345.34"/>
    <n v="577"/>
    <n v="3"/>
    <n v="64"/>
  </r>
  <r>
    <n v="371"/>
    <s v="2020-10-31"/>
    <n v="2020"/>
    <s v="Q4"/>
    <x v="10"/>
    <x v="5"/>
    <x v="4"/>
    <x v="351"/>
    <x v="3"/>
    <n v="25"/>
    <x v="259"/>
    <n v="86.99"/>
    <n v="12.03"/>
    <n v="5.05"/>
    <n v="13.92"/>
    <n v="183.58"/>
    <n v="500"/>
    <n v="2"/>
    <n v="164"/>
  </r>
  <r>
    <n v="372"/>
    <s v="2020-11-04"/>
    <n v="2020"/>
    <s v="Q4"/>
    <x v="10"/>
    <x v="6"/>
    <x v="3"/>
    <x v="352"/>
    <x v="0"/>
    <n v="27"/>
    <x v="70"/>
    <n v="86.22"/>
    <n v="8.0500000000000007"/>
    <n v="3.19"/>
    <n v="10.57"/>
    <n v="378.65"/>
    <n v="379"/>
    <n v="1"/>
    <n v="82"/>
  </r>
  <r>
    <n v="373"/>
    <s v="2020-11-08"/>
    <n v="2020"/>
    <s v="Q4"/>
    <x v="10"/>
    <x v="4"/>
    <x v="1"/>
    <x v="260"/>
    <x v="1"/>
    <n v="35"/>
    <x v="155"/>
    <n v="78.02"/>
    <n v="23.12"/>
    <n v="14.03"/>
    <n v="14.13"/>
    <n v="387.24"/>
    <n v="1037"/>
    <n v="4"/>
    <n v="78"/>
  </r>
  <r>
    <n v="374"/>
    <s v="2020-11-10"/>
    <n v="2020"/>
    <s v="Q4"/>
    <x v="10"/>
    <x v="7"/>
    <x v="1"/>
    <x v="353"/>
    <x v="1"/>
    <n v="41"/>
    <x v="260"/>
    <n v="89.79"/>
    <n v="32.630000000000003"/>
    <n v="10.77"/>
    <n v="13.97"/>
    <n v="406.34"/>
    <n v="815"/>
    <n v="2"/>
    <n v="160"/>
  </r>
  <r>
    <n v="375"/>
    <s v="2020-12-25"/>
    <n v="2020"/>
    <s v="Q4"/>
    <x v="11"/>
    <x v="6"/>
    <x v="2"/>
    <x v="354"/>
    <x v="3"/>
    <n v="20"/>
    <x v="253"/>
    <n v="80.790000000000006"/>
    <n v="10.48"/>
    <n v="15.71"/>
    <n v="10.27"/>
    <n v="551.66999999999996"/>
    <n v="1095"/>
    <n v="4"/>
    <n v="161"/>
  </r>
  <r>
    <n v="376"/>
    <s v="2020-12-18"/>
    <n v="2020"/>
    <s v="Q4"/>
    <x v="11"/>
    <x v="7"/>
    <x v="1"/>
    <x v="355"/>
    <x v="1"/>
    <n v="46"/>
    <x v="261"/>
    <n v="77.260000000000005"/>
    <n v="12.36"/>
    <n v="19.45"/>
    <n v="8.4600000000000009"/>
    <n v="525.92999999999995"/>
    <n v="440"/>
    <n v="2"/>
    <n v="235"/>
  </r>
  <r>
    <n v="377"/>
    <s v="2020-12-22"/>
    <n v="2020"/>
    <s v="Q4"/>
    <x v="11"/>
    <x v="6"/>
    <x v="2"/>
    <x v="356"/>
    <x v="1"/>
    <n v="10"/>
    <x v="262"/>
    <n v="80.209999999999994"/>
    <n v="18.02"/>
    <n v="10.67"/>
    <n v="5.44"/>
    <n v="293.95"/>
    <n v="838"/>
    <n v="2"/>
    <n v="133"/>
  </r>
  <r>
    <n v="378"/>
    <s v="2020-12-01"/>
    <n v="2020"/>
    <s v="Q4"/>
    <x v="11"/>
    <x v="0"/>
    <x v="2"/>
    <x v="357"/>
    <x v="4"/>
    <n v="35"/>
    <x v="18"/>
    <n v="84.92"/>
    <n v="14.5"/>
    <n v="13.54"/>
    <n v="15.25"/>
    <n v="436.1"/>
    <n v="149"/>
    <n v="1"/>
    <n v="133"/>
  </r>
  <r>
    <n v="379"/>
    <s v="2020-12-16"/>
    <n v="2020"/>
    <s v="Q4"/>
    <x v="11"/>
    <x v="1"/>
    <x v="4"/>
    <x v="358"/>
    <x v="4"/>
    <n v="21"/>
    <x v="145"/>
    <n v="78.5"/>
    <n v="25.05"/>
    <n v="13.13"/>
    <n v="8.32"/>
    <n v="355.72"/>
    <n v="981"/>
    <n v="2"/>
    <n v="245"/>
  </r>
  <r>
    <n v="380"/>
    <s v="2020-12-27"/>
    <n v="2020"/>
    <s v="Q4"/>
    <x v="11"/>
    <x v="5"/>
    <x v="0"/>
    <x v="359"/>
    <x v="2"/>
    <n v="39"/>
    <x v="250"/>
    <n v="86.48"/>
    <n v="10.68"/>
    <n v="11.36"/>
    <n v="12.12"/>
    <n v="566.39"/>
    <n v="836"/>
    <n v="5"/>
    <n v="137"/>
  </r>
  <r>
    <n v="381"/>
    <s v="2020-12-14"/>
    <n v="2020"/>
    <s v="Q4"/>
    <x v="11"/>
    <x v="4"/>
    <x v="1"/>
    <x v="360"/>
    <x v="3"/>
    <n v="12"/>
    <x v="164"/>
    <n v="77.61"/>
    <n v="11.65"/>
    <n v="2.27"/>
    <n v="11.69"/>
    <n v="469.28"/>
    <n v="866"/>
    <n v="3"/>
    <n v="122"/>
  </r>
  <r>
    <n v="382"/>
    <s v="2020-12-10"/>
    <n v="2020"/>
    <s v="Q4"/>
    <x v="11"/>
    <x v="6"/>
    <x v="0"/>
    <x v="361"/>
    <x v="3"/>
    <n v="49"/>
    <x v="263"/>
    <n v="77.680000000000007"/>
    <n v="9.9499999999999993"/>
    <n v="9.74"/>
    <n v="14.8"/>
    <n v="261.2"/>
    <n v="210"/>
    <n v="1"/>
    <n v="244"/>
  </r>
  <r>
    <n v="383"/>
    <s v="2020-12-16"/>
    <n v="2020"/>
    <s v="Q4"/>
    <x v="11"/>
    <x v="6"/>
    <x v="0"/>
    <x v="362"/>
    <x v="1"/>
    <n v="17"/>
    <x v="264"/>
    <n v="82.05"/>
    <n v="33.450000000000003"/>
    <n v="7.83"/>
    <n v="1.36"/>
    <n v="558.05999999999995"/>
    <n v="160"/>
    <n v="1"/>
    <n v="182"/>
  </r>
  <r>
    <n v="384"/>
    <s v="2020-12-08"/>
    <n v="2020"/>
    <s v="Q4"/>
    <x v="11"/>
    <x v="1"/>
    <x v="0"/>
    <x v="363"/>
    <x v="4"/>
    <n v="36"/>
    <x v="265"/>
    <n v="87.52"/>
    <n v="23.19"/>
    <n v="10.76"/>
    <n v="4.72"/>
    <n v="208.83"/>
    <n v="1010"/>
    <n v="4"/>
    <n v="243"/>
  </r>
  <r>
    <n v="385"/>
    <s v="2020-12-13"/>
    <n v="2020"/>
    <s v="Q4"/>
    <x v="11"/>
    <x v="6"/>
    <x v="0"/>
    <x v="364"/>
    <x v="4"/>
    <n v="6"/>
    <x v="266"/>
    <n v="83.13"/>
    <n v="31.82"/>
    <n v="12.44"/>
    <n v="4.5"/>
    <n v="220.85"/>
    <n v="773"/>
    <n v="3"/>
    <n v="210"/>
  </r>
  <r>
    <n v="386"/>
    <s v="2020-12-09"/>
    <n v="2020"/>
    <s v="Q4"/>
    <x v="11"/>
    <x v="4"/>
    <x v="0"/>
    <x v="324"/>
    <x v="3"/>
    <n v="6"/>
    <x v="267"/>
    <n v="90.2"/>
    <n v="19"/>
    <n v="20.41"/>
    <n v="2.46"/>
    <n v="577.65"/>
    <n v="716"/>
    <n v="4"/>
    <n v="134"/>
  </r>
  <r>
    <n v="387"/>
    <s v="2020-12-24"/>
    <n v="2020"/>
    <s v="Q4"/>
    <x v="11"/>
    <x v="7"/>
    <x v="4"/>
    <x v="282"/>
    <x v="0"/>
    <n v="33"/>
    <x v="268"/>
    <n v="79.3"/>
    <n v="17.11"/>
    <n v="17.670000000000002"/>
    <n v="4.1500000000000004"/>
    <n v="310.85000000000002"/>
    <n v="234"/>
    <n v="2"/>
    <n v="247"/>
  </r>
  <r>
    <n v="388"/>
    <s v="2020-12-12"/>
    <n v="2020"/>
    <s v="Q4"/>
    <x v="11"/>
    <x v="0"/>
    <x v="2"/>
    <x v="264"/>
    <x v="4"/>
    <n v="26"/>
    <x v="269"/>
    <n v="91.57"/>
    <n v="33.450000000000003"/>
    <n v="8.81"/>
    <n v="9.0500000000000007"/>
    <n v="231.94"/>
    <n v="1016"/>
    <n v="3"/>
    <n v="217"/>
  </r>
  <r>
    <n v="389"/>
    <s v="2020-12-14"/>
    <n v="2020"/>
    <s v="Q4"/>
    <x v="11"/>
    <x v="1"/>
    <x v="0"/>
    <x v="365"/>
    <x v="3"/>
    <n v="11"/>
    <x v="170"/>
    <n v="82.32"/>
    <n v="15.89"/>
    <n v="15.06"/>
    <n v="14.57"/>
    <n v="551.72"/>
    <n v="386"/>
    <n v="5"/>
    <n v="137"/>
  </r>
  <r>
    <n v="390"/>
    <s v="2020-12-24"/>
    <n v="2020"/>
    <s v="Q4"/>
    <x v="11"/>
    <x v="3"/>
    <x v="0"/>
    <x v="366"/>
    <x v="3"/>
    <n v="19"/>
    <x v="270"/>
    <n v="94.1"/>
    <n v="10.66"/>
    <n v="19.940000000000001"/>
    <n v="5.31"/>
    <n v="553.83000000000004"/>
    <n v="963"/>
    <n v="2"/>
    <n v="203"/>
  </r>
  <r>
    <n v="391"/>
    <s v="2020-12-22"/>
    <n v="2020"/>
    <s v="Q4"/>
    <x v="11"/>
    <x v="1"/>
    <x v="1"/>
    <x v="367"/>
    <x v="2"/>
    <n v="47"/>
    <x v="271"/>
    <n v="76.290000000000006"/>
    <n v="32.44"/>
    <n v="4.38"/>
    <n v="12.82"/>
    <n v="269.07"/>
    <n v="734"/>
    <n v="1"/>
    <n v="243"/>
  </r>
  <r>
    <n v="392"/>
    <s v="2020-12-16"/>
    <n v="2020"/>
    <s v="Q4"/>
    <x v="11"/>
    <x v="5"/>
    <x v="3"/>
    <x v="368"/>
    <x v="1"/>
    <n v="46"/>
    <x v="272"/>
    <n v="92.15"/>
    <n v="8.49"/>
    <n v="6.69"/>
    <n v="6.32"/>
    <n v="167.95"/>
    <n v="989"/>
    <n v="1"/>
    <n v="213"/>
  </r>
  <r>
    <n v="393"/>
    <s v="2020-12-14"/>
    <n v="2020"/>
    <s v="Q4"/>
    <x v="11"/>
    <x v="3"/>
    <x v="1"/>
    <x v="369"/>
    <x v="3"/>
    <n v="20"/>
    <x v="273"/>
    <n v="84.15"/>
    <n v="22.9"/>
    <n v="11.96"/>
    <n v="7.62"/>
    <n v="400.11"/>
    <n v="713"/>
    <n v="5"/>
    <n v="197"/>
  </r>
  <r>
    <n v="394"/>
    <s v="2020-12-06"/>
    <n v="2020"/>
    <s v="Q4"/>
    <x v="11"/>
    <x v="5"/>
    <x v="2"/>
    <x v="370"/>
    <x v="1"/>
    <n v="30"/>
    <x v="274"/>
    <n v="80.819999999999993"/>
    <n v="26.79"/>
    <n v="5.28"/>
    <n v="7.19"/>
    <n v="541.75"/>
    <n v="840"/>
    <n v="1"/>
    <n v="158"/>
  </r>
  <r>
    <n v="395"/>
    <s v="2020-12-19"/>
    <n v="2020"/>
    <s v="Q4"/>
    <x v="11"/>
    <x v="6"/>
    <x v="0"/>
    <x v="371"/>
    <x v="4"/>
    <n v="35"/>
    <x v="222"/>
    <n v="91.05"/>
    <n v="29.14"/>
    <n v="10.25"/>
    <n v="13.83"/>
    <n v="429.56"/>
    <n v="443"/>
    <n v="1"/>
    <n v="168"/>
  </r>
  <r>
    <n v="396"/>
    <s v="2020-12-09"/>
    <n v="2020"/>
    <s v="Q4"/>
    <x v="11"/>
    <x v="4"/>
    <x v="0"/>
    <x v="372"/>
    <x v="1"/>
    <n v="19"/>
    <x v="257"/>
    <n v="77.37"/>
    <n v="7"/>
    <n v="4.43"/>
    <n v="15"/>
    <n v="537.49"/>
    <n v="1075"/>
    <n v="4"/>
    <n v="136"/>
  </r>
  <r>
    <n v="397"/>
    <s v="2020-12-10"/>
    <n v="2020"/>
    <s v="Q4"/>
    <x v="11"/>
    <x v="0"/>
    <x v="3"/>
    <x v="373"/>
    <x v="2"/>
    <n v="46"/>
    <x v="242"/>
    <n v="84.62"/>
    <n v="21.54"/>
    <n v="19.45"/>
    <n v="5.56"/>
    <n v="570.85"/>
    <n v="970"/>
    <n v="4"/>
    <n v="213"/>
  </r>
  <r>
    <n v="398"/>
    <s v="2020-12-03"/>
    <n v="2020"/>
    <s v="Q4"/>
    <x v="11"/>
    <x v="3"/>
    <x v="2"/>
    <x v="374"/>
    <x v="2"/>
    <n v="9"/>
    <x v="275"/>
    <n v="80.59"/>
    <n v="6.81"/>
    <n v="18.38"/>
    <n v="13.78"/>
    <n v="198.75"/>
    <n v="350"/>
    <n v="3"/>
    <n v="58"/>
  </r>
  <r>
    <n v="399"/>
    <s v="2020-12-26"/>
    <n v="2020"/>
    <s v="Q4"/>
    <x v="11"/>
    <x v="7"/>
    <x v="4"/>
    <x v="375"/>
    <x v="3"/>
    <n v="43"/>
    <x v="95"/>
    <n v="90.04"/>
    <n v="28.11"/>
    <n v="9.4499999999999993"/>
    <n v="15.48"/>
    <n v="298.48"/>
    <n v="267"/>
    <n v="1"/>
    <n v="66"/>
  </r>
  <r>
    <n v="400"/>
    <s v="2020-12-18"/>
    <n v="2020"/>
    <s v="Q4"/>
    <x v="11"/>
    <x v="3"/>
    <x v="3"/>
    <x v="376"/>
    <x v="2"/>
    <n v="5"/>
    <x v="104"/>
    <n v="89.66"/>
    <n v="26.11"/>
    <n v="17.73"/>
    <n v="13.24"/>
    <n v="113.86"/>
    <n v="860"/>
    <n v="2"/>
    <n v="216"/>
  </r>
  <r>
    <n v="401"/>
    <s v="2020-12-02"/>
    <n v="2020"/>
    <s v="Q4"/>
    <x v="11"/>
    <x v="0"/>
    <x v="0"/>
    <x v="377"/>
    <x v="1"/>
    <n v="15"/>
    <x v="276"/>
    <n v="78.319999999999993"/>
    <n v="31.19"/>
    <n v="8.2200000000000006"/>
    <n v="11.68"/>
    <n v="379.57"/>
    <n v="782"/>
    <n v="4"/>
    <n v="194"/>
  </r>
  <r>
    <n v="402"/>
    <s v="2020-12-14"/>
    <n v="2020"/>
    <s v="Q4"/>
    <x v="11"/>
    <x v="1"/>
    <x v="2"/>
    <x v="378"/>
    <x v="2"/>
    <n v="28"/>
    <x v="104"/>
    <n v="85.34"/>
    <n v="31.35"/>
    <n v="5.84"/>
    <n v="10.14"/>
    <n v="551.76"/>
    <n v="504"/>
    <n v="3"/>
    <n v="101"/>
  </r>
  <r>
    <n v="403"/>
    <s v="2020-12-11"/>
    <n v="2020"/>
    <s v="Q4"/>
    <x v="11"/>
    <x v="2"/>
    <x v="0"/>
    <x v="379"/>
    <x v="4"/>
    <n v="20"/>
    <x v="71"/>
    <n v="86.21"/>
    <n v="34.01"/>
    <n v="6.84"/>
    <n v="8.49"/>
    <n v="553.76"/>
    <n v="1074"/>
    <n v="4"/>
    <n v="230"/>
  </r>
  <r>
    <n v="404"/>
    <s v="2020-12-16"/>
    <n v="2020"/>
    <s v="Q4"/>
    <x v="11"/>
    <x v="5"/>
    <x v="4"/>
    <x v="380"/>
    <x v="3"/>
    <n v="16"/>
    <x v="29"/>
    <n v="80.180000000000007"/>
    <n v="12.96"/>
    <n v="3.52"/>
    <n v="4.1399999999999997"/>
    <n v="269.38"/>
    <n v="858"/>
    <n v="1"/>
    <n v="80"/>
  </r>
  <r>
    <n v="405"/>
    <s v="2020-12-26"/>
    <n v="2020"/>
    <s v="Q4"/>
    <x v="11"/>
    <x v="7"/>
    <x v="1"/>
    <x v="381"/>
    <x v="4"/>
    <n v="19"/>
    <x v="277"/>
    <n v="90.6"/>
    <n v="12.12"/>
    <n v="2.78"/>
    <n v="14.84"/>
    <n v="249.32"/>
    <n v="824"/>
    <n v="2"/>
    <n v="121"/>
  </r>
  <r>
    <n v="406"/>
    <s v="2020-12-14"/>
    <n v="2020"/>
    <s v="Q4"/>
    <x v="11"/>
    <x v="4"/>
    <x v="0"/>
    <x v="382"/>
    <x v="2"/>
    <n v="34"/>
    <x v="278"/>
    <n v="78.19"/>
    <n v="13.63"/>
    <n v="2.5"/>
    <n v="6.21"/>
    <n v="574.92999999999995"/>
    <n v="338"/>
    <n v="5"/>
    <n v="75"/>
  </r>
  <r>
    <n v="407"/>
    <s v="2020-12-08"/>
    <n v="2020"/>
    <s v="Q4"/>
    <x v="11"/>
    <x v="1"/>
    <x v="1"/>
    <x v="13"/>
    <x v="3"/>
    <n v="11"/>
    <x v="279"/>
    <n v="84.56"/>
    <n v="7.99"/>
    <n v="12.08"/>
    <n v="2.97"/>
    <n v="193.46"/>
    <n v="672"/>
    <n v="3"/>
    <n v="235"/>
  </r>
  <r>
    <n v="408"/>
    <s v="2020-12-18"/>
    <n v="2020"/>
    <s v="Q4"/>
    <x v="11"/>
    <x v="7"/>
    <x v="0"/>
    <x v="383"/>
    <x v="1"/>
    <n v="25"/>
    <x v="280"/>
    <n v="93.2"/>
    <n v="6"/>
    <n v="4.91"/>
    <n v="13.6"/>
    <n v="214.06"/>
    <n v="561"/>
    <n v="2"/>
    <n v="220"/>
  </r>
  <r>
    <n v="409"/>
    <s v="2021-01-13"/>
    <n v="2021"/>
    <s v="Q1"/>
    <x v="0"/>
    <x v="2"/>
    <x v="2"/>
    <x v="384"/>
    <x v="0"/>
    <n v="48"/>
    <x v="128"/>
    <n v="78.3"/>
    <n v="24.87"/>
    <n v="4.41"/>
    <n v="5.13"/>
    <n v="585.71"/>
    <n v="451"/>
    <n v="4"/>
    <n v="126"/>
  </r>
  <r>
    <n v="410"/>
    <s v="2021-01-07"/>
    <n v="2021"/>
    <s v="Q1"/>
    <x v="0"/>
    <x v="4"/>
    <x v="2"/>
    <x v="385"/>
    <x v="1"/>
    <n v="37"/>
    <x v="34"/>
    <n v="91.52"/>
    <n v="12.69"/>
    <n v="8.6"/>
    <n v="12.79"/>
    <n v="310.25"/>
    <n v="383"/>
    <n v="4"/>
    <n v="239"/>
  </r>
  <r>
    <n v="411"/>
    <s v="2021-01-05"/>
    <n v="2021"/>
    <s v="Q1"/>
    <x v="0"/>
    <x v="4"/>
    <x v="0"/>
    <x v="386"/>
    <x v="2"/>
    <n v="24"/>
    <x v="0"/>
    <n v="90.01"/>
    <n v="25.27"/>
    <n v="16.98"/>
    <n v="12.73"/>
    <n v="203.17"/>
    <n v="1052"/>
    <n v="1"/>
    <n v="131"/>
  </r>
  <r>
    <n v="412"/>
    <s v="2021-01-21"/>
    <n v="2021"/>
    <s v="Q1"/>
    <x v="0"/>
    <x v="1"/>
    <x v="3"/>
    <x v="387"/>
    <x v="1"/>
    <n v="39"/>
    <x v="41"/>
    <n v="90.65"/>
    <n v="30.58"/>
    <n v="20.2"/>
    <n v="6.7"/>
    <n v="334.68"/>
    <n v="312"/>
    <n v="2"/>
    <n v="98"/>
  </r>
  <r>
    <n v="413"/>
    <s v="2021-01-04"/>
    <n v="2021"/>
    <s v="Q1"/>
    <x v="0"/>
    <x v="4"/>
    <x v="1"/>
    <x v="388"/>
    <x v="2"/>
    <n v="29"/>
    <x v="127"/>
    <n v="90.04"/>
    <n v="33.770000000000003"/>
    <n v="13.91"/>
    <n v="10.97"/>
    <n v="568.24"/>
    <n v="682"/>
    <n v="4"/>
    <n v="197"/>
  </r>
  <r>
    <n v="414"/>
    <s v="2021-01-08"/>
    <n v="2021"/>
    <s v="Q1"/>
    <x v="0"/>
    <x v="5"/>
    <x v="1"/>
    <x v="389"/>
    <x v="0"/>
    <n v="31"/>
    <x v="178"/>
    <n v="76.98"/>
    <n v="9.91"/>
    <n v="8.92"/>
    <n v="7.29"/>
    <n v="389.1"/>
    <n v="911"/>
    <n v="1"/>
    <n v="102"/>
  </r>
  <r>
    <n v="415"/>
    <s v="2021-01-06"/>
    <n v="2021"/>
    <s v="Q1"/>
    <x v="0"/>
    <x v="7"/>
    <x v="1"/>
    <x v="390"/>
    <x v="2"/>
    <n v="1"/>
    <x v="113"/>
    <n v="78.23"/>
    <n v="32.299999999999997"/>
    <n v="3.52"/>
    <n v="7.62"/>
    <n v="143.4"/>
    <n v="884"/>
    <n v="1"/>
    <n v="131"/>
  </r>
  <r>
    <n v="416"/>
    <s v="2021-01-20"/>
    <n v="2021"/>
    <s v="Q1"/>
    <x v="0"/>
    <x v="7"/>
    <x v="4"/>
    <x v="391"/>
    <x v="2"/>
    <n v="49"/>
    <x v="281"/>
    <n v="86.6"/>
    <n v="16.89"/>
    <n v="9.0399999999999991"/>
    <n v="4.97"/>
    <n v="469.49"/>
    <n v="456"/>
    <n v="3"/>
    <n v="114"/>
  </r>
  <r>
    <n v="417"/>
    <s v="2021-01-24"/>
    <n v="2021"/>
    <s v="Q1"/>
    <x v="0"/>
    <x v="7"/>
    <x v="2"/>
    <x v="392"/>
    <x v="2"/>
    <n v="11"/>
    <x v="62"/>
    <n v="86.95"/>
    <n v="18.27"/>
    <n v="15.13"/>
    <n v="9.76"/>
    <n v="338.02"/>
    <n v="1063"/>
    <n v="1"/>
    <n v="145"/>
  </r>
  <r>
    <n v="418"/>
    <s v="2021-01-20"/>
    <n v="2021"/>
    <s v="Q1"/>
    <x v="0"/>
    <x v="4"/>
    <x v="4"/>
    <x v="393"/>
    <x v="1"/>
    <n v="42"/>
    <x v="154"/>
    <n v="90.63"/>
    <n v="31.75"/>
    <n v="20.79"/>
    <n v="11.26"/>
    <n v="142.1"/>
    <n v="941"/>
    <n v="2"/>
    <n v="212"/>
  </r>
  <r>
    <n v="419"/>
    <s v="2021-01-17"/>
    <n v="2021"/>
    <s v="Q1"/>
    <x v="0"/>
    <x v="0"/>
    <x v="3"/>
    <x v="394"/>
    <x v="1"/>
    <n v="32"/>
    <x v="282"/>
    <n v="76.84"/>
    <n v="25.26"/>
    <n v="12.55"/>
    <n v="8.34"/>
    <n v="399.32"/>
    <n v="664"/>
    <n v="3"/>
    <n v="75"/>
  </r>
  <r>
    <n v="420"/>
    <s v="2021-01-11"/>
    <n v="2021"/>
    <s v="Q1"/>
    <x v="0"/>
    <x v="6"/>
    <x v="0"/>
    <x v="143"/>
    <x v="3"/>
    <n v="15"/>
    <x v="66"/>
    <n v="83.97"/>
    <n v="29.16"/>
    <n v="17.010000000000002"/>
    <n v="4.3600000000000003"/>
    <n v="247.8"/>
    <n v="1047"/>
    <n v="4"/>
    <n v="59"/>
  </r>
  <r>
    <n v="421"/>
    <s v="2021-01-07"/>
    <n v="2021"/>
    <s v="Q1"/>
    <x v="0"/>
    <x v="6"/>
    <x v="4"/>
    <x v="395"/>
    <x v="0"/>
    <n v="2"/>
    <x v="283"/>
    <n v="78.239999999999995"/>
    <n v="7.66"/>
    <n v="4.7300000000000004"/>
    <n v="5.34"/>
    <n v="175.91"/>
    <n v="616"/>
    <n v="4"/>
    <n v="237"/>
  </r>
  <r>
    <n v="422"/>
    <s v="2021-01-16"/>
    <n v="2021"/>
    <s v="Q1"/>
    <x v="0"/>
    <x v="3"/>
    <x v="2"/>
    <x v="396"/>
    <x v="4"/>
    <n v="21"/>
    <x v="284"/>
    <n v="84.95"/>
    <n v="20.75"/>
    <n v="20.55"/>
    <n v="5.23"/>
    <n v="456.56"/>
    <n v="242"/>
    <n v="3"/>
    <n v="177"/>
  </r>
  <r>
    <n v="423"/>
    <s v="2021-01-08"/>
    <n v="2021"/>
    <s v="Q1"/>
    <x v="0"/>
    <x v="3"/>
    <x v="0"/>
    <x v="397"/>
    <x v="3"/>
    <n v="4"/>
    <x v="58"/>
    <n v="93.21"/>
    <n v="30.79"/>
    <n v="2.77"/>
    <n v="2.58"/>
    <n v="477.66"/>
    <n v="1004"/>
    <n v="4"/>
    <n v="54"/>
  </r>
  <r>
    <n v="424"/>
    <s v="2021-01-12"/>
    <n v="2021"/>
    <s v="Q1"/>
    <x v="0"/>
    <x v="1"/>
    <x v="2"/>
    <x v="398"/>
    <x v="3"/>
    <n v="20"/>
    <x v="11"/>
    <n v="89.05"/>
    <n v="12.35"/>
    <n v="5"/>
    <n v="7.99"/>
    <n v="135.13"/>
    <n v="848"/>
    <n v="5"/>
    <n v="181"/>
  </r>
  <r>
    <n v="425"/>
    <s v="2021-01-01"/>
    <n v="2021"/>
    <s v="Q1"/>
    <x v="0"/>
    <x v="0"/>
    <x v="2"/>
    <x v="399"/>
    <x v="0"/>
    <n v="6"/>
    <x v="164"/>
    <n v="92.9"/>
    <n v="21.41"/>
    <n v="18.059999999999999"/>
    <n v="14.09"/>
    <n v="349.03"/>
    <n v="945"/>
    <n v="1"/>
    <n v="172"/>
  </r>
  <r>
    <n v="426"/>
    <s v="2021-01-05"/>
    <n v="2021"/>
    <s v="Q1"/>
    <x v="0"/>
    <x v="1"/>
    <x v="0"/>
    <x v="400"/>
    <x v="3"/>
    <n v="41"/>
    <x v="285"/>
    <n v="83.05"/>
    <n v="25.37"/>
    <n v="15.41"/>
    <n v="4.17"/>
    <n v="244.3"/>
    <n v="799"/>
    <n v="2"/>
    <n v="249"/>
  </r>
  <r>
    <n v="427"/>
    <s v="2020-12-31"/>
    <n v="2021"/>
    <s v="Q1"/>
    <x v="0"/>
    <x v="4"/>
    <x v="0"/>
    <x v="401"/>
    <x v="0"/>
    <n v="18"/>
    <x v="286"/>
    <n v="87.54"/>
    <n v="34.69"/>
    <n v="16.39"/>
    <n v="14.2"/>
    <n v="515.01"/>
    <n v="748"/>
    <n v="5"/>
    <n v="178"/>
  </r>
  <r>
    <n v="428"/>
    <s v="2021-01-14"/>
    <n v="2021"/>
    <s v="Q1"/>
    <x v="0"/>
    <x v="3"/>
    <x v="0"/>
    <x v="402"/>
    <x v="2"/>
    <n v="27"/>
    <x v="287"/>
    <n v="94.59"/>
    <n v="25.14"/>
    <n v="8.08"/>
    <n v="9.73"/>
    <n v="227.6"/>
    <n v="428"/>
    <n v="5"/>
    <n v="144"/>
  </r>
  <r>
    <n v="429"/>
    <s v="2021-01-04"/>
    <n v="2021"/>
    <s v="Q1"/>
    <x v="0"/>
    <x v="3"/>
    <x v="2"/>
    <x v="403"/>
    <x v="1"/>
    <n v="27"/>
    <x v="166"/>
    <n v="85.8"/>
    <n v="11"/>
    <n v="9.32"/>
    <n v="1.41"/>
    <n v="598.63"/>
    <n v="348"/>
    <n v="1"/>
    <n v="123"/>
  </r>
  <r>
    <n v="430"/>
    <s v="2021-01-04"/>
    <n v="2021"/>
    <s v="Q1"/>
    <x v="0"/>
    <x v="6"/>
    <x v="2"/>
    <x v="404"/>
    <x v="4"/>
    <n v="10"/>
    <x v="288"/>
    <n v="90.71"/>
    <n v="26.86"/>
    <n v="18.62"/>
    <n v="10.93"/>
    <n v="249.53"/>
    <n v="639"/>
    <n v="5"/>
    <n v="204"/>
  </r>
  <r>
    <n v="431"/>
    <s v="2021-01-12"/>
    <n v="2021"/>
    <s v="Q1"/>
    <x v="0"/>
    <x v="3"/>
    <x v="1"/>
    <x v="405"/>
    <x v="0"/>
    <n v="40"/>
    <x v="115"/>
    <n v="89.81"/>
    <n v="18.59"/>
    <n v="15.72"/>
    <n v="15.29"/>
    <n v="107.72"/>
    <n v="533"/>
    <n v="2"/>
    <n v="246"/>
  </r>
  <r>
    <n v="432"/>
    <s v="2021-01-17"/>
    <n v="2021"/>
    <s v="Q1"/>
    <x v="0"/>
    <x v="3"/>
    <x v="4"/>
    <x v="340"/>
    <x v="2"/>
    <n v="49"/>
    <x v="289"/>
    <n v="91.9"/>
    <n v="32.71"/>
    <n v="4.03"/>
    <n v="4.2"/>
    <n v="500.86"/>
    <n v="401"/>
    <n v="1"/>
    <n v="51"/>
  </r>
  <r>
    <n v="433"/>
    <s v="2021-01-19"/>
    <n v="2021"/>
    <s v="Q1"/>
    <x v="0"/>
    <x v="4"/>
    <x v="2"/>
    <x v="406"/>
    <x v="1"/>
    <n v="17"/>
    <x v="290"/>
    <n v="76.75"/>
    <n v="25.5"/>
    <n v="15.03"/>
    <n v="12.69"/>
    <n v="262.62"/>
    <n v="113"/>
    <n v="1"/>
    <n v="67"/>
  </r>
  <r>
    <n v="434"/>
    <s v="2021-01-04"/>
    <n v="2021"/>
    <s v="Q1"/>
    <x v="0"/>
    <x v="7"/>
    <x v="3"/>
    <x v="407"/>
    <x v="1"/>
    <n v="18"/>
    <x v="266"/>
    <n v="86.9"/>
    <n v="5.27"/>
    <n v="4.88"/>
    <n v="6.18"/>
    <n v="338.24"/>
    <n v="321"/>
    <n v="4"/>
    <n v="173"/>
  </r>
  <r>
    <n v="435"/>
    <s v="2021-01-19"/>
    <n v="2021"/>
    <s v="Q1"/>
    <x v="0"/>
    <x v="1"/>
    <x v="2"/>
    <x v="408"/>
    <x v="4"/>
    <n v="49"/>
    <x v="13"/>
    <n v="87.21"/>
    <n v="16.07"/>
    <n v="16.48"/>
    <n v="13.18"/>
    <n v="363.19"/>
    <n v="245"/>
    <n v="4"/>
    <n v="221"/>
  </r>
  <r>
    <n v="436"/>
    <s v="2021-01-08"/>
    <n v="2021"/>
    <s v="Q1"/>
    <x v="0"/>
    <x v="5"/>
    <x v="4"/>
    <x v="409"/>
    <x v="4"/>
    <n v="9"/>
    <x v="5"/>
    <n v="83.84"/>
    <n v="15.24"/>
    <n v="20.72"/>
    <n v="3.14"/>
    <n v="531.87"/>
    <n v="125"/>
    <n v="2"/>
    <n v="145"/>
  </r>
  <r>
    <n v="437"/>
    <s v="2021-01-24"/>
    <n v="2021"/>
    <s v="Q1"/>
    <x v="0"/>
    <x v="1"/>
    <x v="3"/>
    <x v="410"/>
    <x v="2"/>
    <n v="34"/>
    <x v="129"/>
    <n v="81.25"/>
    <n v="17.57"/>
    <n v="10.3"/>
    <n v="5.03"/>
    <n v="235.95"/>
    <n v="273"/>
    <n v="2"/>
    <n v="247"/>
  </r>
  <r>
    <n v="438"/>
    <s v="2021-01-10"/>
    <n v="2021"/>
    <s v="Q1"/>
    <x v="0"/>
    <x v="1"/>
    <x v="2"/>
    <x v="411"/>
    <x v="1"/>
    <n v="15"/>
    <x v="169"/>
    <n v="81.63"/>
    <n v="17.84"/>
    <n v="20.29"/>
    <n v="3.52"/>
    <n v="303.2"/>
    <n v="959"/>
    <n v="4"/>
    <n v="141"/>
  </r>
  <r>
    <n v="439"/>
    <s v="2020-12-31"/>
    <n v="2021"/>
    <s v="Q1"/>
    <x v="0"/>
    <x v="7"/>
    <x v="3"/>
    <x v="412"/>
    <x v="3"/>
    <n v="14"/>
    <x v="259"/>
    <n v="82.26"/>
    <n v="34.04"/>
    <n v="11.61"/>
    <n v="5.09"/>
    <n v="118.05"/>
    <n v="346"/>
    <n v="2"/>
    <n v="56"/>
  </r>
  <r>
    <n v="440"/>
    <s v="2021-01-09"/>
    <n v="2021"/>
    <s v="Q1"/>
    <x v="0"/>
    <x v="1"/>
    <x v="3"/>
    <x v="413"/>
    <x v="3"/>
    <n v="18"/>
    <x v="291"/>
    <n v="80.28"/>
    <n v="27.28"/>
    <n v="6.9"/>
    <n v="14.54"/>
    <n v="288.26"/>
    <n v="748"/>
    <n v="4"/>
    <n v="168"/>
  </r>
  <r>
    <n v="441"/>
    <s v="2021-01-25"/>
    <n v="2021"/>
    <s v="Q1"/>
    <x v="0"/>
    <x v="4"/>
    <x v="2"/>
    <x v="414"/>
    <x v="3"/>
    <n v="44"/>
    <x v="92"/>
    <n v="77.27"/>
    <n v="21.73"/>
    <n v="19.989999999999998"/>
    <n v="10.18"/>
    <n v="241.65"/>
    <n v="781"/>
    <n v="2"/>
    <n v="221"/>
  </r>
  <r>
    <n v="442"/>
    <s v="2021-01-22"/>
    <n v="2021"/>
    <s v="Q1"/>
    <x v="0"/>
    <x v="6"/>
    <x v="4"/>
    <x v="415"/>
    <x v="4"/>
    <n v="12"/>
    <x v="292"/>
    <n v="78.900000000000006"/>
    <n v="22.09"/>
    <n v="18.09"/>
    <n v="15.67"/>
    <n v="312.73"/>
    <n v="150"/>
    <n v="1"/>
    <n v="56"/>
  </r>
  <r>
    <n v="443"/>
    <s v="2021-02-11"/>
    <n v="2021"/>
    <s v="Q1"/>
    <x v="1"/>
    <x v="2"/>
    <x v="3"/>
    <x v="416"/>
    <x v="2"/>
    <n v="14"/>
    <x v="44"/>
    <n v="84.06"/>
    <n v="26.83"/>
    <n v="16.43"/>
    <n v="11.25"/>
    <n v="502.92"/>
    <n v="333"/>
    <n v="3"/>
    <n v="154"/>
  </r>
  <r>
    <n v="444"/>
    <s v="2021-02-23"/>
    <n v="2021"/>
    <s v="Q1"/>
    <x v="1"/>
    <x v="5"/>
    <x v="3"/>
    <x v="417"/>
    <x v="3"/>
    <n v="25"/>
    <x v="196"/>
    <n v="89.86"/>
    <n v="28.87"/>
    <n v="4.12"/>
    <n v="12.1"/>
    <n v="167.99"/>
    <n v="198"/>
    <n v="3"/>
    <n v="183"/>
  </r>
  <r>
    <n v="445"/>
    <s v="2021-02-03"/>
    <n v="2021"/>
    <s v="Q1"/>
    <x v="1"/>
    <x v="6"/>
    <x v="2"/>
    <x v="418"/>
    <x v="2"/>
    <n v="37"/>
    <x v="293"/>
    <n v="76.290000000000006"/>
    <n v="27.31"/>
    <n v="2.4700000000000002"/>
    <n v="14.9"/>
    <n v="532.66"/>
    <n v="822"/>
    <n v="5"/>
    <n v="213"/>
  </r>
  <r>
    <n v="446"/>
    <s v="2021-02-17"/>
    <n v="2021"/>
    <s v="Q1"/>
    <x v="1"/>
    <x v="4"/>
    <x v="4"/>
    <x v="419"/>
    <x v="3"/>
    <n v="18"/>
    <x v="192"/>
    <n v="81.34"/>
    <n v="6.35"/>
    <n v="21.36"/>
    <n v="8.31"/>
    <n v="468.6"/>
    <n v="775"/>
    <n v="4"/>
    <n v="67"/>
  </r>
  <r>
    <n v="447"/>
    <s v="2021-02-06"/>
    <n v="2021"/>
    <s v="Q1"/>
    <x v="1"/>
    <x v="5"/>
    <x v="1"/>
    <x v="420"/>
    <x v="4"/>
    <n v="13"/>
    <x v="294"/>
    <n v="78.45"/>
    <n v="7.84"/>
    <n v="9.8800000000000008"/>
    <n v="7.26"/>
    <n v="324.05"/>
    <n v="315"/>
    <n v="4"/>
    <n v="154"/>
  </r>
  <r>
    <n v="448"/>
    <s v="2021-02-20"/>
    <n v="2021"/>
    <s v="Q1"/>
    <x v="1"/>
    <x v="0"/>
    <x v="4"/>
    <x v="421"/>
    <x v="0"/>
    <n v="5"/>
    <x v="289"/>
    <n v="80.209999999999994"/>
    <n v="6.05"/>
    <n v="18.23"/>
    <n v="12.65"/>
    <n v="149.87"/>
    <n v="944"/>
    <n v="1"/>
    <n v="52"/>
  </r>
  <r>
    <n v="449"/>
    <s v="2021-02-21"/>
    <n v="2021"/>
    <s v="Q1"/>
    <x v="1"/>
    <x v="3"/>
    <x v="3"/>
    <x v="422"/>
    <x v="3"/>
    <n v="40"/>
    <x v="295"/>
    <n v="79.06"/>
    <n v="23.16"/>
    <n v="5.33"/>
    <n v="4.68"/>
    <n v="530.64"/>
    <n v="203"/>
    <n v="3"/>
    <n v="234"/>
  </r>
  <r>
    <n v="450"/>
    <s v="2021-02-25"/>
    <n v="2021"/>
    <s v="Q1"/>
    <x v="1"/>
    <x v="7"/>
    <x v="0"/>
    <x v="423"/>
    <x v="0"/>
    <n v="26"/>
    <x v="35"/>
    <n v="87.18"/>
    <n v="25.09"/>
    <n v="6.58"/>
    <n v="4.68"/>
    <n v="389.68"/>
    <n v="829"/>
    <n v="4"/>
    <n v="217"/>
  </r>
  <r>
    <n v="451"/>
    <s v="2021-02-16"/>
    <n v="2021"/>
    <s v="Q1"/>
    <x v="1"/>
    <x v="0"/>
    <x v="2"/>
    <x v="424"/>
    <x v="0"/>
    <n v="22"/>
    <x v="296"/>
    <n v="91.12"/>
    <n v="6.35"/>
    <n v="9.49"/>
    <n v="3.59"/>
    <n v="433.58"/>
    <n v="984"/>
    <n v="1"/>
    <n v="146"/>
  </r>
  <r>
    <n v="452"/>
    <s v="2021-02-05"/>
    <n v="2021"/>
    <s v="Q1"/>
    <x v="1"/>
    <x v="7"/>
    <x v="4"/>
    <x v="425"/>
    <x v="0"/>
    <n v="11"/>
    <x v="297"/>
    <n v="92.97"/>
    <n v="12.25"/>
    <n v="16.059999999999999"/>
    <n v="15.24"/>
    <n v="466.4"/>
    <n v="700"/>
    <n v="2"/>
    <n v="57"/>
  </r>
  <r>
    <n v="453"/>
    <s v="2021-02-21"/>
    <n v="2021"/>
    <s v="Q1"/>
    <x v="1"/>
    <x v="1"/>
    <x v="2"/>
    <x v="426"/>
    <x v="1"/>
    <n v="7"/>
    <x v="157"/>
    <n v="84.49"/>
    <n v="28.19"/>
    <n v="8.01"/>
    <n v="8.69"/>
    <n v="130.52000000000001"/>
    <n v="886"/>
    <n v="5"/>
    <n v="153"/>
  </r>
  <r>
    <n v="454"/>
    <s v="2021-02-21"/>
    <n v="2021"/>
    <s v="Q1"/>
    <x v="1"/>
    <x v="2"/>
    <x v="4"/>
    <x v="427"/>
    <x v="0"/>
    <n v="24"/>
    <x v="217"/>
    <n v="89.11"/>
    <n v="17.13"/>
    <n v="16.28"/>
    <n v="1.32"/>
    <n v="116.24"/>
    <n v="1017"/>
    <n v="5"/>
    <n v="79"/>
  </r>
  <r>
    <n v="455"/>
    <s v="2021-02-04"/>
    <n v="2021"/>
    <s v="Q1"/>
    <x v="1"/>
    <x v="2"/>
    <x v="2"/>
    <x v="428"/>
    <x v="4"/>
    <n v="34"/>
    <x v="298"/>
    <n v="83.07"/>
    <n v="14.04"/>
    <n v="14.27"/>
    <n v="2.62"/>
    <n v="328.91"/>
    <n v="186"/>
    <n v="2"/>
    <n v="212"/>
  </r>
  <r>
    <n v="456"/>
    <s v="2021-02-22"/>
    <n v="2021"/>
    <s v="Q1"/>
    <x v="1"/>
    <x v="0"/>
    <x v="3"/>
    <x v="429"/>
    <x v="1"/>
    <n v="24"/>
    <x v="299"/>
    <n v="77.84"/>
    <n v="25.09"/>
    <n v="2.99"/>
    <n v="7.98"/>
    <n v="549.04999999999995"/>
    <n v="857"/>
    <n v="4"/>
    <n v="193"/>
  </r>
  <r>
    <n v="457"/>
    <s v="2021-02-08"/>
    <n v="2021"/>
    <s v="Q1"/>
    <x v="1"/>
    <x v="4"/>
    <x v="0"/>
    <x v="430"/>
    <x v="3"/>
    <n v="1"/>
    <x v="52"/>
    <n v="85.46"/>
    <n v="14.5"/>
    <n v="15.82"/>
    <n v="4.9400000000000004"/>
    <n v="191.75"/>
    <n v="912"/>
    <n v="1"/>
    <n v="109"/>
  </r>
  <r>
    <n v="458"/>
    <s v="2021-02-24"/>
    <n v="2021"/>
    <s v="Q1"/>
    <x v="1"/>
    <x v="3"/>
    <x v="1"/>
    <x v="431"/>
    <x v="0"/>
    <n v="24"/>
    <x v="300"/>
    <n v="94.3"/>
    <n v="9.89"/>
    <n v="14.34"/>
    <n v="9.68"/>
    <n v="390.92"/>
    <n v="617"/>
    <n v="3"/>
    <n v="121"/>
  </r>
  <r>
    <n v="459"/>
    <s v="2021-02-09"/>
    <n v="2021"/>
    <s v="Q1"/>
    <x v="1"/>
    <x v="1"/>
    <x v="1"/>
    <x v="432"/>
    <x v="1"/>
    <n v="9"/>
    <x v="38"/>
    <n v="94.29"/>
    <n v="9.27"/>
    <n v="8.4600000000000009"/>
    <n v="7.12"/>
    <n v="488.38"/>
    <n v="820"/>
    <n v="4"/>
    <n v="183"/>
  </r>
  <r>
    <n v="460"/>
    <s v="2021-02-12"/>
    <n v="2021"/>
    <s v="Q1"/>
    <x v="1"/>
    <x v="2"/>
    <x v="4"/>
    <x v="433"/>
    <x v="1"/>
    <n v="18"/>
    <x v="301"/>
    <n v="80.48"/>
    <n v="13.61"/>
    <n v="19.329999999999998"/>
    <n v="3.95"/>
    <n v="472.64"/>
    <n v="515"/>
    <n v="5"/>
    <n v="130"/>
  </r>
  <r>
    <n v="461"/>
    <s v="2021-02-14"/>
    <n v="2021"/>
    <s v="Q1"/>
    <x v="1"/>
    <x v="5"/>
    <x v="1"/>
    <x v="434"/>
    <x v="4"/>
    <n v="33"/>
    <x v="210"/>
    <n v="85.16"/>
    <n v="17.73"/>
    <n v="18.670000000000002"/>
    <n v="8.25"/>
    <n v="497.11"/>
    <n v="230"/>
    <n v="1"/>
    <n v="163"/>
  </r>
  <r>
    <n v="462"/>
    <s v="2021-02-02"/>
    <n v="2021"/>
    <s v="Q1"/>
    <x v="1"/>
    <x v="6"/>
    <x v="0"/>
    <x v="435"/>
    <x v="0"/>
    <n v="2"/>
    <x v="12"/>
    <n v="93.13"/>
    <n v="23.85"/>
    <n v="16.18"/>
    <n v="8.48"/>
    <n v="100.49"/>
    <n v="915"/>
    <n v="5"/>
    <n v="92"/>
  </r>
  <r>
    <n v="463"/>
    <s v="2021-02-20"/>
    <n v="2021"/>
    <s v="Q1"/>
    <x v="1"/>
    <x v="5"/>
    <x v="0"/>
    <x v="436"/>
    <x v="2"/>
    <n v="50"/>
    <x v="86"/>
    <n v="78.55"/>
    <n v="7.22"/>
    <n v="13.8"/>
    <n v="1.83"/>
    <n v="315.17"/>
    <n v="599"/>
    <n v="5"/>
    <n v="214"/>
  </r>
  <r>
    <n v="464"/>
    <s v="2021-02-26"/>
    <n v="2021"/>
    <s v="Q1"/>
    <x v="1"/>
    <x v="5"/>
    <x v="0"/>
    <x v="437"/>
    <x v="4"/>
    <n v="12"/>
    <x v="302"/>
    <n v="83.08"/>
    <n v="19.05"/>
    <n v="4.91"/>
    <n v="7.11"/>
    <n v="517.13"/>
    <n v="891"/>
    <n v="1"/>
    <n v="141"/>
  </r>
  <r>
    <n v="465"/>
    <s v="2021-02-20"/>
    <n v="2021"/>
    <s v="Q1"/>
    <x v="1"/>
    <x v="0"/>
    <x v="1"/>
    <x v="438"/>
    <x v="1"/>
    <n v="8"/>
    <x v="261"/>
    <n v="80.680000000000007"/>
    <n v="10.65"/>
    <n v="17.59"/>
    <n v="12.55"/>
    <n v="498.15"/>
    <n v="720"/>
    <n v="2"/>
    <n v="159"/>
  </r>
  <r>
    <n v="466"/>
    <s v="2021-02-01"/>
    <n v="2021"/>
    <s v="Q1"/>
    <x v="1"/>
    <x v="2"/>
    <x v="2"/>
    <x v="439"/>
    <x v="3"/>
    <n v="7"/>
    <x v="200"/>
    <n v="86.86"/>
    <n v="25.62"/>
    <n v="8.84"/>
    <n v="9.89"/>
    <n v="129.27000000000001"/>
    <n v="765"/>
    <n v="5"/>
    <n v="248"/>
  </r>
  <r>
    <n v="467"/>
    <s v="2021-02-10"/>
    <n v="2021"/>
    <s v="Q1"/>
    <x v="1"/>
    <x v="5"/>
    <x v="2"/>
    <x v="440"/>
    <x v="3"/>
    <n v="17"/>
    <x v="92"/>
    <n v="89.68"/>
    <n v="29.91"/>
    <n v="15.11"/>
    <n v="3.61"/>
    <n v="153.94"/>
    <n v="1020"/>
    <n v="4"/>
    <n v="169"/>
  </r>
  <r>
    <n v="468"/>
    <s v="2021-02-02"/>
    <n v="2021"/>
    <s v="Q1"/>
    <x v="1"/>
    <x v="1"/>
    <x v="2"/>
    <x v="441"/>
    <x v="4"/>
    <n v="24"/>
    <x v="15"/>
    <n v="78.12"/>
    <n v="19.57"/>
    <n v="7.06"/>
    <n v="12.65"/>
    <n v="411.09"/>
    <n v="760"/>
    <n v="3"/>
    <n v="73"/>
  </r>
  <r>
    <n v="469"/>
    <s v="2021-02-26"/>
    <n v="2021"/>
    <s v="Q1"/>
    <x v="1"/>
    <x v="7"/>
    <x v="1"/>
    <x v="442"/>
    <x v="4"/>
    <n v="7"/>
    <x v="138"/>
    <n v="92.5"/>
    <n v="25.78"/>
    <n v="10.35"/>
    <n v="11.13"/>
    <n v="594.12"/>
    <n v="737"/>
    <n v="5"/>
    <n v="191"/>
  </r>
  <r>
    <n v="470"/>
    <s v="2021-02-24"/>
    <n v="2021"/>
    <s v="Q1"/>
    <x v="1"/>
    <x v="1"/>
    <x v="0"/>
    <x v="443"/>
    <x v="0"/>
    <n v="11"/>
    <x v="303"/>
    <n v="91.72"/>
    <n v="16.010000000000002"/>
    <n v="17.940000000000001"/>
    <n v="9.7899999999999991"/>
    <n v="215.54"/>
    <n v="865"/>
    <n v="1"/>
    <n v="113"/>
  </r>
  <r>
    <n v="471"/>
    <s v="2021-02-13"/>
    <n v="2021"/>
    <s v="Q1"/>
    <x v="1"/>
    <x v="1"/>
    <x v="3"/>
    <x v="444"/>
    <x v="3"/>
    <n v="46"/>
    <x v="304"/>
    <n v="90.85"/>
    <n v="33.96"/>
    <n v="6.75"/>
    <n v="10.14"/>
    <n v="577.82000000000005"/>
    <n v="1068"/>
    <n v="2"/>
    <n v="89"/>
  </r>
  <r>
    <n v="472"/>
    <s v="2021-02-22"/>
    <n v="2021"/>
    <s v="Q1"/>
    <x v="1"/>
    <x v="2"/>
    <x v="2"/>
    <x v="445"/>
    <x v="0"/>
    <n v="14"/>
    <x v="305"/>
    <n v="90.23"/>
    <n v="28.51"/>
    <n v="16.45"/>
    <n v="7.43"/>
    <n v="249.34"/>
    <n v="455"/>
    <n v="1"/>
    <n v="139"/>
  </r>
  <r>
    <n v="473"/>
    <s v="2021-02-04"/>
    <n v="2021"/>
    <s v="Q1"/>
    <x v="1"/>
    <x v="6"/>
    <x v="1"/>
    <x v="446"/>
    <x v="1"/>
    <n v="10"/>
    <x v="27"/>
    <n v="75.39"/>
    <n v="17.79"/>
    <n v="14.64"/>
    <n v="14.68"/>
    <n v="337.94"/>
    <n v="407"/>
    <n v="2"/>
    <n v="178"/>
  </r>
  <r>
    <n v="474"/>
    <s v="2021-02-13"/>
    <n v="2021"/>
    <s v="Q1"/>
    <x v="1"/>
    <x v="5"/>
    <x v="2"/>
    <x v="447"/>
    <x v="2"/>
    <n v="40"/>
    <x v="306"/>
    <n v="90.81"/>
    <n v="28.21"/>
    <n v="6.89"/>
    <n v="14.88"/>
    <n v="551.37"/>
    <n v="720"/>
    <n v="2"/>
    <n v="96"/>
  </r>
  <r>
    <n v="475"/>
    <s v="2021-02-05"/>
    <n v="2021"/>
    <s v="Q1"/>
    <x v="1"/>
    <x v="0"/>
    <x v="0"/>
    <x v="448"/>
    <x v="1"/>
    <n v="17"/>
    <x v="62"/>
    <n v="85.62"/>
    <n v="26.93"/>
    <n v="8.82"/>
    <n v="2.2999999999999998"/>
    <n v="308.73"/>
    <n v="435"/>
    <n v="3"/>
    <n v="142"/>
  </r>
  <r>
    <n v="476"/>
    <s v="2021-02-08"/>
    <n v="2021"/>
    <s v="Q1"/>
    <x v="1"/>
    <x v="3"/>
    <x v="4"/>
    <x v="449"/>
    <x v="0"/>
    <n v="27"/>
    <x v="50"/>
    <n v="83.71"/>
    <n v="32.08"/>
    <n v="8.09"/>
    <n v="1.46"/>
    <n v="306.07"/>
    <n v="679"/>
    <n v="4"/>
    <n v="119"/>
  </r>
  <r>
    <n v="477"/>
    <s v="2021-03-17"/>
    <n v="2021"/>
    <s v="Q1"/>
    <x v="2"/>
    <x v="0"/>
    <x v="2"/>
    <x v="450"/>
    <x v="1"/>
    <n v="45"/>
    <x v="307"/>
    <n v="85.9"/>
    <n v="29.52"/>
    <n v="20.25"/>
    <n v="14.14"/>
    <n v="532.13"/>
    <n v="240"/>
    <n v="5"/>
    <n v="208"/>
  </r>
  <r>
    <n v="478"/>
    <s v="2021-03-15"/>
    <n v="2021"/>
    <s v="Q1"/>
    <x v="2"/>
    <x v="7"/>
    <x v="3"/>
    <x v="451"/>
    <x v="2"/>
    <n v="1"/>
    <x v="308"/>
    <n v="90.5"/>
    <n v="9.65"/>
    <n v="20.55"/>
    <n v="10.29"/>
    <n v="153.58000000000001"/>
    <n v="798"/>
    <n v="4"/>
    <n v="163"/>
  </r>
  <r>
    <n v="479"/>
    <s v="2021-03-17"/>
    <n v="2021"/>
    <s v="Q1"/>
    <x v="2"/>
    <x v="0"/>
    <x v="0"/>
    <x v="420"/>
    <x v="1"/>
    <n v="1"/>
    <x v="309"/>
    <n v="80.67"/>
    <n v="23.04"/>
    <n v="11.43"/>
    <n v="1.86"/>
    <n v="267.61"/>
    <n v="1047"/>
    <n v="5"/>
    <n v="107"/>
  </r>
  <r>
    <n v="480"/>
    <s v="2021-03-22"/>
    <n v="2021"/>
    <s v="Q1"/>
    <x v="2"/>
    <x v="1"/>
    <x v="2"/>
    <x v="452"/>
    <x v="2"/>
    <n v="34"/>
    <x v="49"/>
    <n v="84.58"/>
    <n v="32.07"/>
    <n v="2.63"/>
    <n v="14.25"/>
    <n v="467.68"/>
    <n v="184"/>
    <n v="5"/>
    <n v="150"/>
  </r>
  <r>
    <n v="481"/>
    <s v="2021-03-03"/>
    <n v="2021"/>
    <s v="Q1"/>
    <x v="2"/>
    <x v="0"/>
    <x v="2"/>
    <x v="453"/>
    <x v="0"/>
    <n v="30"/>
    <x v="310"/>
    <n v="89.88"/>
    <n v="17.510000000000002"/>
    <n v="17.5"/>
    <n v="5.38"/>
    <n v="494.65"/>
    <n v="313"/>
    <n v="5"/>
    <n v="141"/>
  </r>
  <r>
    <n v="482"/>
    <s v="2021-03-12"/>
    <n v="2021"/>
    <s v="Q1"/>
    <x v="2"/>
    <x v="4"/>
    <x v="1"/>
    <x v="454"/>
    <x v="3"/>
    <n v="3"/>
    <x v="311"/>
    <n v="92.22"/>
    <n v="10.98"/>
    <n v="10.09"/>
    <n v="13.45"/>
    <n v="570.21"/>
    <n v="825"/>
    <n v="1"/>
    <n v="200"/>
  </r>
  <r>
    <n v="483"/>
    <s v="2021-03-11"/>
    <n v="2021"/>
    <s v="Q1"/>
    <x v="2"/>
    <x v="1"/>
    <x v="2"/>
    <x v="396"/>
    <x v="4"/>
    <n v="19"/>
    <x v="312"/>
    <n v="89.9"/>
    <n v="9.9700000000000006"/>
    <n v="3"/>
    <n v="8.93"/>
    <n v="242.59"/>
    <n v="235"/>
    <n v="1"/>
    <n v="160"/>
  </r>
  <r>
    <n v="484"/>
    <s v="2021-03-04"/>
    <n v="2021"/>
    <s v="Q1"/>
    <x v="2"/>
    <x v="5"/>
    <x v="1"/>
    <x v="455"/>
    <x v="2"/>
    <n v="7"/>
    <x v="234"/>
    <n v="78.569999999999993"/>
    <n v="31.07"/>
    <n v="18.170000000000002"/>
    <n v="7.92"/>
    <n v="332.51"/>
    <n v="791"/>
    <n v="1"/>
    <n v="247"/>
  </r>
  <r>
    <n v="485"/>
    <s v="2021-03-16"/>
    <n v="2021"/>
    <s v="Q1"/>
    <x v="2"/>
    <x v="0"/>
    <x v="0"/>
    <x v="456"/>
    <x v="1"/>
    <n v="5"/>
    <x v="87"/>
    <n v="94.68"/>
    <n v="28.52"/>
    <n v="5.0599999999999996"/>
    <n v="2.36"/>
    <n v="362.11"/>
    <n v="955"/>
    <n v="3"/>
    <n v="120"/>
  </r>
  <r>
    <n v="486"/>
    <s v="2021-03-24"/>
    <n v="2021"/>
    <s v="Q1"/>
    <x v="2"/>
    <x v="7"/>
    <x v="3"/>
    <x v="457"/>
    <x v="0"/>
    <n v="14"/>
    <x v="132"/>
    <n v="82.06"/>
    <n v="21.49"/>
    <n v="4.33"/>
    <n v="8.6199999999999992"/>
    <n v="224.42"/>
    <n v="779"/>
    <n v="4"/>
    <n v="53"/>
  </r>
  <r>
    <n v="487"/>
    <s v="2021-03-26"/>
    <n v="2021"/>
    <s v="Q1"/>
    <x v="2"/>
    <x v="1"/>
    <x v="4"/>
    <x v="458"/>
    <x v="2"/>
    <n v="33"/>
    <x v="313"/>
    <n v="79.55"/>
    <n v="28.12"/>
    <n v="17.29"/>
    <n v="7.4"/>
    <n v="559.58000000000004"/>
    <n v="137"/>
    <n v="4"/>
    <n v="78"/>
  </r>
  <r>
    <n v="488"/>
    <s v="2021-03-23"/>
    <n v="2021"/>
    <s v="Q1"/>
    <x v="2"/>
    <x v="3"/>
    <x v="1"/>
    <x v="459"/>
    <x v="3"/>
    <n v="19"/>
    <x v="314"/>
    <n v="86.18"/>
    <n v="12.8"/>
    <n v="20.04"/>
    <n v="4.43"/>
    <n v="327.61"/>
    <n v="376"/>
    <n v="2"/>
    <n v="52"/>
  </r>
  <r>
    <n v="489"/>
    <s v="2021-03-19"/>
    <n v="2021"/>
    <s v="Q1"/>
    <x v="2"/>
    <x v="5"/>
    <x v="2"/>
    <x v="460"/>
    <x v="4"/>
    <n v="24"/>
    <x v="122"/>
    <n v="76.42"/>
    <n v="18.7"/>
    <n v="12.39"/>
    <n v="1.37"/>
    <n v="114.57"/>
    <n v="861"/>
    <n v="1"/>
    <n v="98"/>
  </r>
  <r>
    <n v="490"/>
    <s v="2021-03-21"/>
    <n v="2021"/>
    <s v="Q1"/>
    <x v="2"/>
    <x v="5"/>
    <x v="2"/>
    <x v="461"/>
    <x v="3"/>
    <n v="21"/>
    <x v="195"/>
    <n v="81.72"/>
    <n v="15.91"/>
    <n v="2.86"/>
    <n v="1.83"/>
    <n v="257.39999999999998"/>
    <n v="404"/>
    <n v="4"/>
    <n v="80"/>
  </r>
  <r>
    <n v="491"/>
    <s v="2021-03-04"/>
    <n v="2021"/>
    <s v="Q1"/>
    <x v="2"/>
    <x v="1"/>
    <x v="0"/>
    <x v="462"/>
    <x v="0"/>
    <n v="28"/>
    <x v="205"/>
    <n v="90.25"/>
    <n v="17.86"/>
    <n v="20.73"/>
    <n v="5.61"/>
    <n v="347.62"/>
    <n v="751"/>
    <n v="4"/>
    <n v="192"/>
  </r>
  <r>
    <n v="492"/>
    <s v="2021-03-27"/>
    <n v="2021"/>
    <s v="Q1"/>
    <x v="2"/>
    <x v="0"/>
    <x v="4"/>
    <x v="463"/>
    <x v="0"/>
    <n v="27"/>
    <x v="315"/>
    <n v="75.14"/>
    <n v="7.7"/>
    <n v="15.03"/>
    <n v="10.93"/>
    <n v="344.92"/>
    <n v="351"/>
    <n v="2"/>
    <n v="84"/>
  </r>
  <r>
    <n v="493"/>
    <s v="2021-03-14"/>
    <n v="2021"/>
    <s v="Q1"/>
    <x v="2"/>
    <x v="1"/>
    <x v="0"/>
    <x v="464"/>
    <x v="0"/>
    <n v="46"/>
    <x v="124"/>
    <n v="86.25"/>
    <n v="29.05"/>
    <n v="6.05"/>
    <n v="11.94"/>
    <n v="123.63"/>
    <n v="1036"/>
    <n v="5"/>
    <n v="53"/>
  </r>
  <r>
    <n v="494"/>
    <s v="2021-03-24"/>
    <n v="2021"/>
    <s v="Q1"/>
    <x v="2"/>
    <x v="3"/>
    <x v="4"/>
    <x v="465"/>
    <x v="3"/>
    <n v="8"/>
    <x v="68"/>
    <n v="94.17"/>
    <n v="10.11"/>
    <n v="20.39"/>
    <n v="3.17"/>
    <n v="388.27"/>
    <n v="723"/>
    <n v="5"/>
    <n v="210"/>
  </r>
  <r>
    <n v="495"/>
    <s v="2021-03-03"/>
    <n v="2021"/>
    <s v="Q1"/>
    <x v="2"/>
    <x v="3"/>
    <x v="4"/>
    <x v="466"/>
    <x v="1"/>
    <n v="38"/>
    <x v="123"/>
    <n v="81.489999999999995"/>
    <n v="7.32"/>
    <n v="12.37"/>
    <n v="8.6999999999999993"/>
    <n v="272.68"/>
    <n v="1071"/>
    <n v="3"/>
    <n v="186"/>
  </r>
  <r>
    <n v="496"/>
    <s v="2021-03-20"/>
    <n v="2021"/>
    <s v="Q1"/>
    <x v="2"/>
    <x v="6"/>
    <x v="3"/>
    <x v="467"/>
    <x v="3"/>
    <n v="10"/>
    <x v="197"/>
    <n v="90.95"/>
    <n v="29.08"/>
    <n v="11.51"/>
    <n v="8.25"/>
    <n v="157.13"/>
    <n v="525"/>
    <n v="5"/>
    <n v="242"/>
  </r>
  <r>
    <n v="497"/>
    <s v="2021-03-07"/>
    <n v="2021"/>
    <s v="Q1"/>
    <x v="2"/>
    <x v="4"/>
    <x v="0"/>
    <x v="468"/>
    <x v="1"/>
    <n v="14"/>
    <x v="316"/>
    <n v="89.61"/>
    <n v="5.49"/>
    <n v="2.4700000000000002"/>
    <n v="6.89"/>
    <n v="518.4"/>
    <n v="286"/>
    <n v="2"/>
    <n v="199"/>
  </r>
  <r>
    <n v="498"/>
    <s v="2021-03-23"/>
    <n v="2021"/>
    <s v="Q1"/>
    <x v="2"/>
    <x v="0"/>
    <x v="2"/>
    <x v="335"/>
    <x v="2"/>
    <n v="17"/>
    <x v="317"/>
    <n v="93.47"/>
    <n v="26.37"/>
    <n v="9.9600000000000009"/>
    <n v="6.62"/>
    <n v="484.18"/>
    <n v="1094"/>
    <n v="4"/>
    <n v="222"/>
  </r>
  <r>
    <n v="499"/>
    <s v="2021-03-20"/>
    <n v="2021"/>
    <s v="Q1"/>
    <x v="2"/>
    <x v="4"/>
    <x v="3"/>
    <x v="469"/>
    <x v="2"/>
    <n v="23"/>
    <x v="318"/>
    <n v="79.36"/>
    <n v="23.24"/>
    <n v="19.63"/>
    <n v="13.4"/>
    <n v="445.91"/>
    <n v="219"/>
    <n v="2"/>
    <n v="88"/>
  </r>
  <r>
    <n v="500"/>
    <s v="2021-03-06"/>
    <n v="2021"/>
    <s v="Q1"/>
    <x v="2"/>
    <x v="6"/>
    <x v="3"/>
    <x v="470"/>
    <x v="0"/>
    <n v="16"/>
    <x v="319"/>
    <n v="79.13"/>
    <n v="6.33"/>
    <n v="8.25"/>
    <n v="3.91"/>
    <n v="514.02"/>
    <n v="488"/>
    <n v="4"/>
    <n v="131"/>
  </r>
  <r>
    <n v="501"/>
    <s v="2021-03-21"/>
    <n v="2021"/>
    <s v="Q1"/>
    <x v="2"/>
    <x v="0"/>
    <x v="0"/>
    <x v="471"/>
    <x v="4"/>
    <n v="9"/>
    <x v="63"/>
    <n v="92.09"/>
    <n v="23.4"/>
    <n v="19.11"/>
    <n v="7.08"/>
    <n v="489.08"/>
    <n v="100"/>
    <n v="4"/>
    <n v="104"/>
  </r>
  <r>
    <n v="502"/>
    <s v="2021-03-25"/>
    <n v="2021"/>
    <s v="Q1"/>
    <x v="2"/>
    <x v="6"/>
    <x v="2"/>
    <x v="370"/>
    <x v="2"/>
    <n v="30"/>
    <x v="268"/>
    <n v="92.18"/>
    <n v="25.22"/>
    <n v="13.21"/>
    <n v="3.02"/>
    <n v="109.72"/>
    <n v="1013"/>
    <n v="3"/>
    <n v="107"/>
  </r>
  <r>
    <n v="503"/>
    <s v="2021-03-03"/>
    <n v="2021"/>
    <s v="Q1"/>
    <x v="2"/>
    <x v="6"/>
    <x v="0"/>
    <x v="472"/>
    <x v="1"/>
    <n v="32"/>
    <x v="188"/>
    <n v="91.14"/>
    <n v="15.53"/>
    <n v="12.24"/>
    <n v="2.34"/>
    <n v="255.79"/>
    <n v="104"/>
    <n v="3"/>
    <n v="65"/>
  </r>
  <r>
    <n v="504"/>
    <s v="2021-03-04"/>
    <n v="2021"/>
    <s v="Q1"/>
    <x v="2"/>
    <x v="4"/>
    <x v="2"/>
    <x v="473"/>
    <x v="2"/>
    <n v="43"/>
    <x v="89"/>
    <n v="87.81"/>
    <n v="24.85"/>
    <n v="20.48"/>
    <n v="5.25"/>
    <n v="156.78"/>
    <n v="378"/>
    <n v="2"/>
    <n v="193"/>
  </r>
  <r>
    <n v="505"/>
    <s v="2021-03-26"/>
    <n v="2021"/>
    <s v="Q1"/>
    <x v="2"/>
    <x v="4"/>
    <x v="1"/>
    <x v="474"/>
    <x v="1"/>
    <n v="37"/>
    <x v="320"/>
    <n v="90.28"/>
    <n v="11.02"/>
    <n v="19.78"/>
    <n v="2.79"/>
    <n v="249.29"/>
    <n v="111"/>
    <n v="4"/>
    <n v="124"/>
  </r>
  <r>
    <n v="506"/>
    <s v="2021-03-13"/>
    <n v="2021"/>
    <s v="Q1"/>
    <x v="2"/>
    <x v="5"/>
    <x v="1"/>
    <x v="475"/>
    <x v="2"/>
    <n v="29"/>
    <x v="277"/>
    <n v="87.3"/>
    <n v="8.18"/>
    <n v="19.96"/>
    <n v="6.74"/>
    <n v="231.89"/>
    <n v="703"/>
    <n v="1"/>
    <n v="140"/>
  </r>
  <r>
    <n v="507"/>
    <s v="2021-03-15"/>
    <n v="2021"/>
    <s v="Q1"/>
    <x v="2"/>
    <x v="6"/>
    <x v="4"/>
    <x v="476"/>
    <x v="0"/>
    <n v="25"/>
    <x v="279"/>
    <n v="78.03"/>
    <n v="29.15"/>
    <n v="6.78"/>
    <n v="9.7899999999999991"/>
    <n v="241.87"/>
    <n v="782"/>
    <n v="2"/>
    <n v="102"/>
  </r>
  <r>
    <n v="508"/>
    <s v="2021-03-18"/>
    <n v="2021"/>
    <s v="Q1"/>
    <x v="2"/>
    <x v="6"/>
    <x v="3"/>
    <x v="477"/>
    <x v="4"/>
    <n v="29"/>
    <x v="9"/>
    <n v="85.46"/>
    <n v="26.61"/>
    <n v="17.760000000000002"/>
    <n v="1.1499999999999999"/>
    <n v="135.88999999999999"/>
    <n v="544"/>
    <n v="4"/>
    <n v="85"/>
  </r>
  <r>
    <n v="509"/>
    <s v="2021-02-28"/>
    <n v="2021"/>
    <s v="Q1"/>
    <x v="2"/>
    <x v="5"/>
    <x v="2"/>
    <x v="62"/>
    <x v="2"/>
    <n v="47"/>
    <x v="246"/>
    <n v="86.21"/>
    <n v="11.5"/>
    <n v="14.37"/>
    <n v="2.36"/>
    <n v="355.25"/>
    <n v="934"/>
    <n v="5"/>
    <n v="73"/>
  </r>
  <r>
    <n v="510"/>
    <s v="2021-03-04"/>
    <n v="2021"/>
    <s v="Q1"/>
    <x v="2"/>
    <x v="2"/>
    <x v="3"/>
    <x v="478"/>
    <x v="0"/>
    <n v="44"/>
    <x v="321"/>
    <n v="78.650000000000006"/>
    <n v="33.57"/>
    <n v="18.440000000000001"/>
    <n v="5.9"/>
    <n v="289.06"/>
    <n v="299"/>
    <n v="1"/>
    <n v="195"/>
  </r>
  <r>
    <n v="511"/>
    <s v="2021-04-05"/>
    <n v="2021"/>
    <s v="Q2"/>
    <x v="3"/>
    <x v="2"/>
    <x v="2"/>
    <x v="479"/>
    <x v="1"/>
    <n v="44"/>
    <x v="322"/>
    <n v="76.17"/>
    <n v="12.42"/>
    <n v="5.0199999999999996"/>
    <n v="5.23"/>
    <n v="536.21"/>
    <n v="386"/>
    <n v="1"/>
    <n v="202"/>
  </r>
  <r>
    <n v="512"/>
    <s v="2021-04-10"/>
    <n v="2021"/>
    <s v="Q2"/>
    <x v="3"/>
    <x v="5"/>
    <x v="4"/>
    <x v="480"/>
    <x v="4"/>
    <n v="8"/>
    <x v="323"/>
    <n v="88.6"/>
    <n v="6.12"/>
    <n v="20.010000000000002"/>
    <n v="10.93"/>
    <n v="221.33"/>
    <n v="1034"/>
    <n v="3"/>
    <n v="111"/>
  </r>
  <r>
    <n v="513"/>
    <s v="2021-04-10"/>
    <n v="2021"/>
    <s v="Q2"/>
    <x v="3"/>
    <x v="0"/>
    <x v="4"/>
    <x v="481"/>
    <x v="2"/>
    <n v="37"/>
    <x v="324"/>
    <n v="88.78"/>
    <n v="31.11"/>
    <n v="2.12"/>
    <n v="10.08"/>
    <n v="219.04"/>
    <n v="613"/>
    <n v="3"/>
    <n v="205"/>
  </r>
  <r>
    <n v="514"/>
    <s v="2021-04-08"/>
    <n v="2021"/>
    <s v="Q2"/>
    <x v="3"/>
    <x v="5"/>
    <x v="1"/>
    <x v="482"/>
    <x v="3"/>
    <n v="19"/>
    <x v="300"/>
    <n v="76.83"/>
    <n v="29.78"/>
    <n v="7.35"/>
    <n v="15.69"/>
    <n v="383.53"/>
    <n v="221"/>
    <n v="5"/>
    <n v="240"/>
  </r>
  <r>
    <n v="515"/>
    <s v="2021-04-21"/>
    <n v="2021"/>
    <s v="Q2"/>
    <x v="3"/>
    <x v="7"/>
    <x v="4"/>
    <x v="483"/>
    <x v="1"/>
    <n v="32"/>
    <x v="167"/>
    <n v="76.069999999999993"/>
    <n v="30.58"/>
    <n v="10.95"/>
    <n v="7.62"/>
    <n v="384.49"/>
    <n v="645"/>
    <n v="5"/>
    <n v="51"/>
  </r>
  <r>
    <n v="516"/>
    <s v="2021-04-16"/>
    <n v="2021"/>
    <s v="Q2"/>
    <x v="3"/>
    <x v="2"/>
    <x v="1"/>
    <x v="484"/>
    <x v="1"/>
    <n v="47"/>
    <x v="121"/>
    <n v="80.180000000000007"/>
    <n v="30.2"/>
    <n v="9.36"/>
    <n v="15.61"/>
    <n v="399.24"/>
    <n v="541"/>
    <n v="2"/>
    <n v="159"/>
  </r>
  <r>
    <n v="517"/>
    <s v="2021-03-31"/>
    <n v="2021"/>
    <s v="Q2"/>
    <x v="3"/>
    <x v="1"/>
    <x v="1"/>
    <x v="485"/>
    <x v="1"/>
    <n v="50"/>
    <x v="102"/>
    <n v="92.85"/>
    <n v="13.33"/>
    <n v="5.76"/>
    <n v="15.6"/>
    <n v="135.79"/>
    <n v="1044"/>
    <n v="3"/>
    <n v="212"/>
  </r>
  <r>
    <n v="518"/>
    <s v="2021-04-26"/>
    <n v="2021"/>
    <s v="Q2"/>
    <x v="3"/>
    <x v="6"/>
    <x v="2"/>
    <x v="486"/>
    <x v="4"/>
    <n v="46"/>
    <x v="30"/>
    <n v="76.61"/>
    <n v="23.31"/>
    <n v="2.96"/>
    <n v="5.26"/>
    <n v="319.83"/>
    <n v="707"/>
    <n v="1"/>
    <n v="150"/>
  </r>
  <r>
    <n v="519"/>
    <s v="2021-04-01"/>
    <n v="2021"/>
    <s v="Q2"/>
    <x v="3"/>
    <x v="5"/>
    <x v="1"/>
    <x v="487"/>
    <x v="3"/>
    <n v="13"/>
    <x v="48"/>
    <n v="75.88"/>
    <n v="32.549999999999997"/>
    <n v="20.77"/>
    <n v="15.28"/>
    <n v="322.45"/>
    <n v="768"/>
    <n v="3"/>
    <n v="165"/>
  </r>
  <r>
    <n v="520"/>
    <s v="2021-04-11"/>
    <n v="2021"/>
    <s v="Q2"/>
    <x v="3"/>
    <x v="4"/>
    <x v="1"/>
    <x v="323"/>
    <x v="3"/>
    <n v="16"/>
    <x v="79"/>
    <n v="91.06"/>
    <n v="22.1"/>
    <n v="2.2999999999999998"/>
    <n v="7.39"/>
    <n v="548.33000000000004"/>
    <n v="261"/>
    <n v="3"/>
    <n v="202"/>
  </r>
  <r>
    <n v="521"/>
    <s v="2021-04-25"/>
    <n v="2021"/>
    <s v="Q2"/>
    <x v="3"/>
    <x v="4"/>
    <x v="4"/>
    <x v="488"/>
    <x v="4"/>
    <n v="47"/>
    <x v="254"/>
    <n v="89.1"/>
    <n v="14.22"/>
    <n v="17.170000000000002"/>
    <n v="3.5"/>
    <n v="339.9"/>
    <n v="482"/>
    <n v="1"/>
    <n v="240"/>
  </r>
  <r>
    <n v="522"/>
    <s v="2021-04-15"/>
    <n v="2021"/>
    <s v="Q2"/>
    <x v="3"/>
    <x v="0"/>
    <x v="0"/>
    <x v="35"/>
    <x v="1"/>
    <n v="27"/>
    <x v="284"/>
    <n v="80.88"/>
    <n v="21.45"/>
    <n v="11.58"/>
    <n v="8.8000000000000007"/>
    <n v="107.21"/>
    <n v="942"/>
    <n v="3"/>
    <n v="174"/>
  </r>
  <r>
    <n v="523"/>
    <s v="2021-04-13"/>
    <n v="2021"/>
    <s v="Q2"/>
    <x v="3"/>
    <x v="6"/>
    <x v="4"/>
    <x v="489"/>
    <x v="0"/>
    <n v="11"/>
    <x v="325"/>
    <n v="86.26"/>
    <n v="8.7799999999999994"/>
    <n v="15.68"/>
    <n v="12.05"/>
    <n v="436.09"/>
    <n v="868"/>
    <n v="5"/>
    <n v="249"/>
  </r>
  <r>
    <n v="524"/>
    <s v="2021-04-13"/>
    <n v="2021"/>
    <s v="Q2"/>
    <x v="3"/>
    <x v="7"/>
    <x v="4"/>
    <x v="490"/>
    <x v="3"/>
    <n v="8"/>
    <x v="326"/>
    <n v="75.34"/>
    <n v="19.02"/>
    <n v="12.21"/>
    <n v="11.93"/>
    <n v="469.21"/>
    <n v="1025"/>
    <n v="1"/>
    <n v="186"/>
  </r>
  <r>
    <n v="525"/>
    <s v="2021-04-10"/>
    <n v="2021"/>
    <s v="Q2"/>
    <x v="3"/>
    <x v="5"/>
    <x v="2"/>
    <x v="199"/>
    <x v="4"/>
    <n v="43"/>
    <x v="281"/>
    <n v="81.72"/>
    <n v="20.41"/>
    <n v="14.19"/>
    <n v="1.25"/>
    <n v="229.2"/>
    <n v="574"/>
    <n v="1"/>
    <n v="116"/>
  </r>
  <r>
    <n v="526"/>
    <s v="2021-04-23"/>
    <n v="2021"/>
    <s v="Q2"/>
    <x v="3"/>
    <x v="2"/>
    <x v="3"/>
    <x v="491"/>
    <x v="1"/>
    <n v="12"/>
    <x v="327"/>
    <n v="93.44"/>
    <n v="13.79"/>
    <n v="15.76"/>
    <n v="7.53"/>
    <n v="595.96"/>
    <n v="130"/>
    <n v="4"/>
    <n v="85"/>
  </r>
  <r>
    <n v="527"/>
    <s v="2021-04-24"/>
    <n v="2021"/>
    <s v="Q2"/>
    <x v="3"/>
    <x v="2"/>
    <x v="2"/>
    <x v="492"/>
    <x v="4"/>
    <n v="4"/>
    <x v="292"/>
    <n v="77.599999999999994"/>
    <n v="32.67"/>
    <n v="9.64"/>
    <n v="10.68"/>
    <n v="303.49"/>
    <n v="299"/>
    <n v="3"/>
    <n v="65"/>
  </r>
  <r>
    <n v="528"/>
    <s v="2021-04-08"/>
    <n v="2021"/>
    <s v="Q2"/>
    <x v="3"/>
    <x v="4"/>
    <x v="1"/>
    <x v="493"/>
    <x v="2"/>
    <n v="47"/>
    <x v="328"/>
    <n v="87.35"/>
    <n v="28.61"/>
    <n v="2.7"/>
    <n v="2.19"/>
    <n v="272.91000000000003"/>
    <n v="957"/>
    <n v="2"/>
    <n v="236"/>
  </r>
  <r>
    <n v="529"/>
    <s v="2021-04-11"/>
    <n v="2021"/>
    <s v="Q2"/>
    <x v="3"/>
    <x v="5"/>
    <x v="3"/>
    <x v="494"/>
    <x v="1"/>
    <n v="41"/>
    <x v="60"/>
    <n v="79.959999999999994"/>
    <n v="11.32"/>
    <n v="11.41"/>
    <n v="3.42"/>
    <n v="249.81"/>
    <n v="220"/>
    <n v="5"/>
    <n v="153"/>
  </r>
  <r>
    <n v="530"/>
    <s v="2021-04-18"/>
    <n v="2021"/>
    <s v="Q2"/>
    <x v="3"/>
    <x v="1"/>
    <x v="0"/>
    <x v="267"/>
    <x v="4"/>
    <n v="6"/>
    <x v="329"/>
    <n v="94.29"/>
    <n v="7.27"/>
    <n v="9.0399999999999991"/>
    <n v="8.68"/>
    <n v="347.27"/>
    <n v="974"/>
    <n v="3"/>
    <n v="210"/>
  </r>
  <r>
    <n v="531"/>
    <s v="2021-04-01"/>
    <n v="2021"/>
    <s v="Q2"/>
    <x v="3"/>
    <x v="5"/>
    <x v="3"/>
    <x v="495"/>
    <x v="0"/>
    <n v="8"/>
    <x v="330"/>
    <n v="81.09"/>
    <n v="26.43"/>
    <n v="17.3"/>
    <n v="10.68"/>
    <n v="507.89"/>
    <n v="841"/>
    <n v="1"/>
    <n v="242"/>
  </r>
  <r>
    <n v="532"/>
    <s v="2021-04-13"/>
    <n v="2021"/>
    <s v="Q2"/>
    <x v="3"/>
    <x v="6"/>
    <x v="4"/>
    <x v="496"/>
    <x v="2"/>
    <n v="26"/>
    <x v="331"/>
    <n v="87.66"/>
    <n v="22.36"/>
    <n v="10.54"/>
    <n v="12"/>
    <n v="311.75"/>
    <n v="740"/>
    <n v="4"/>
    <n v="190"/>
  </r>
  <r>
    <n v="533"/>
    <s v="2021-04-04"/>
    <n v="2021"/>
    <s v="Q2"/>
    <x v="3"/>
    <x v="3"/>
    <x v="0"/>
    <x v="497"/>
    <x v="3"/>
    <n v="14"/>
    <x v="332"/>
    <n v="92.2"/>
    <n v="30.5"/>
    <n v="12.72"/>
    <n v="2.85"/>
    <n v="258.87"/>
    <n v="748"/>
    <n v="2"/>
    <n v="76"/>
  </r>
  <r>
    <n v="534"/>
    <s v="2021-04-24"/>
    <n v="2021"/>
    <s v="Q2"/>
    <x v="3"/>
    <x v="0"/>
    <x v="4"/>
    <x v="498"/>
    <x v="1"/>
    <n v="30"/>
    <x v="4"/>
    <n v="87.66"/>
    <n v="5.95"/>
    <n v="20.55"/>
    <n v="7.84"/>
    <n v="561.75"/>
    <n v="1063"/>
    <n v="5"/>
    <n v="81"/>
  </r>
  <r>
    <n v="535"/>
    <s v="2021-03-31"/>
    <n v="2021"/>
    <s v="Q2"/>
    <x v="3"/>
    <x v="1"/>
    <x v="4"/>
    <x v="499"/>
    <x v="2"/>
    <n v="1"/>
    <x v="333"/>
    <n v="88.76"/>
    <n v="12.63"/>
    <n v="17.57"/>
    <n v="2.31"/>
    <n v="391.56"/>
    <n v="362"/>
    <n v="3"/>
    <n v="200"/>
  </r>
  <r>
    <n v="536"/>
    <s v="2021-04-15"/>
    <n v="2021"/>
    <s v="Q2"/>
    <x v="3"/>
    <x v="0"/>
    <x v="2"/>
    <x v="500"/>
    <x v="2"/>
    <n v="25"/>
    <x v="60"/>
    <n v="94"/>
    <n v="15.28"/>
    <n v="7.8"/>
    <n v="7.55"/>
    <n v="128.9"/>
    <n v="915"/>
    <n v="1"/>
    <n v="193"/>
  </r>
  <r>
    <n v="537"/>
    <s v="2021-04-24"/>
    <n v="2021"/>
    <s v="Q2"/>
    <x v="3"/>
    <x v="1"/>
    <x v="1"/>
    <x v="501"/>
    <x v="2"/>
    <n v="40"/>
    <x v="334"/>
    <n v="77.5"/>
    <n v="15.11"/>
    <n v="11.55"/>
    <n v="4.49"/>
    <n v="542.24"/>
    <n v="717"/>
    <n v="5"/>
    <n v="116"/>
  </r>
  <r>
    <n v="538"/>
    <s v="2021-03-31"/>
    <n v="2021"/>
    <s v="Q2"/>
    <x v="3"/>
    <x v="2"/>
    <x v="0"/>
    <x v="502"/>
    <x v="0"/>
    <n v="38"/>
    <x v="258"/>
    <n v="76.83"/>
    <n v="24.21"/>
    <n v="11.36"/>
    <n v="5.69"/>
    <n v="129.32"/>
    <n v="817"/>
    <n v="3"/>
    <n v="61"/>
  </r>
  <r>
    <n v="539"/>
    <s v="2021-04-14"/>
    <n v="2021"/>
    <s v="Q2"/>
    <x v="3"/>
    <x v="4"/>
    <x v="4"/>
    <x v="503"/>
    <x v="4"/>
    <n v="30"/>
    <x v="285"/>
    <n v="92.6"/>
    <n v="7.2"/>
    <n v="15.95"/>
    <n v="1.69"/>
    <n v="470.64"/>
    <n v="965"/>
    <n v="3"/>
    <n v="177"/>
  </r>
  <r>
    <n v="540"/>
    <s v="2021-04-16"/>
    <n v="2021"/>
    <s v="Q2"/>
    <x v="3"/>
    <x v="1"/>
    <x v="4"/>
    <x v="504"/>
    <x v="1"/>
    <n v="37"/>
    <x v="335"/>
    <n v="87.96"/>
    <n v="13.41"/>
    <n v="21.74"/>
    <n v="4.03"/>
    <n v="486.84"/>
    <n v="956"/>
    <n v="2"/>
    <n v="110"/>
  </r>
  <r>
    <n v="541"/>
    <s v="2021-04-13"/>
    <n v="2021"/>
    <s v="Q2"/>
    <x v="3"/>
    <x v="7"/>
    <x v="1"/>
    <x v="505"/>
    <x v="4"/>
    <n v="11"/>
    <x v="25"/>
    <n v="77.510000000000005"/>
    <n v="22.23"/>
    <n v="18.86"/>
    <n v="3.06"/>
    <n v="459.9"/>
    <n v="866"/>
    <n v="3"/>
    <n v="142"/>
  </r>
  <r>
    <n v="542"/>
    <s v="2021-04-02"/>
    <n v="2021"/>
    <s v="Q2"/>
    <x v="3"/>
    <x v="7"/>
    <x v="2"/>
    <x v="506"/>
    <x v="3"/>
    <n v="47"/>
    <x v="172"/>
    <n v="75.61"/>
    <n v="22.01"/>
    <n v="16.39"/>
    <n v="5.62"/>
    <n v="452.97"/>
    <n v="641"/>
    <n v="4"/>
    <n v="181"/>
  </r>
  <r>
    <n v="543"/>
    <s v="2021-04-26"/>
    <n v="2021"/>
    <s v="Q2"/>
    <x v="3"/>
    <x v="0"/>
    <x v="0"/>
    <x v="199"/>
    <x v="1"/>
    <n v="25"/>
    <x v="336"/>
    <n v="93.99"/>
    <n v="18.96"/>
    <n v="14.65"/>
    <n v="4.96"/>
    <n v="170.19"/>
    <n v="501"/>
    <n v="2"/>
    <n v="240"/>
  </r>
  <r>
    <n v="544"/>
    <s v="2021-04-18"/>
    <n v="2021"/>
    <s v="Q2"/>
    <x v="3"/>
    <x v="4"/>
    <x v="3"/>
    <x v="507"/>
    <x v="4"/>
    <n v="9"/>
    <x v="315"/>
    <n v="80.05"/>
    <n v="17.45"/>
    <n v="21.99"/>
    <n v="3.63"/>
    <n v="280.25"/>
    <n v="603"/>
    <n v="2"/>
    <n v="102"/>
  </r>
  <r>
    <n v="545"/>
    <s v="2021-05-03"/>
    <n v="2021"/>
    <s v="Q2"/>
    <x v="4"/>
    <x v="5"/>
    <x v="1"/>
    <x v="508"/>
    <x v="0"/>
    <n v="7"/>
    <x v="163"/>
    <n v="89.03"/>
    <n v="18.59"/>
    <n v="11.21"/>
    <n v="7.49"/>
    <n v="398.39"/>
    <n v="655"/>
    <n v="1"/>
    <n v="160"/>
  </r>
  <r>
    <n v="546"/>
    <s v="2021-05-23"/>
    <n v="2021"/>
    <s v="Q2"/>
    <x v="4"/>
    <x v="7"/>
    <x v="2"/>
    <x v="509"/>
    <x v="3"/>
    <n v="12"/>
    <x v="298"/>
    <n v="78.290000000000006"/>
    <n v="18.52"/>
    <n v="11.12"/>
    <n v="6.04"/>
    <n v="110.14"/>
    <n v="609"/>
    <n v="2"/>
    <n v="239"/>
  </r>
  <r>
    <n v="547"/>
    <s v="2021-05-10"/>
    <n v="2021"/>
    <s v="Q2"/>
    <x v="4"/>
    <x v="7"/>
    <x v="2"/>
    <x v="473"/>
    <x v="4"/>
    <n v="33"/>
    <x v="337"/>
    <n v="94.7"/>
    <n v="25.33"/>
    <n v="11.41"/>
    <n v="7.86"/>
    <n v="489.71"/>
    <n v="858"/>
    <n v="5"/>
    <n v="132"/>
  </r>
  <r>
    <n v="548"/>
    <s v="2021-05-06"/>
    <n v="2021"/>
    <s v="Q2"/>
    <x v="4"/>
    <x v="7"/>
    <x v="4"/>
    <x v="510"/>
    <x v="1"/>
    <n v="46"/>
    <x v="300"/>
    <n v="82.88"/>
    <n v="30.32"/>
    <n v="16.52"/>
    <n v="2.09"/>
    <n v="466.03"/>
    <n v="276"/>
    <n v="2"/>
    <n v="225"/>
  </r>
  <r>
    <n v="549"/>
    <s v="2021-05-11"/>
    <n v="2021"/>
    <s v="Q2"/>
    <x v="4"/>
    <x v="3"/>
    <x v="3"/>
    <x v="511"/>
    <x v="2"/>
    <n v="29"/>
    <x v="58"/>
    <n v="80.47"/>
    <n v="25.32"/>
    <n v="14.03"/>
    <n v="15.99"/>
    <n v="252.03"/>
    <n v="103"/>
    <n v="3"/>
    <n v="154"/>
  </r>
  <r>
    <n v="550"/>
    <s v="2021-05-25"/>
    <n v="2021"/>
    <s v="Q2"/>
    <x v="4"/>
    <x v="1"/>
    <x v="4"/>
    <x v="512"/>
    <x v="3"/>
    <n v="8"/>
    <x v="257"/>
    <n v="76.94"/>
    <n v="22.95"/>
    <n v="7.89"/>
    <n v="15.95"/>
    <n v="578.08000000000004"/>
    <n v="133"/>
    <n v="4"/>
    <n v="152"/>
  </r>
  <r>
    <n v="551"/>
    <s v="2021-05-05"/>
    <n v="2021"/>
    <s v="Q2"/>
    <x v="4"/>
    <x v="5"/>
    <x v="0"/>
    <x v="513"/>
    <x v="0"/>
    <n v="13"/>
    <x v="338"/>
    <n v="80.86"/>
    <n v="23.8"/>
    <n v="14.64"/>
    <n v="15.28"/>
    <n v="174.69"/>
    <n v="1012"/>
    <n v="4"/>
    <n v="156"/>
  </r>
  <r>
    <n v="552"/>
    <s v="2021-05-11"/>
    <n v="2021"/>
    <s v="Q2"/>
    <x v="4"/>
    <x v="7"/>
    <x v="0"/>
    <x v="514"/>
    <x v="1"/>
    <n v="49"/>
    <x v="163"/>
    <n v="80.319999999999993"/>
    <n v="34.020000000000003"/>
    <n v="6.55"/>
    <n v="9.34"/>
    <n v="381.21"/>
    <n v="375"/>
    <n v="1"/>
    <n v="185"/>
  </r>
  <r>
    <n v="553"/>
    <s v="2021-05-08"/>
    <n v="2021"/>
    <s v="Q2"/>
    <x v="4"/>
    <x v="2"/>
    <x v="0"/>
    <x v="515"/>
    <x v="1"/>
    <n v="10"/>
    <x v="339"/>
    <n v="82.87"/>
    <n v="26.57"/>
    <n v="11.5"/>
    <n v="9.0500000000000007"/>
    <n v="584.97"/>
    <n v="306"/>
    <n v="4"/>
    <n v="92"/>
  </r>
  <r>
    <n v="554"/>
    <s v="2021-05-22"/>
    <n v="2021"/>
    <s v="Q2"/>
    <x v="4"/>
    <x v="4"/>
    <x v="0"/>
    <x v="516"/>
    <x v="3"/>
    <n v="27"/>
    <x v="212"/>
    <n v="81.010000000000005"/>
    <n v="23.38"/>
    <n v="10.36"/>
    <n v="7.98"/>
    <n v="491.06"/>
    <n v="901"/>
    <n v="5"/>
    <n v="51"/>
  </r>
  <r>
    <n v="555"/>
    <s v="2021-05-14"/>
    <n v="2021"/>
    <s v="Q2"/>
    <x v="4"/>
    <x v="6"/>
    <x v="0"/>
    <x v="517"/>
    <x v="4"/>
    <n v="39"/>
    <x v="144"/>
    <n v="84.87"/>
    <n v="32.090000000000003"/>
    <n v="19.579999999999998"/>
    <n v="4.92"/>
    <n v="521.30999999999995"/>
    <n v="136"/>
    <n v="1"/>
    <n v="218"/>
  </r>
  <r>
    <n v="556"/>
    <s v="2021-05-09"/>
    <n v="2021"/>
    <s v="Q2"/>
    <x v="4"/>
    <x v="0"/>
    <x v="4"/>
    <x v="518"/>
    <x v="3"/>
    <n v="1"/>
    <x v="34"/>
    <n v="80.69"/>
    <n v="13.86"/>
    <n v="19.39"/>
    <n v="10.72"/>
    <n v="258.74"/>
    <n v="144"/>
    <n v="3"/>
    <n v="71"/>
  </r>
  <r>
    <n v="557"/>
    <s v="2021-05-13"/>
    <n v="2021"/>
    <s v="Q2"/>
    <x v="4"/>
    <x v="4"/>
    <x v="4"/>
    <x v="519"/>
    <x v="2"/>
    <n v="43"/>
    <x v="88"/>
    <n v="85.3"/>
    <n v="15.1"/>
    <n v="9.0500000000000007"/>
    <n v="7.95"/>
    <n v="431.47"/>
    <n v="348"/>
    <n v="5"/>
    <n v="96"/>
  </r>
  <r>
    <n v="558"/>
    <s v="2021-05-10"/>
    <n v="2021"/>
    <s v="Q2"/>
    <x v="4"/>
    <x v="3"/>
    <x v="1"/>
    <x v="520"/>
    <x v="1"/>
    <n v="30"/>
    <x v="340"/>
    <n v="81.599999999999994"/>
    <n v="18.11"/>
    <n v="14.9"/>
    <n v="12.18"/>
    <n v="104.44"/>
    <n v="135"/>
    <n v="1"/>
    <n v="108"/>
  </r>
  <r>
    <n v="559"/>
    <s v="2021-05-06"/>
    <n v="2021"/>
    <s v="Q2"/>
    <x v="4"/>
    <x v="0"/>
    <x v="2"/>
    <x v="521"/>
    <x v="4"/>
    <n v="39"/>
    <x v="112"/>
    <n v="85.37"/>
    <n v="34.08"/>
    <n v="13.28"/>
    <n v="12.92"/>
    <n v="220.18"/>
    <n v="835"/>
    <n v="1"/>
    <n v="193"/>
  </r>
  <r>
    <n v="560"/>
    <s v="2021-05-27"/>
    <n v="2021"/>
    <s v="Q2"/>
    <x v="4"/>
    <x v="2"/>
    <x v="3"/>
    <x v="522"/>
    <x v="1"/>
    <n v="24"/>
    <x v="102"/>
    <n v="80.8"/>
    <n v="9.2100000000000009"/>
    <n v="3.61"/>
    <n v="6.53"/>
    <n v="405.55"/>
    <n v="215"/>
    <n v="4"/>
    <n v="180"/>
  </r>
  <r>
    <n v="561"/>
    <s v="2021-05-10"/>
    <n v="2021"/>
    <s v="Q2"/>
    <x v="4"/>
    <x v="4"/>
    <x v="4"/>
    <x v="523"/>
    <x v="3"/>
    <n v="17"/>
    <x v="181"/>
    <n v="93.59"/>
    <n v="17.53"/>
    <n v="2.29"/>
    <n v="11.28"/>
    <n v="355.46"/>
    <n v="450"/>
    <n v="3"/>
    <n v="75"/>
  </r>
  <r>
    <n v="562"/>
    <s v="2021-05-16"/>
    <n v="2021"/>
    <s v="Q2"/>
    <x v="4"/>
    <x v="7"/>
    <x v="4"/>
    <x v="524"/>
    <x v="4"/>
    <n v="12"/>
    <x v="179"/>
    <n v="75.5"/>
    <n v="11.47"/>
    <n v="17.940000000000001"/>
    <n v="8.81"/>
    <n v="257.08"/>
    <n v="382"/>
    <n v="4"/>
    <n v="92"/>
  </r>
  <r>
    <n v="563"/>
    <s v="2021-05-01"/>
    <n v="2021"/>
    <s v="Q2"/>
    <x v="4"/>
    <x v="0"/>
    <x v="2"/>
    <x v="525"/>
    <x v="2"/>
    <n v="14"/>
    <x v="209"/>
    <n v="93.97"/>
    <n v="33.99"/>
    <n v="2.69"/>
    <n v="1.69"/>
    <n v="146.51"/>
    <n v="614"/>
    <n v="5"/>
    <n v="142"/>
  </r>
  <r>
    <n v="564"/>
    <s v="2021-05-08"/>
    <n v="2021"/>
    <s v="Q2"/>
    <x v="4"/>
    <x v="3"/>
    <x v="0"/>
    <x v="526"/>
    <x v="0"/>
    <n v="32"/>
    <x v="341"/>
    <n v="77.7"/>
    <n v="22.53"/>
    <n v="21.14"/>
    <n v="9.5"/>
    <n v="360.84"/>
    <n v="897"/>
    <n v="5"/>
    <n v="122"/>
  </r>
  <r>
    <n v="565"/>
    <s v="2021-04-30"/>
    <n v="2021"/>
    <s v="Q2"/>
    <x v="4"/>
    <x v="2"/>
    <x v="2"/>
    <x v="527"/>
    <x v="3"/>
    <n v="37"/>
    <x v="136"/>
    <n v="76.540000000000006"/>
    <n v="26.88"/>
    <n v="6.85"/>
    <n v="6.7"/>
    <n v="475.77"/>
    <n v="240"/>
    <n v="4"/>
    <n v="232"/>
  </r>
  <r>
    <n v="566"/>
    <s v="2021-05-26"/>
    <n v="2021"/>
    <s v="Q2"/>
    <x v="4"/>
    <x v="7"/>
    <x v="1"/>
    <x v="528"/>
    <x v="1"/>
    <n v="6"/>
    <x v="342"/>
    <n v="85.32"/>
    <n v="19.53"/>
    <n v="7.7"/>
    <n v="3.24"/>
    <n v="402.76"/>
    <n v="598"/>
    <n v="1"/>
    <n v="113"/>
  </r>
  <r>
    <n v="567"/>
    <s v="2021-05-14"/>
    <n v="2021"/>
    <s v="Q2"/>
    <x v="4"/>
    <x v="3"/>
    <x v="4"/>
    <x v="529"/>
    <x v="2"/>
    <n v="9"/>
    <x v="172"/>
    <n v="88.59"/>
    <n v="5.08"/>
    <n v="5.79"/>
    <n v="3.95"/>
    <n v="285.88"/>
    <n v="504"/>
    <n v="3"/>
    <n v="72"/>
  </r>
  <r>
    <n v="568"/>
    <s v="2021-05-18"/>
    <n v="2021"/>
    <s v="Q2"/>
    <x v="4"/>
    <x v="7"/>
    <x v="3"/>
    <x v="530"/>
    <x v="2"/>
    <n v="13"/>
    <x v="343"/>
    <n v="78.81"/>
    <n v="6.58"/>
    <n v="12.63"/>
    <n v="9.3699999999999992"/>
    <n v="287.73"/>
    <n v="326"/>
    <n v="5"/>
    <n v="209"/>
  </r>
  <r>
    <n v="569"/>
    <s v="2021-05-14"/>
    <n v="2021"/>
    <s v="Q2"/>
    <x v="4"/>
    <x v="6"/>
    <x v="0"/>
    <x v="531"/>
    <x v="0"/>
    <n v="6"/>
    <x v="301"/>
    <n v="86.55"/>
    <n v="11.05"/>
    <n v="10.02"/>
    <n v="11.9"/>
    <n v="218.63"/>
    <n v="1022"/>
    <n v="2"/>
    <n v="201"/>
  </r>
  <r>
    <n v="570"/>
    <s v="2021-05-08"/>
    <n v="2021"/>
    <s v="Q2"/>
    <x v="4"/>
    <x v="0"/>
    <x v="0"/>
    <x v="532"/>
    <x v="3"/>
    <n v="30"/>
    <x v="344"/>
    <n v="83.44"/>
    <n v="7.81"/>
    <n v="20.12"/>
    <n v="9.76"/>
    <n v="171.27"/>
    <n v="319"/>
    <n v="5"/>
    <n v="249"/>
  </r>
  <r>
    <n v="571"/>
    <s v="2021-05-05"/>
    <n v="2021"/>
    <s v="Q2"/>
    <x v="4"/>
    <x v="0"/>
    <x v="3"/>
    <x v="533"/>
    <x v="1"/>
    <n v="46"/>
    <x v="345"/>
    <n v="79.400000000000006"/>
    <n v="27.47"/>
    <n v="16.75"/>
    <n v="13.44"/>
    <n v="566.70000000000005"/>
    <n v="1088"/>
    <n v="4"/>
    <n v="129"/>
  </r>
  <r>
    <n v="572"/>
    <s v="2021-05-02"/>
    <n v="2021"/>
    <s v="Q2"/>
    <x v="4"/>
    <x v="7"/>
    <x v="3"/>
    <x v="71"/>
    <x v="4"/>
    <n v="10"/>
    <x v="346"/>
    <n v="94.01"/>
    <n v="19.559999999999999"/>
    <n v="21.33"/>
    <n v="5.49"/>
    <n v="293.45"/>
    <n v="713"/>
    <n v="5"/>
    <n v="217"/>
  </r>
  <r>
    <n v="573"/>
    <s v="2021-05-22"/>
    <n v="2021"/>
    <s v="Q2"/>
    <x v="4"/>
    <x v="0"/>
    <x v="1"/>
    <x v="534"/>
    <x v="1"/>
    <n v="28"/>
    <x v="221"/>
    <n v="87.01"/>
    <n v="8.6199999999999992"/>
    <n v="6.54"/>
    <n v="13.17"/>
    <n v="154.69"/>
    <n v="239"/>
    <n v="2"/>
    <n v="186"/>
  </r>
  <r>
    <n v="574"/>
    <s v="2021-05-04"/>
    <n v="2021"/>
    <s v="Q2"/>
    <x v="4"/>
    <x v="3"/>
    <x v="3"/>
    <x v="535"/>
    <x v="1"/>
    <n v="4"/>
    <x v="4"/>
    <n v="92.08"/>
    <n v="22.44"/>
    <n v="9.51"/>
    <n v="1.89"/>
    <n v="387.51"/>
    <n v="364"/>
    <n v="4"/>
    <n v="145"/>
  </r>
  <r>
    <n v="575"/>
    <s v="2021-05-06"/>
    <n v="2021"/>
    <s v="Q2"/>
    <x v="4"/>
    <x v="2"/>
    <x v="1"/>
    <x v="35"/>
    <x v="2"/>
    <n v="42"/>
    <x v="347"/>
    <n v="90"/>
    <n v="23.51"/>
    <n v="11.96"/>
    <n v="2.8"/>
    <n v="228.92"/>
    <n v="659"/>
    <n v="5"/>
    <n v="245"/>
  </r>
  <r>
    <n v="576"/>
    <s v="2021-05-15"/>
    <n v="2021"/>
    <s v="Q2"/>
    <x v="4"/>
    <x v="7"/>
    <x v="3"/>
    <x v="536"/>
    <x v="4"/>
    <n v="16"/>
    <x v="47"/>
    <n v="93.87"/>
    <n v="8.9600000000000009"/>
    <n v="2.76"/>
    <n v="6.62"/>
    <n v="346.46"/>
    <n v="474"/>
    <n v="1"/>
    <n v="177"/>
  </r>
  <r>
    <n v="577"/>
    <s v="2021-05-16"/>
    <n v="2021"/>
    <s v="Q2"/>
    <x v="4"/>
    <x v="2"/>
    <x v="3"/>
    <x v="537"/>
    <x v="4"/>
    <n v="20"/>
    <x v="348"/>
    <n v="75.97"/>
    <n v="8.67"/>
    <n v="4.62"/>
    <n v="13.42"/>
    <n v="523.29999999999995"/>
    <n v="533"/>
    <n v="2"/>
    <n v="123"/>
  </r>
  <r>
    <n v="578"/>
    <s v="2021-05-17"/>
    <n v="2021"/>
    <s v="Q2"/>
    <x v="4"/>
    <x v="3"/>
    <x v="2"/>
    <x v="538"/>
    <x v="1"/>
    <n v="35"/>
    <x v="349"/>
    <n v="80.790000000000006"/>
    <n v="21.2"/>
    <n v="2.0299999999999998"/>
    <n v="9.17"/>
    <n v="398.73"/>
    <n v="352"/>
    <n v="5"/>
    <n v="111"/>
  </r>
  <r>
    <n v="579"/>
    <s v="2021-06-02"/>
    <n v="2021"/>
    <s v="Q2"/>
    <x v="5"/>
    <x v="7"/>
    <x v="4"/>
    <x v="539"/>
    <x v="1"/>
    <n v="12"/>
    <x v="130"/>
    <n v="86"/>
    <n v="17.45"/>
    <n v="2.58"/>
    <n v="2.64"/>
    <n v="303.29000000000002"/>
    <n v="856"/>
    <n v="2"/>
    <n v="234"/>
  </r>
  <r>
    <n v="580"/>
    <s v="2021-06-09"/>
    <n v="2021"/>
    <s v="Q2"/>
    <x v="5"/>
    <x v="2"/>
    <x v="4"/>
    <x v="540"/>
    <x v="0"/>
    <n v="42"/>
    <x v="350"/>
    <n v="89.22"/>
    <n v="26.76"/>
    <n v="8.3699999999999992"/>
    <n v="8.9"/>
    <n v="549.65"/>
    <n v="363"/>
    <n v="1"/>
    <n v="165"/>
  </r>
  <r>
    <n v="581"/>
    <s v="2021-06-09"/>
    <n v="2021"/>
    <s v="Q2"/>
    <x v="5"/>
    <x v="4"/>
    <x v="2"/>
    <x v="267"/>
    <x v="0"/>
    <n v="25"/>
    <x v="351"/>
    <n v="78.08"/>
    <n v="18.73"/>
    <n v="12.61"/>
    <n v="7.85"/>
    <n v="529.44000000000005"/>
    <n v="501"/>
    <n v="4"/>
    <n v="195"/>
  </r>
  <r>
    <n v="582"/>
    <s v="2021-06-14"/>
    <n v="2021"/>
    <s v="Q2"/>
    <x v="5"/>
    <x v="2"/>
    <x v="1"/>
    <x v="541"/>
    <x v="0"/>
    <n v="37"/>
    <x v="251"/>
    <n v="75.14"/>
    <n v="10.82"/>
    <n v="21.97"/>
    <n v="10.58"/>
    <n v="243.56"/>
    <n v="948"/>
    <n v="4"/>
    <n v="117"/>
  </r>
  <r>
    <n v="583"/>
    <s v="2021-06-12"/>
    <n v="2021"/>
    <s v="Q2"/>
    <x v="5"/>
    <x v="5"/>
    <x v="0"/>
    <x v="542"/>
    <x v="0"/>
    <n v="14"/>
    <x v="129"/>
    <n v="78.55"/>
    <n v="28.21"/>
    <n v="6.1"/>
    <n v="15.8"/>
    <n v="537.89"/>
    <n v="793"/>
    <n v="4"/>
    <n v="187"/>
  </r>
  <r>
    <n v="584"/>
    <s v="2021-06-13"/>
    <n v="2021"/>
    <s v="Q2"/>
    <x v="5"/>
    <x v="7"/>
    <x v="4"/>
    <x v="543"/>
    <x v="4"/>
    <n v="39"/>
    <x v="21"/>
    <n v="76.17"/>
    <n v="24.48"/>
    <n v="4.37"/>
    <n v="11.62"/>
    <n v="304.43"/>
    <n v="1095"/>
    <n v="3"/>
    <n v="178"/>
  </r>
  <r>
    <n v="585"/>
    <s v="2021-06-21"/>
    <n v="2021"/>
    <s v="Q2"/>
    <x v="5"/>
    <x v="0"/>
    <x v="1"/>
    <x v="544"/>
    <x v="4"/>
    <n v="38"/>
    <x v="339"/>
    <n v="86.26"/>
    <n v="30.9"/>
    <n v="13.44"/>
    <n v="2.4500000000000002"/>
    <n v="288.39999999999998"/>
    <n v="495"/>
    <n v="2"/>
    <n v="106"/>
  </r>
  <r>
    <n v="586"/>
    <s v="2021-06-07"/>
    <n v="2021"/>
    <s v="Q2"/>
    <x v="5"/>
    <x v="3"/>
    <x v="4"/>
    <x v="545"/>
    <x v="0"/>
    <n v="23"/>
    <x v="263"/>
    <n v="88.68"/>
    <n v="30.49"/>
    <n v="8.98"/>
    <n v="2.82"/>
    <n v="402.83"/>
    <n v="1096"/>
    <n v="1"/>
    <n v="115"/>
  </r>
  <r>
    <n v="587"/>
    <s v="2021-06-25"/>
    <n v="2021"/>
    <s v="Q2"/>
    <x v="5"/>
    <x v="5"/>
    <x v="0"/>
    <x v="546"/>
    <x v="0"/>
    <n v="19"/>
    <x v="170"/>
    <n v="94.89"/>
    <n v="29.58"/>
    <n v="9.93"/>
    <n v="1.93"/>
    <n v="437.95"/>
    <n v="116"/>
    <n v="4"/>
    <n v="159"/>
  </r>
  <r>
    <n v="588"/>
    <s v="2021-06-01"/>
    <n v="2021"/>
    <s v="Q2"/>
    <x v="5"/>
    <x v="1"/>
    <x v="0"/>
    <x v="547"/>
    <x v="4"/>
    <n v="37"/>
    <x v="14"/>
    <n v="82.48"/>
    <n v="25.4"/>
    <n v="10.42"/>
    <n v="6.25"/>
    <n v="268.91000000000003"/>
    <n v="660"/>
    <n v="3"/>
    <n v="209"/>
  </r>
  <r>
    <n v="589"/>
    <s v="2021-06-23"/>
    <n v="2021"/>
    <s v="Q2"/>
    <x v="5"/>
    <x v="5"/>
    <x v="2"/>
    <x v="548"/>
    <x v="2"/>
    <n v="50"/>
    <x v="29"/>
    <n v="87.96"/>
    <n v="23.06"/>
    <n v="4.71"/>
    <n v="7.4"/>
    <n v="355.57"/>
    <n v="573"/>
    <n v="5"/>
    <n v="240"/>
  </r>
  <r>
    <n v="590"/>
    <s v="2021-06-12"/>
    <n v="2021"/>
    <s v="Q2"/>
    <x v="5"/>
    <x v="2"/>
    <x v="0"/>
    <x v="549"/>
    <x v="1"/>
    <n v="49"/>
    <x v="171"/>
    <n v="89.53"/>
    <n v="27.86"/>
    <n v="14.47"/>
    <n v="15.69"/>
    <n v="296.07"/>
    <n v="1013"/>
    <n v="3"/>
    <n v="60"/>
  </r>
  <r>
    <n v="591"/>
    <s v="2021-05-31"/>
    <n v="2021"/>
    <s v="Q2"/>
    <x v="5"/>
    <x v="2"/>
    <x v="2"/>
    <x v="550"/>
    <x v="0"/>
    <n v="20"/>
    <x v="352"/>
    <n v="89.46"/>
    <n v="18.989999999999998"/>
    <n v="16.579999999999998"/>
    <n v="5.68"/>
    <n v="262.16000000000003"/>
    <n v="654"/>
    <n v="3"/>
    <n v="142"/>
  </r>
  <r>
    <n v="592"/>
    <s v="2021-06-22"/>
    <n v="2021"/>
    <s v="Q2"/>
    <x v="5"/>
    <x v="2"/>
    <x v="4"/>
    <x v="551"/>
    <x v="2"/>
    <n v="20"/>
    <x v="90"/>
    <n v="80.540000000000006"/>
    <n v="27.82"/>
    <n v="15.39"/>
    <n v="13.9"/>
    <n v="244.4"/>
    <n v="174"/>
    <n v="3"/>
    <n v="52"/>
  </r>
  <r>
    <n v="593"/>
    <s v="2021-06-13"/>
    <n v="2021"/>
    <s v="Q2"/>
    <x v="5"/>
    <x v="6"/>
    <x v="1"/>
    <x v="552"/>
    <x v="3"/>
    <n v="2"/>
    <x v="353"/>
    <n v="94.24"/>
    <n v="20.49"/>
    <n v="2.95"/>
    <n v="8.35"/>
    <n v="553.49"/>
    <n v="606"/>
    <n v="4"/>
    <n v="56"/>
  </r>
  <r>
    <n v="594"/>
    <s v="2021-06-13"/>
    <n v="2021"/>
    <s v="Q2"/>
    <x v="5"/>
    <x v="5"/>
    <x v="0"/>
    <x v="553"/>
    <x v="1"/>
    <n v="49"/>
    <x v="108"/>
    <n v="83.63"/>
    <n v="27.49"/>
    <n v="4.4000000000000004"/>
    <n v="4.8099999999999996"/>
    <n v="130.1"/>
    <n v="675"/>
    <n v="3"/>
    <n v="169"/>
  </r>
  <r>
    <n v="595"/>
    <s v="2021-06-15"/>
    <n v="2021"/>
    <s v="Q2"/>
    <x v="5"/>
    <x v="5"/>
    <x v="2"/>
    <x v="554"/>
    <x v="1"/>
    <n v="45"/>
    <x v="146"/>
    <n v="89.56"/>
    <n v="9.59"/>
    <n v="17.100000000000001"/>
    <n v="9.98"/>
    <n v="416.34"/>
    <n v="800"/>
    <n v="2"/>
    <n v="174"/>
  </r>
  <r>
    <n v="596"/>
    <s v="2021-06-13"/>
    <n v="2021"/>
    <s v="Q2"/>
    <x v="5"/>
    <x v="4"/>
    <x v="2"/>
    <x v="555"/>
    <x v="2"/>
    <n v="1"/>
    <x v="63"/>
    <n v="80.19"/>
    <n v="7.71"/>
    <n v="11.24"/>
    <n v="2.63"/>
    <n v="264.8"/>
    <n v="231"/>
    <n v="5"/>
    <n v="177"/>
  </r>
  <r>
    <n v="597"/>
    <s v="2021-06-12"/>
    <n v="2021"/>
    <s v="Q2"/>
    <x v="5"/>
    <x v="1"/>
    <x v="2"/>
    <x v="556"/>
    <x v="4"/>
    <n v="47"/>
    <x v="157"/>
    <n v="78.66"/>
    <n v="27.41"/>
    <n v="4.62"/>
    <n v="3.06"/>
    <n v="142.85"/>
    <n v="942"/>
    <n v="2"/>
    <n v="237"/>
  </r>
  <r>
    <n v="598"/>
    <s v="2021-06-26"/>
    <n v="2021"/>
    <s v="Q2"/>
    <x v="5"/>
    <x v="1"/>
    <x v="2"/>
    <x v="557"/>
    <x v="2"/>
    <n v="22"/>
    <x v="220"/>
    <n v="88.34"/>
    <n v="21.2"/>
    <n v="13.79"/>
    <n v="7.46"/>
    <n v="333.59"/>
    <n v="376"/>
    <n v="3"/>
    <n v="145"/>
  </r>
  <r>
    <n v="599"/>
    <s v="2021-05-31"/>
    <n v="2021"/>
    <s v="Q2"/>
    <x v="5"/>
    <x v="2"/>
    <x v="2"/>
    <x v="558"/>
    <x v="4"/>
    <n v="41"/>
    <x v="354"/>
    <n v="90.94"/>
    <n v="22.06"/>
    <n v="7.07"/>
    <n v="15.79"/>
    <n v="458.55"/>
    <n v="638"/>
    <n v="4"/>
    <n v="75"/>
  </r>
  <r>
    <n v="600"/>
    <s v="2021-06-01"/>
    <n v="2021"/>
    <s v="Q2"/>
    <x v="5"/>
    <x v="0"/>
    <x v="0"/>
    <x v="559"/>
    <x v="0"/>
    <n v="42"/>
    <x v="352"/>
    <n v="88.89"/>
    <n v="20.149999999999999"/>
    <n v="7.92"/>
    <n v="8.57"/>
    <n v="406.4"/>
    <n v="1049"/>
    <n v="5"/>
    <n v="83"/>
  </r>
  <r>
    <n v="601"/>
    <s v="2021-06-26"/>
    <n v="2021"/>
    <s v="Q2"/>
    <x v="5"/>
    <x v="6"/>
    <x v="4"/>
    <x v="299"/>
    <x v="1"/>
    <n v="9"/>
    <x v="355"/>
    <n v="93.12"/>
    <n v="12.17"/>
    <n v="21.74"/>
    <n v="13.47"/>
    <n v="149.88999999999999"/>
    <n v="656"/>
    <n v="1"/>
    <n v="101"/>
  </r>
  <r>
    <n v="602"/>
    <s v="2021-06-26"/>
    <n v="2021"/>
    <s v="Q2"/>
    <x v="5"/>
    <x v="4"/>
    <x v="0"/>
    <x v="560"/>
    <x v="3"/>
    <n v="20"/>
    <x v="327"/>
    <n v="79.989999999999995"/>
    <n v="21.79"/>
    <n v="11.22"/>
    <n v="7.66"/>
    <n v="487.61"/>
    <n v="943"/>
    <n v="4"/>
    <n v="152"/>
  </r>
  <r>
    <n v="603"/>
    <s v="2021-06-14"/>
    <n v="2021"/>
    <s v="Q2"/>
    <x v="5"/>
    <x v="5"/>
    <x v="1"/>
    <x v="106"/>
    <x v="2"/>
    <n v="10"/>
    <x v="40"/>
    <n v="87.88"/>
    <n v="16.38"/>
    <n v="7.58"/>
    <n v="5.61"/>
    <n v="505.68"/>
    <n v="671"/>
    <n v="3"/>
    <n v="59"/>
  </r>
  <r>
    <n v="604"/>
    <s v="2021-06-20"/>
    <n v="2021"/>
    <s v="Q2"/>
    <x v="5"/>
    <x v="2"/>
    <x v="2"/>
    <x v="561"/>
    <x v="0"/>
    <n v="30"/>
    <x v="356"/>
    <n v="90.89"/>
    <n v="12.57"/>
    <n v="4.04"/>
    <n v="15.65"/>
    <n v="226.96"/>
    <n v="993"/>
    <n v="4"/>
    <n v="114"/>
  </r>
  <r>
    <n v="605"/>
    <s v="2021-06-05"/>
    <n v="2021"/>
    <s v="Q2"/>
    <x v="5"/>
    <x v="7"/>
    <x v="4"/>
    <x v="562"/>
    <x v="0"/>
    <n v="34"/>
    <x v="357"/>
    <n v="76.790000000000006"/>
    <n v="16.91"/>
    <n v="9.73"/>
    <n v="15.23"/>
    <n v="542.21"/>
    <n v="746"/>
    <n v="5"/>
    <n v="165"/>
  </r>
  <r>
    <n v="606"/>
    <s v="2021-06-25"/>
    <n v="2021"/>
    <s v="Q2"/>
    <x v="5"/>
    <x v="3"/>
    <x v="2"/>
    <x v="563"/>
    <x v="2"/>
    <n v="39"/>
    <x v="358"/>
    <n v="77.06"/>
    <n v="15.2"/>
    <n v="16.420000000000002"/>
    <n v="2.1"/>
    <n v="556.28"/>
    <n v="191"/>
    <n v="3"/>
    <n v="191"/>
  </r>
  <r>
    <n v="607"/>
    <s v="2021-06-25"/>
    <n v="2021"/>
    <s v="Q2"/>
    <x v="5"/>
    <x v="3"/>
    <x v="2"/>
    <x v="95"/>
    <x v="0"/>
    <n v="20"/>
    <x v="146"/>
    <n v="92.66"/>
    <n v="11.81"/>
    <n v="3.4"/>
    <n v="9.4600000000000009"/>
    <n v="281.62"/>
    <n v="1015"/>
    <n v="3"/>
    <n v="168"/>
  </r>
  <r>
    <n v="608"/>
    <s v="2021-06-25"/>
    <n v="2021"/>
    <s v="Q2"/>
    <x v="5"/>
    <x v="0"/>
    <x v="0"/>
    <x v="564"/>
    <x v="0"/>
    <n v="35"/>
    <x v="328"/>
    <n v="76.599999999999994"/>
    <n v="5.59"/>
    <n v="9.85"/>
    <n v="2.5299999999999998"/>
    <n v="546.29"/>
    <n v="1041"/>
    <n v="3"/>
    <n v="244"/>
  </r>
  <r>
    <n v="609"/>
    <s v="2021-06-16"/>
    <n v="2021"/>
    <s v="Q2"/>
    <x v="5"/>
    <x v="0"/>
    <x v="4"/>
    <x v="565"/>
    <x v="4"/>
    <n v="3"/>
    <x v="341"/>
    <n v="91.83"/>
    <n v="12.76"/>
    <n v="18.14"/>
    <n v="5.3"/>
    <n v="227.41"/>
    <n v="176"/>
    <n v="3"/>
    <n v="198"/>
  </r>
  <r>
    <n v="610"/>
    <s v="2021-06-03"/>
    <n v="2021"/>
    <s v="Q2"/>
    <x v="5"/>
    <x v="2"/>
    <x v="3"/>
    <x v="177"/>
    <x v="0"/>
    <n v="38"/>
    <x v="166"/>
    <n v="91.41"/>
    <n v="13.71"/>
    <n v="7.45"/>
    <n v="14.49"/>
    <n v="124.32"/>
    <n v="557"/>
    <n v="3"/>
    <n v="121"/>
  </r>
  <r>
    <n v="611"/>
    <s v="2021-06-04"/>
    <n v="2021"/>
    <s v="Q2"/>
    <x v="5"/>
    <x v="6"/>
    <x v="1"/>
    <x v="566"/>
    <x v="1"/>
    <n v="24"/>
    <x v="253"/>
    <n v="86.72"/>
    <n v="5.17"/>
    <n v="13.41"/>
    <n v="4.18"/>
    <n v="314.47000000000003"/>
    <n v="156"/>
    <n v="4"/>
    <n v="227"/>
  </r>
  <r>
    <n v="612"/>
    <s v="2021-06-26"/>
    <n v="2021"/>
    <s v="Q2"/>
    <x v="5"/>
    <x v="4"/>
    <x v="2"/>
    <x v="567"/>
    <x v="2"/>
    <n v="32"/>
    <x v="49"/>
    <n v="85.95"/>
    <n v="23.65"/>
    <n v="2.69"/>
    <n v="6.54"/>
    <n v="361.89"/>
    <n v="500"/>
    <n v="5"/>
    <n v="241"/>
  </r>
  <r>
    <n v="613"/>
    <s v="2021-07-08"/>
    <n v="2021"/>
    <s v="Q3"/>
    <x v="6"/>
    <x v="3"/>
    <x v="0"/>
    <x v="568"/>
    <x v="0"/>
    <n v="20"/>
    <x v="359"/>
    <n v="82.77"/>
    <n v="9.0500000000000007"/>
    <n v="15.89"/>
    <n v="12.59"/>
    <n v="525.16"/>
    <n v="922"/>
    <n v="2"/>
    <n v="240"/>
  </r>
  <r>
    <n v="614"/>
    <s v="2021-07-12"/>
    <n v="2021"/>
    <s v="Q3"/>
    <x v="6"/>
    <x v="5"/>
    <x v="4"/>
    <x v="569"/>
    <x v="3"/>
    <n v="35"/>
    <x v="304"/>
    <n v="79.459999999999994"/>
    <n v="29.18"/>
    <n v="16.72"/>
    <n v="7.83"/>
    <n v="303.85000000000002"/>
    <n v="292"/>
    <n v="3"/>
    <n v="150"/>
  </r>
  <r>
    <n v="615"/>
    <s v="2021-07-16"/>
    <n v="2021"/>
    <s v="Q3"/>
    <x v="6"/>
    <x v="6"/>
    <x v="4"/>
    <x v="570"/>
    <x v="2"/>
    <n v="33"/>
    <x v="112"/>
    <n v="93.7"/>
    <n v="15.33"/>
    <n v="21.54"/>
    <n v="10.63"/>
    <n v="576.73"/>
    <n v="968"/>
    <n v="1"/>
    <n v="110"/>
  </r>
  <r>
    <n v="616"/>
    <s v="2021-07-23"/>
    <n v="2021"/>
    <s v="Q3"/>
    <x v="6"/>
    <x v="4"/>
    <x v="4"/>
    <x v="571"/>
    <x v="1"/>
    <n v="22"/>
    <x v="360"/>
    <n v="84.46"/>
    <n v="19.11"/>
    <n v="11.5"/>
    <n v="9.86"/>
    <n v="433.34"/>
    <n v="290"/>
    <n v="1"/>
    <n v="197"/>
  </r>
  <r>
    <n v="617"/>
    <s v="2021-07-01"/>
    <n v="2021"/>
    <s v="Q3"/>
    <x v="6"/>
    <x v="0"/>
    <x v="3"/>
    <x v="572"/>
    <x v="1"/>
    <n v="8"/>
    <x v="361"/>
    <n v="93.59"/>
    <n v="19.32"/>
    <n v="20.18"/>
    <n v="2.04"/>
    <n v="418.86"/>
    <n v="291"/>
    <n v="4"/>
    <n v="137"/>
  </r>
  <r>
    <n v="618"/>
    <s v="2021-07-12"/>
    <n v="2021"/>
    <s v="Q3"/>
    <x v="6"/>
    <x v="0"/>
    <x v="3"/>
    <x v="573"/>
    <x v="0"/>
    <n v="48"/>
    <x v="264"/>
    <n v="79.33"/>
    <n v="8.23"/>
    <n v="9.51"/>
    <n v="4.95"/>
    <n v="190.72"/>
    <n v="1085"/>
    <n v="3"/>
    <n v="149"/>
  </r>
  <r>
    <n v="619"/>
    <s v="2021-07-03"/>
    <n v="2021"/>
    <s v="Q3"/>
    <x v="6"/>
    <x v="0"/>
    <x v="0"/>
    <x v="574"/>
    <x v="0"/>
    <n v="14"/>
    <x v="251"/>
    <n v="94.54"/>
    <n v="8.41"/>
    <n v="14.63"/>
    <n v="8.23"/>
    <n v="154.99"/>
    <n v="327"/>
    <n v="4"/>
    <n v="172"/>
  </r>
  <r>
    <n v="620"/>
    <s v="2021-07-18"/>
    <n v="2021"/>
    <s v="Q3"/>
    <x v="6"/>
    <x v="2"/>
    <x v="1"/>
    <x v="575"/>
    <x v="3"/>
    <n v="2"/>
    <x v="274"/>
    <n v="80.94"/>
    <n v="22.7"/>
    <n v="11.99"/>
    <n v="9.84"/>
    <n v="362.89"/>
    <n v="307"/>
    <n v="2"/>
    <n v="65"/>
  </r>
  <r>
    <n v="621"/>
    <s v="2021-07-13"/>
    <n v="2021"/>
    <s v="Q3"/>
    <x v="6"/>
    <x v="0"/>
    <x v="4"/>
    <x v="576"/>
    <x v="3"/>
    <n v="50"/>
    <x v="138"/>
    <n v="89.62"/>
    <n v="15.89"/>
    <n v="8.49"/>
    <n v="10.93"/>
    <n v="227.78"/>
    <n v="778"/>
    <n v="2"/>
    <n v="152"/>
  </r>
  <r>
    <n v="622"/>
    <s v="2021-07-07"/>
    <n v="2021"/>
    <s v="Q3"/>
    <x v="6"/>
    <x v="0"/>
    <x v="0"/>
    <x v="577"/>
    <x v="1"/>
    <n v="26"/>
    <x v="259"/>
    <n v="84.41"/>
    <n v="9.51"/>
    <n v="17.690000000000001"/>
    <n v="5.81"/>
    <n v="478.82"/>
    <n v="687"/>
    <n v="2"/>
    <n v="218"/>
  </r>
  <r>
    <n v="623"/>
    <s v="2021-07-16"/>
    <n v="2021"/>
    <s v="Q3"/>
    <x v="6"/>
    <x v="7"/>
    <x v="2"/>
    <x v="578"/>
    <x v="0"/>
    <n v="21"/>
    <x v="362"/>
    <n v="88.06"/>
    <n v="10.09"/>
    <n v="17.41"/>
    <n v="1.53"/>
    <n v="143.76"/>
    <n v="125"/>
    <n v="2"/>
    <n v="231"/>
  </r>
  <r>
    <n v="624"/>
    <s v="2021-07-10"/>
    <n v="2021"/>
    <s v="Q3"/>
    <x v="6"/>
    <x v="5"/>
    <x v="0"/>
    <x v="579"/>
    <x v="2"/>
    <n v="2"/>
    <x v="363"/>
    <n v="75.59"/>
    <n v="19.649999999999999"/>
    <n v="4"/>
    <n v="3.18"/>
    <n v="298.14999999999998"/>
    <n v="926"/>
    <n v="2"/>
    <n v="216"/>
  </r>
  <r>
    <n v="625"/>
    <s v="2021-07-23"/>
    <n v="2021"/>
    <s v="Q3"/>
    <x v="6"/>
    <x v="2"/>
    <x v="4"/>
    <x v="580"/>
    <x v="0"/>
    <n v="40"/>
    <x v="100"/>
    <n v="79.540000000000006"/>
    <n v="19.489999999999998"/>
    <n v="2.14"/>
    <n v="3.82"/>
    <n v="439.37"/>
    <n v="276"/>
    <n v="1"/>
    <n v="81"/>
  </r>
  <r>
    <n v="626"/>
    <s v="2021-07-23"/>
    <n v="2021"/>
    <s v="Q3"/>
    <x v="6"/>
    <x v="7"/>
    <x v="4"/>
    <x v="581"/>
    <x v="1"/>
    <n v="6"/>
    <x v="222"/>
    <n v="93.84"/>
    <n v="19.02"/>
    <n v="9.9"/>
    <n v="15.84"/>
    <n v="384.46"/>
    <n v="1039"/>
    <n v="2"/>
    <n v="163"/>
  </r>
  <r>
    <n v="627"/>
    <s v="2021-07-12"/>
    <n v="2021"/>
    <s v="Q3"/>
    <x v="6"/>
    <x v="1"/>
    <x v="1"/>
    <x v="582"/>
    <x v="3"/>
    <n v="12"/>
    <x v="115"/>
    <n v="79.38"/>
    <n v="25.65"/>
    <n v="20.57"/>
    <n v="14.08"/>
    <n v="573.94000000000005"/>
    <n v="1050"/>
    <n v="3"/>
    <n v="170"/>
  </r>
  <r>
    <n v="628"/>
    <s v="2021-06-30"/>
    <n v="2021"/>
    <s v="Q3"/>
    <x v="6"/>
    <x v="0"/>
    <x v="1"/>
    <x v="583"/>
    <x v="1"/>
    <n v="10"/>
    <x v="264"/>
    <n v="84.78"/>
    <n v="32.47"/>
    <n v="21.55"/>
    <n v="14.1"/>
    <n v="138.59"/>
    <n v="728"/>
    <n v="3"/>
    <n v="63"/>
  </r>
  <r>
    <n v="629"/>
    <s v="2021-07-12"/>
    <n v="2021"/>
    <s v="Q3"/>
    <x v="6"/>
    <x v="4"/>
    <x v="4"/>
    <x v="584"/>
    <x v="2"/>
    <n v="29"/>
    <x v="307"/>
    <n v="82.95"/>
    <n v="8.1300000000000008"/>
    <n v="20.72"/>
    <n v="5.71"/>
    <n v="368.9"/>
    <n v="162"/>
    <n v="1"/>
    <n v="128"/>
  </r>
  <r>
    <n v="630"/>
    <s v="2021-07-14"/>
    <n v="2021"/>
    <s v="Q3"/>
    <x v="6"/>
    <x v="1"/>
    <x v="1"/>
    <x v="585"/>
    <x v="1"/>
    <n v="27"/>
    <x v="364"/>
    <n v="79.41"/>
    <n v="9.06"/>
    <n v="15.37"/>
    <n v="1.1299999999999999"/>
    <n v="434.5"/>
    <n v="130"/>
    <n v="2"/>
    <n v="203"/>
  </r>
  <r>
    <n v="631"/>
    <s v="2021-07-23"/>
    <n v="2021"/>
    <s v="Q3"/>
    <x v="6"/>
    <x v="4"/>
    <x v="0"/>
    <x v="586"/>
    <x v="1"/>
    <n v="15"/>
    <x v="120"/>
    <n v="91.24"/>
    <n v="6.67"/>
    <n v="15.84"/>
    <n v="7.59"/>
    <n v="243.47"/>
    <n v="640"/>
    <n v="2"/>
    <n v="135"/>
  </r>
  <r>
    <n v="632"/>
    <s v="2021-07-17"/>
    <n v="2021"/>
    <s v="Q3"/>
    <x v="6"/>
    <x v="3"/>
    <x v="3"/>
    <x v="576"/>
    <x v="0"/>
    <n v="31"/>
    <x v="170"/>
    <n v="87.85"/>
    <n v="31.74"/>
    <n v="10.76"/>
    <n v="2.54"/>
    <n v="146.08000000000001"/>
    <n v="426"/>
    <n v="2"/>
    <n v="159"/>
  </r>
  <r>
    <n v="633"/>
    <s v="2021-07-06"/>
    <n v="2021"/>
    <s v="Q3"/>
    <x v="6"/>
    <x v="0"/>
    <x v="4"/>
    <x v="587"/>
    <x v="0"/>
    <n v="35"/>
    <x v="180"/>
    <n v="84.25"/>
    <n v="10.72"/>
    <n v="16.77"/>
    <n v="14.9"/>
    <n v="183.66"/>
    <n v="784"/>
    <n v="3"/>
    <n v="92"/>
  </r>
  <r>
    <n v="634"/>
    <s v="2021-07-19"/>
    <n v="2021"/>
    <s v="Q3"/>
    <x v="6"/>
    <x v="2"/>
    <x v="1"/>
    <x v="280"/>
    <x v="4"/>
    <n v="50"/>
    <x v="94"/>
    <n v="79.47"/>
    <n v="27"/>
    <n v="5.0999999999999996"/>
    <n v="12"/>
    <n v="152.41999999999999"/>
    <n v="1014"/>
    <n v="3"/>
    <n v="83"/>
  </r>
  <r>
    <n v="635"/>
    <s v="2021-07-07"/>
    <n v="2021"/>
    <s v="Q3"/>
    <x v="6"/>
    <x v="2"/>
    <x v="3"/>
    <x v="588"/>
    <x v="3"/>
    <n v="32"/>
    <x v="77"/>
    <n v="94.66"/>
    <n v="21.26"/>
    <n v="13.49"/>
    <n v="10.130000000000001"/>
    <n v="492.81"/>
    <n v="778"/>
    <n v="1"/>
    <n v="247"/>
  </r>
  <r>
    <n v="636"/>
    <s v="2021-07-07"/>
    <n v="2021"/>
    <s v="Q3"/>
    <x v="6"/>
    <x v="4"/>
    <x v="4"/>
    <x v="589"/>
    <x v="1"/>
    <n v="5"/>
    <x v="204"/>
    <n v="79.2"/>
    <n v="34.479999999999997"/>
    <n v="18.55"/>
    <n v="1.55"/>
    <n v="535.66"/>
    <n v="356"/>
    <n v="1"/>
    <n v="223"/>
  </r>
  <r>
    <n v="637"/>
    <s v="2021-07-09"/>
    <n v="2021"/>
    <s v="Q3"/>
    <x v="6"/>
    <x v="5"/>
    <x v="4"/>
    <x v="200"/>
    <x v="3"/>
    <n v="19"/>
    <x v="365"/>
    <n v="91.2"/>
    <n v="10.85"/>
    <n v="14.71"/>
    <n v="12.71"/>
    <n v="237.97"/>
    <n v="198"/>
    <n v="5"/>
    <n v="204"/>
  </r>
  <r>
    <n v="638"/>
    <s v="2021-07-20"/>
    <n v="2021"/>
    <s v="Q3"/>
    <x v="6"/>
    <x v="3"/>
    <x v="0"/>
    <x v="590"/>
    <x v="4"/>
    <n v="6"/>
    <x v="366"/>
    <n v="94.6"/>
    <n v="31.48"/>
    <n v="4.97"/>
    <n v="14.84"/>
    <n v="574.16"/>
    <n v="914"/>
    <n v="4"/>
    <n v="177"/>
  </r>
  <r>
    <n v="639"/>
    <s v="2021-07-15"/>
    <n v="2021"/>
    <s v="Q3"/>
    <x v="6"/>
    <x v="3"/>
    <x v="0"/>
    <x v="591"/>
    <x v="1"/>
    <n v="45"/>
    <x v="359"/>
    <n v="93.52"/>
    <n v="18.309999999999999"/>
    <n v="9.65"/>
    <n v="8.4499999999999993"/>
    <n v="412.89"/>
    <n v="1045"/>
    <n v="5"/>
    <n v="225"/>
  </r>
  <r>
    <n v="640"/>
    <s v="2021-07-10"/>
    <n v="2021"/>
    <s v="Q3"/>
    <x v="6"/>
    <x v="0"/>
    <x v="2"/>
    <x v="592"/>
    <x v="1"/>
    <n v="5"/>
    <x v="320"/>
    <n v="77.459999999999994"/>
    <n v="8.9600000000000009"/>
    <n v="14.8"/>
    <n v="7.36"/>
    <n v="277.45999999999998"/>
    <n v="617"/>
    <n v="1"/>
    <n v="202"/>
  </r>
  <r>
    <n v="641"/>
    <s v="2021-07-11"/>
    <n v="2021"/>
    <s v="Q3"/>
    <x v="6"/>
    <x v="0"/>
    <x v="4"/>
    <x v="593"/>
    <x v="4"/>
    <n v="40"/>
    <x v="367"/>
    <n v="93.38"/>
    <n v="7.59"/>
    <n v="21.52"/>
    <n v="3.9"/>
    <n v="322.99"/>
    <n v="532"/>
    <n v="2"/>
    <n v="93"/>
  </r>
  <r>
    <n v="642"/>
    <s v="2021-07-12"/>
    <n v="2021"/>
    <s v="Q3"/>
    <x v="6"/>
    <x v="3"/>
    <x v="0"/>
    <x v="594"/>
    <x v="2"/>
    <n v="41"/>
    <x v="193"/>
    <n v="93.7"/>
    <n v="20.37"/>
    <n v="5.56"/>
    <n v="4.8499999999999996"/>
    <n v="364.76"/>
    <n v="509"/>
    <n v="4"/>
    <n v="127"/>
  </r>
  <r>
    <n v="643"/>
    <s v="2021-07-25"/>
    <n v="2021"/>
    <s v="Q3"/>
    <x v="6"/>
    <x v="0"/>
    <x v="0"/>
    <x v="595"/>
    <x v="0"/>
    <n v="7"/>
    <x v="368"/>
    <n v="81.38"/>
    <n v="23.24"/>
    <n v="17.059999999999999"/>
    <n v="11.5"/>
    <n v="589.16999999999996"/>
    <n v="409"/>
    <n v="3"/>
    <n v="214"/>
  </r>
  <r>
    <n v="644"/>
    <s v="2021-07-16"/>
    <n v="2021"/>
    <s v="Q3"/>
    <x v="6"/>
    <x v="4"/>
    <x v="4"/>
    <x v="256"/>
    <x v="4"/>
    <n v="7"/>
    <x v="369"/>
    <n v="78.83"/>
    <n v="20.95"/>
    <n v="21.78"/>
    <n v="1.03"/>
    <n v="291.89999999999998"/>
    <n v="1094"/>
    <n v="4"/>
    <n v="175"/>
  </r>
  <r>
    <n v="645"/>
    <s v="2021-07-01"/>
    <n v="2021"/>
    <s v="Q3"/>
    <x v="6"/>
    <x v="2"/>
    <x v="0"/>
    <x v="205"/>
    <x v="3"/>
    <n v="15"/>
    <x v="18"/>
    <n v="80.22"/>
    <n v="26.23"/>
    <n v="4.4000000000000004"/>
    <n v="3.46"/>
    <n v="137.01"/>
    <n v="895"/>
    <n v="2"/>
    <n v="64"/>
  </r>
  <r>
    <n v="646"/>
    <s v="2021-07-18"/>
    <n v="2021"/>
    <s v="Q3"/>
    <x v="6"/>
    <x v="0"/>
    <x v="2"/>
    <x v="596"/>
    <x v="3"/>
    <n v="44"/>
    <x v="21"/>
    <n v="78.150000000000006"/>
    <n v="8.43"/>
    <n v="7.21"/>
    <n v="7.26"/>
    <n v="431.2"/>
    <n v="809"/>
    <n v="5"/>
    <n v="83"/>
  </r>
  <r>
    <n v="647"/>
    <s v="2021-08-19"/>
    <n v="2021"/>
    <s v="Q3"/>
    <x v="7"/>
    <x v="1"/>
    <x v="0"/>
    <x v="597"/>
    <x v="1"/>
    <n v="42"/>
    <x v="370"/>
    <n v="86.25"/>
    <n v="11.79"/>
    <n v="13.47"/>
    <n v="6.82"/>
    <n v="446.44"/>
    <n v="1038"/>
    <n v="2"/>
    <n v="191"/>
  </r>
  <r>
    <n v="648"/>
    <s v="2021-08-06"/>
    <n v="2021"/>
    <s v="Q3"/>
    <x v="7"/>
    <x v="6"/>
    <x v="3"/>
    <x v="598"/>
    <x v="4"/>
    <n v="41"/>
    <x v="89"/>
    <n v="85.1"/>
    <n v="7.22"/>
    <n v="9.7799999999999994"/>
    <n v="10.220000000000001"/>
    <n v="271.58999999999997"/>
    <n v="499"/>
    <n v="5"/>
    <n v="192"/>
  </r>
  <r>
    <n v="649"/>
    <s v="2021-08-01"/>
    <n v="2021"/>
    <s v="Q3"/>
    <x v="7"/>
    <x v="5"/>
    <x v="3"/>
    <x v="599"/>
    <x v="2"/>
    <n v="15"/>
    <x v="371"/>
    <n v="88.84"/>
    <n v="28.55"/>
    <n v="13.1"/>
    <n v="2.81"/>
    <n v="346.59"/>
    <n v="1046"/>
    <n v="1"/>
    <n v="189"/>
  </r>
  <r>
    <n v="650"/>
    <s v="2021-08-02"/>
    <n v="2021"/>
    <s v="Q3"/>
    <x v="7"/>
    <x v="4"/>
    <x v="0"/>
    <x v="600"/>
    <x v="3"/>
    <n v="32"/>
    <x v="89"/>
    <n v="86.37"/>
    <n v="6.51"/>
    <n v="5.72"/>
    <n v="9.4499999999999993"/>
    <n v="169.14"/>
    <n v="808"/>
    <n v="2"/>
    <n v="83"/>
  </r>
  <r>
    <n v="651"/>
    <s v="2021-08-27"/>
    <n v="2021"/>
    <s v="Q3"/>
    <x v="7"/>
    <x v="4"/>
    <x v="4"/>
    <x v="601"/>
    <x v="1"/>
    <n v="43"/>
    <x v="23"/>
    <n v="78.62"/>
    <n v="23.83"/>
    <n v="8.76"/>
    <n v="8.16"/>
    <n v="161.69"/>
    <n v="1009"/>
    <n v="5"/>
    <n v="117"/>
  </r>
  <r>
    <n v="652"/>
    <s v="2021-08-06"/>
    <n v="2021"/>
    <s v="Q3"/>
    <x v="7"/>
    <x v="3"/>
    <x v="2"/>
    <x v="602"/>
    <x v="3"/>
    <n v="11"/>
    <x v="208"/>
    <n v="78.48"/>
    <n v="23.58"/>
    <n v="16.14"/>
    <n v="8.2899999999999991"/>
    <n v="307.66000000000003"/>
    <n v="393"/>
    <n v="5"/>
    <n v="79"/>
  </r>
  <r>
    <n v="653"/>
    <s v="2021-08-27"/>
    <n v="2021"/>
    <s v="Q3"/>
    <x v="7"/>
    <x v="6"/>
    <x v="1"/>
    <x v="603"/>
    <x v="2"/>
    <n v="3"/>
    <x v="129"/>
    <n v="76.66"/>
    <n v="34.36"/>
    <n v="5.71"/>
    <n v="4.8"/>
    <n v="538.99"/>
    <n v="332"/>
    <n v="2"/>
    <n v="178"/>
  </r>
  <r>
    <n v="654"/>
    <s v="2021-08-06"/>
    <n v="2021"/>
    <s v="Q3"/>
    <x v="7"/>
    <x v="2"/>
    <x v="2"/>
    <x v="604"/>
    <x v="0"/>
    <n v="18"/>
    <x v="2"/>
    <n v="91.03"/>
    <n v="24.91"/>
    <n v="20.87"/>
    <n v="9.0399999999999991"/>
    <n v="381.32"/>
    <n v="709"/>
    <n v="2"/>
    <n v="158"/>
  </r>
  <r>
    <n v="655"/>
    <s v="2021-08-19"/>
    <n v="2021"/>
    <s v="Q3"/>
    <x v="7"/>
    <x v="1"/>
    <x v="4"/>
    <x v="605"/>
    <x v="4"/>
    <n v="1"/>
    <x v="70"/>
    <n v="88.3"/>
    <n v="19.93"/>
    <n v="6.97"/>
    <n v="6.15"/>
    <n v="246.19"/>
    <n v="136"/>
    <n v="2"/>
    <n v="80"/>
  </r>
  <r>
    <n v="656"/>
    <s v="2021-08-07"/>
    <n v="2021"/>
    <s v="Q3"/>
    <x v="7"/>
    <x v="2"/>
    <x v="4"/>
    <x v="606"/>
    <x v="1"/>
    <n v="2"/>
    <x v="82"/>
    <n v="89.42"/>
    <n v="23.98"/>
    <n v="15.93"/>
    <n v="9.69"/>
    <n v="301.22000000000003"/>
    <n v="421"/>
    <n v="2"/>
    <n v="131"/>
  </r>
  <r>
    <n v="657"/>
    <s v="2021-08-17"/>
    <n v="2021"/>
    <s v="Q3"/>
    <x v="7"/>
    <x v="5"/>
    <x v="3"/>
    <x v="607"/>
    <x v="1"/>
    <n v="30"/>
    <x v="372"/>
    <n v="89.12"/>
    <n v="20.32"/>
    <n v="15.18"/>
    <n v="11"/>
    <n v="126.58"/>
    <n v="930"/>
    <n v="5"/>
    <n v="64"/>
  </r>
  <r>
    <n v="658"/>
    <s v="2021-08-12"/>
    <n v="2021"/>
    <s v="Q3"/>
    <x v="7"/>
    <x v="4"/>
    <x v="2"/>
    <x v="608"/>
    <x v="3"/>
    <n v="50"/>
    <x v="373"/>
    <n v="89.36"/>
    <n v="25.08"/>
    <n v="6.75"/>
    <n v="14.8"/>
    <n v="349.11"/>
    <n v="185"/>
    <n v="2"/>
    <n v="232"/>
  </r>
  <r>
    <n v="659"/>
    <s v="2021-08-02"/>
    <n v="2021"/>
    <s v="Q3"/>
    <x v="7"/>
    <x v="3"/>
    <x v="0"/>
    <x v="609"/>
    <x v="4"/>
    <n v="37"/>
    <x v="259"/>
    <n v="85.68"/>
    <n v="29.57"/>
    <n v="20.02"/>
    <n v="9.99"/>
    <n v="332.21"/>
    <n v="395"/>
    <n v="1"/>
    <n v="65"/>
  </r>
  <r>
    <n v="660"/>
    <s v="2021-08-17"/>
    <n v="2021"/>
    <s v="Q3"/>
    <x v="7"/>
    <x v="7"/>
    <x v="0"/>
    <x v="610"/>
    <x v="0"/>
    <n v="31"/>
    <x v="133"/>
    <n v="85.91"/>
    <n v="6.88"/>
    <n v="18.440000000000001"/>
    <n v="7.88"/>
    <n v="528.58000000000004"/>
    <n v="621"/>
    <n v="3"/>
    <n v="173"/>
  </r>
  <r>
    <n v="661"/>
    <s v="2021-08-17"/>
    <n v="2021"/>
    <s v="Q3"/>
    <x v="7"/>
    <x v="7"/>
    <x v="4"/>
    <x v="611"/>
    <x v="2"/>
    <n v="11"/>
    <x v="12"/>
    <n v="83.77"/>
    <n v="5.44"/>
    <n v="2.41"/>
    <n v="13.97"/>
    <n v="593.79"/>
    <n v="981"/>
    <n v="5"/>
    <n v="241"/>
  </r>
  <r>
    <n v="662"/>
    <s v="2021-08-09"/>
    <n v="2021"/>
    <s v="Q3"/>
    <x v="7"/>
    <x v="0"/>
    <x v="0"/>
    <x v="612"/>
    <x v="2"/>
    <n v="40"/>
    <x v="47"/>
    <n v="93.46"/>
    <n v="16.43"/>
    <n v="3.36"/>
    <n v="10.15"/>
    <n v="126.55"/>
    <n v="358"/>
    <n v="1"/>
    <n v="121"/>
  </r>
  <r>
    <n v="663"/>
    <s v="2021-08-07"/>
    <n v="2021"/>
    <s v="Q3"/>
    <x v="7"/>
    <x v="7"/>
    <x v="3"/>
    <x v="613"/>
    <x v="4"/>
    <n v="44"/>
    <x v="22"/>
    <n v="87.07"/>
    <n v="16.37"/>
    <n v="12.99"/>
    <n v="4.9400000000000004"/>
    <n v="190.2"/>
    <n v="254"/>
    <n v="4"/>
    <n v="179"/>
  </r>
  <r>
    <n v="664"/>
    <s v="2021-08-18"/>
    <n v="2021"/>
    <s v="Q3"/>
    <x v="7"/>
    <x v="4"/>
    <x v="4"/>
    <x v="614"/>
    <x v="1"/>
    <n v="33"/>
    <x v="337"/>
    <n v="80.91"/>
    <n v="34.520000000000003"/>
    <n v="16.36"/>
    <n v="13.49"/>
    <n v="480.45"/>
    <n v="1063"/>
    <n v="5"/>
    <n v="118"/>
  </r>
  <r>
    <n v="665"/>
    <s v="2021-08-25"/>
    <n v="2021"/>
    <s v="Q3"/>
    <x v="7"/>
    <x v="3"/>
    <x v="1"/>
    <x v="615"/>
    <x v="0"/>
    <n v="21"/>
    <x v="282"/>
    <n v="84.45"/>
    <n v="19.8"/>
    <n v="18.2"/>
    <n v="9.11"/>
    <n v="198.45"/>
    <n v="465"/>
    <n v="4"/>
    <n v="142"/>
  </r>
  <r>
    <n v="666"/>
    <s v="2021-08-02"/>
    <n v="2021"/>
    <s v="Q3"/>
    <x v="7"/>
    <x v="4"/>
    <x v="0"/>
    <x v="616"/>
    <x v="4"/>
    <n v="28"/>
    <x v="374"/>
    <n v="91.22"/>
    <n v="8.59"/>
    <n v="5.52"/>
    <n v="4.42"/>
    <n v="366.51"/>
    <n v="472"/>
    <n v="3"/>
    <n v="97"/>
  </r>
  <r>
    <n v="667"/>
    <s v="2021-08-13"/>
    <n v="2021"/>
    <s v="Q3"/>
    <x v="7"/>
    <x v="0"/>
    <x v="3"/>
    <x v="617"/>
    <x v="4"/>
    <n v="11"/>
    <x v="366"/>
    <n v="75.63"/>
    <n v="26.55"/>
    <n v="19.84"/>
    <n v="14.32"/>
    <n v="222.58"/>
    <n v="723"/>
    <n v="4"/>
    <n v="244"/>
  </r>
  <r>
    <n v="668"/>
    <s v="2021-08-18"/>
    <n v="2021"/>
    <s v="Q3"/>
    <x v="7"/>
    <x v="7"/>
    <x v="1"/>
    <x v="618"/>
    <x v="0"/>
    <n v="42"/>
    <x v="87"/>
    <n v="90.95"/>
    <n v="23.6"/>
    <n v="8.06"/>
    <n v="15.51"/>
    <n v="332.95"/>
    <n v="278"/>
    <n v="2"/>
    <n v="87"/>
  </r>
  <r>
    <n v="669"/>
    <s v="2021-08-18"/>
    <n v="2021"/>
    <s v="Q3"/>
    <x v="7"/>
    <x v="7"/>
    <x v="0"/>
    <x v="619"/>
    <x v="2"/>
    <n v="39"/>
    <x v="335"/>
    <n v="84.92"/>
    <n v="20.190000000000001"/>
    <n v="13.74"/>
    <n v="8.06"/>
    <n v="140.4"/>
    <n v="156"/>
    <n v="4"/>
    <n v="147"/>
  </r>
  <r>
    <n v="670"/>
    <s v="2021-08-17"/>
    <n v="2021"/>
    <s v="Q3"/>
    <x v="7"/>
    <x v="5"/>
    <x v="2"/>
    <x v="620"/>
    <x v="3"/>
    <n v="6"/>
    <x v="375"/>
    <n v="75.150000000000006"/>
    <n v="9.1999999999999993"/>
    <n v="11.16"/>
    <n v="10.64"/>
    <n v="460.39"/>
    <n v="822"/>
    <n v="1"/>
    <n v="126"/>
  </r>
  <r>
    <n v="671"/>
    <s v="2021-08-01"/>
    <n v="2021"/>
    <s v="Q3"/>
    <x v="7"/>
    <x v="6"/>
    <x v="0"/>
    <x v="621"/>
    <x v="0"/>
    <n v="8"/>
    <x v="86"/>
    <n v="92.02"/>
    <n v="11.05"/>
    <n v="4.72"/>
    <n v="4.01"/>
    <n v="319.37"/>
    <n v="393"/>
    <n v="1"/>
    <n v="183"/>
  </r>
  <r>
    <n v="672"/>
    <s v="2021-07-31"/>
    <n v="2021"/>
    <s v="Q3"/>
    <x v="7"/>
    <x v="7"/>
    <x v="1"/>
    <x v="622"/>
    <x v="4"/>
    <n v="2"/>
    <x v="103"/>
    <n v="88.33"/>
    <n v="22.16"/>
    <n v="3.06"/>
    <n v="1.95"/>
    <n v="365.44"/>
    <n v="1035"/>
    <n v="5"/>
    <n v="195"/>
  </r>
  <r>
    <n v="673"/>
    <s v="2021-08-07"/>
    <n v="2021"/>
    <s v="Q3"/>
    <x v="7"/>
    <x v="6"/>
    <x v="0"/>
    <x v="623"/>
    <x v="1"/>
    <n v="2"/>
    <x v="76"/>
    <n v="93.29"/>
    <n v="31.46"/>
    <n v="9.9499999999999993"/>
    <n v="10.81"/>
    <n v="264.47000000000003"/>
    <n v="130"/>
    <n v="1"/>
    <n v="191"/>
  </r>
  <r>
    <n v="674"/>
    <s v="2021-08-09"/>
    <n v="2021"/>
    <s v="Q3"/>
    <x v="7"/>
    <x v="3"/>
    <x v="4"/>
    <x v="624"/>
    <x v="0"/>
    <n v="27"/>
    <x v="376"/>
    <n v="81.66"/>
    <n v="29.21"/>
    <n v="3.22"/>
    <n v="1.02"/>
    <n v="481.77"/>
    <n v="389"/>
    <n v="1"/>
    <n v="108"/>
  </r>
  <r>
    <n v="675"/>
    <s v="2021-08-21"/>
    <n v="2021"/>
    <s v="Q3"/>
    <x v="7"/>
    <x v="6"/>
    <x v="0"/>
    <x v="625"/>
    <x v="3"/>
    <n v="11"/>
    <x v="175"/>
    <n v="80.87"/>
    <n v="11.38"/>
    <n v="19.79"/>
    <n v="1.66"/>
    <n v="332.03"/>
    <n v="659"/>
    <n v="2"/>
    <n v="169"/>
  </r>
  <r>
    <n v="676"/>
    <s v="2021-08-26"/>
    <n v="2021"/>
    <s v="Q3"/>
    <x v="7"/>
    <x v="4"/>
    <x v="0"/>
    <x v="276"/>
    <x v="3"/>
    <n v="15"/>
    <x v="135"/>
    <n v="85.3"/>
    <n v="17.989999999999998"/>
    <n v="9.98"/>
    <n v="12.16"/>
    <n v="373.61"/>
    <n v="334"/>
    <n v="3"/>
    <n v="247"/>
  </r>
  <r>
    <n v="677"/>
    <s v="2021-08-24"/>
    <n v="2021"/>
    <s v="Q3"/>
    <x v="7"/>
    <x v="2"/>
    <x v="4"/>
    <x v="626"/>
    <x v="2"/>
    <n v="49"/>
    <x v="161"/>
    <n v="75.81"/>
    <n v="6.79"/>
    <n v="4.5599999999999996"/>
    <n v="10.87"/>
    <n v="308.22000000000003"/>
    <n v="292"/>
    <n v="3"/>
    <n v="50"/>
  </r>
  <r>
    <n v="678"/>
    <s v="2021-08-21"/>
    <n v="2021"/>
    <s v="Q3"/>
    <x v="7"/>
    <x v="6"/>
    <x v="4"/>
    <x v="627"/>
    <x v="1"/>
    <n v="19"/>
    <x v="124"/>
    <n v="89.92"/>
    <n v="6.07"/>
    <n v="12.32"/>
    <n v="6.91"/>
    <n v="401.53"/>
    <n v="154"/>
    <n v="1"/>
    <n v="112"/>
  </r>
  <r>
    <n v="679"/>
    <s v="2021-08-08"/>
    <n v="2021"/>
    <s v="Q3"/>
    <x v="7"/>
    <x v="4"/>
    <x v="1"/>
    <x v="628"/>
    <x v="2"/>
    <n v="6"/>
    <x v="22"/>
    <n v="88.5"/>
    <n v="16.89"/>
    <n v="10.83"/>
    <n v="4.09"/>
    <n v="440.19"/>
    <n v="695"/>
    <n v="1"/>
    <n v="240"/>
  </r>
  <r>
    <n v="680"/>
    <s v="2021-08-17"/>
    <n v="2021"/>
    <s v="Q3"/>
    <x v="7"/>
    <x v="7"/>
    <x v="1"/>
    <x v="629"/>
    <x v="2"/>
    <n v="6"/>
    <x v="83"/>
    <n v="81.760000000000005"/>
    <n v="21.09"/>
    <n v="3.1"/>
    <n v="3.45"/>
    <n v="425.32"/>
    <n v="495"/>
    <n v="2"/>
    <n v="138"/>
  </r>
  <r>
    <n v="681"/>
    <s v="2021-09-14"/>
    <n v="2021"/>
    <s v="Q3"/>
    <x v="8"/>
    <x v="4"/>
    <x v="1"/>
    <x v="630"/>
    <x v="0"/>
    <n v="13"/>
    <x v="263"/>
    <n v="85.9"/>
    <n v="28.81"/>
    <n v="12.01"/>
    <n v="1.06"/>
    <n v="206.83"/>
    <n v="359"/>
    <n v="1"/>
    <n v="238"/>
  </r>
  <r>
    <n v="682"/>
    <s v="2021-09-05"/>
    <n v="2021"/>
    <s v="Q3"/>
    <x v="8"/>
    <x v="4"/>
    <x v="1"/>
    <x v="631"/>
    <x v="3"/>
    <n v="4"/>
    <x v="191"/>
    <n v="76.349999999999994"/>
    <n v="9.27"/>
    <n v="4.95"/>
    <n v="3.27"/>
    <n v="249.04"/>
    <n v="996"/>
    <n v="2"/>
    <n v="63"/>
  </r>
  <r>
    <n v="683"/>
    <s v="2021-09-12"/>
    <n v="2021"/>
    <s v="Q3"/>
    <x v="8"/>
    <x v="3"/>
    <x v="3"/>
    <x v="632"/>
    <x v="4"/>
    <n v="43"/>
    <x v="347"/>
    <n v="77.17"/>
    <n v="33.01"/>
    <n v="19.260000000000002"/>
    <n v="5.43"/>
    <n v="160.65"/>
    <n v="286"/>
    <n v="2"/>
    <n v="172"/>
  </r>
  <r>
    <n v="684"/>
    <s v="2021-09-20"/>
    <n v="2021"/>
    <s v="Q3"/>
    <x v="8"/>
    <x v="4"/>
    <x v="3"/>
    <x v="633"/>
    <x v="1"/>
    <n v="27"/>
    <x v="251"/>
    <n v="79.72"/>
    <n v="28.46"/>
    <n v="9.01"/>
    <n v="1.71"/>
    <n v="526.74"/>
    <n v="844"/>
    <n v="4"/>
    <n v="102"/>
  </r>
  <r>
    <n v="685"/>
    <s v="2021-09-11"/>
    <n v="2021"/>
    <s v="Q3"/>
    <x v="8"/>
    <x v="6"/>
    <x v="1"/>
    <x v="634"/>
    <x v="0"/>
    <n v="6"/>
    <x v="190"/>
    <n v="91.94"/>
    <n v="17.25"/>
    <n v="8.7899999999999991"/>
    <n v="11.39"/>
    <n v="369.72"/>
    <n v="490"/>
    <n v="5"/>
    <n v="52"/>
  </r>
  <r>
    <n v="686"/>
    <s v="2021-09-26"/>
    <n v="2021"/>
    <s v="Q3"/>
    <x v="8"/>
    <x v="0"/>
    <x v="0"/>
    <x v="635"/>
    <x v="1"/>
    <n v="17"/>
    <x v="377"/>
    <n v="78.33"/>
    <n v="13.56"/>
    <n v="6.76"/>
    <n v="1.28"/>
    <n v="446.55"/>
    <n v="960"/>
    <n v="1"/>
    <n v="155"/>
  </r>
  <r>
    <n v="687"/>
    <s v="2021-08-31"/>
    <n v="2021"/>
    <s v="Q3"/>
    <x v="8"/>
    <x v="3"/>
    <x v="1"/>
    <x v="636"/>
    <x v="2"/>
    <n v="29"/>
    <x v="378"/>
    <n v="77.08"/>
    <n v="22.75"/>
    <n v="17.27"/>
    <n v="4.93"/>
    <n v="250.55"/>
    <n v="123"/>
    <n v="5"/>
    <n v="67"/>
  </r>
  <r>
    <n v="688"/>
    <s v="2021-09-24"/>
    <n v="2021"/>
    <s v="Q3"/>
    <x v="8"/>
    <x v="4"/>
    <x v="4"/>
    <x v="637"/>
    <x v="2"/>
    <n v="44"/>
    <x v="356"/>
    <n v="79.11"/>
    <n v="31.09"/>
    <n v="7.67"/>
    <n v="7.11"/>
    <n v="565.37"/>
    <n v="692"/>
    <n v="2"/>
    <n v="165"/>
  </r>
  <r>
    <n v="689"/>
    <s v="2021-09-03"/>
    <n v="2021"/>
    <s v="Q3"/>
    <x v="8"/>
    <x v="0"/>
    <x v="3"/>
    <x v="638"/>
    <x v="3"/>
    <n v="15"/>
    <x v="378"/>
    <n v="79.89"/>
    <n v="31.42"/>
    <n v="11.94"/>
    <n v="8.0500000000000007"/>
    <n v="213.19"/>
    <n v="934"/>
    <n v="5"/>
    <n v="246"/>
  </r>
  <r>
    <n v="690"/>
    <s v="2021-09-10"/>
    <n v="2021"/>
    <s v="Q3"/>
    <x v="8"/>
    <x v="0"/>
    <x v="1"/>
    <x v="639"/>
    <x v="3"/>
    <n v="17"/>
    <x v="379"/>
    <n v="80.69"/>
    <n v="17.84"/>
    <n v="18.54"/>
    <n v="10.06"/>
    <n v="509.31"/>
    <n v="190"/>
    <n v="2"/>
    <n v="186"/>
  </r>
  <r>
    <n v="691"/>
    <s v="2021-09-22"/>
    <n v="2021"/>
    <s v="Q3"/>
    <x v="8"/>
    <x v="5"/>
    <x v="4"/>
    <x v="640"/>
    <x v="3"/>
    <n v="33"/>
    <x v="380"/>
    <n v="89.94"/>
    <n v="31.55"/>
    <n v="6.2"/>
    <n v="15.4"/>
    <n v="493.72"/>
    <n v="1059"/>
    <n v="2"/>
    <n v="59"/>
  </r>
  <r>
    <n v="692"/>
    <s v="2021-09-24"/>
    <n v="2021"/>
    <s v="Q3"/>
    <x v="8"/>
    <x v="7"/>
    <x v="0"/>
    <x v="641"/>
    <x v="0"/>
    <n v="19"/>
    <x v="86"/>
    <n v="85.81"/>
    <n v="32.770000000000003"/>
    <n v="8.74"/>
    <n v="11.71"/>
    <n v="214.3"/>
    <n v="657"/>
    <n v="1"/>
    <n v="116"/>
  </r>
  <r>
    <n v="693"/>
    <s v="2021-09-17"/>
    <n v="2021"/>
    <s v="Q3"/>
    <x v="8"/>
    <x v="6"/>
    <x v="0"/>
    <x v="642"/>
    <x v="2"/>
    <n v="15"/>
    <x v="211"/>
    <n v="91.48"/>
    <n v="30.79"/>
    <n v="11.66"/>
    <n v="13.87"/>
    <n v="113.97"/>
    <n v="109"/>
    <n v="2"/>
    <n v="105"/>
  </r>
  <r>
    <n v="694"/>
    <s v="2021-09-13"/>
    <n v="2021"/>
    <s v="Q3"/>
    <x v="8"/>
    <x v="0"/>
    <x v="1"/>
    <x v="259"/>
    <x v="2"/>
    <n v="45"/>
    <x v="315"/>
    <n v="82.07"/>
    <n v="26.73"/>
    <n v="18.02"/>
    <n v="5.32"/>
    <n v="268.43"/>
    <n v="145"/>
    <n v="2"/>
    <n v="238"/>
  </r>
  <r>
    <n v="695"/>
    <s v="2021-09-27"/>
    <n v="2021"/>
    <s v="Q3"/>
    <x v="8"/>
    <x v="1"/>
    <x v="4"/>
    <x v="643"/>
    <x v="4"/>
    <n v="8"/>
    <x v="146"/>
    <n v="82.11"/>
    <n v="14.67"/>
    <n v="3.84"/>
    <n v="15.92"/>
    <n v="277.68"/>
    <n v="610"/>
    <n v="2"/>
    <n v="196"/>
  </r>
  <r>
    <n v="696"/>
    <s v="2021-09-24"/>
    <n v="2021"/>
    <s v="Q3"/>
    <x v="8"/>
    <x v="4"/>
    <x v="4"/>
    <x v="644"/>
    <x v="1"/>
    <n v="44"/>
    <x v="50"/>
    <n v="93.47"/>
    <n v="26.84"/>
    <n v="21.92"/>
    <n v="12.39"/>
    <n v="313.32"/>
    <n v="992"/>
    <n v="1"/>
    <n v="55"/>
  </r>
  <r>
    <n v="697"/>
    <s v="2021-09-19"/>
    <n v="2021"/>
    <s v="Q3"/>
    <x v="8"/>
    <x v="2"/>
    <x v="3"/>
    <x v="645"/>
    <x v="1"/>
    <n v="38"/>
    <x v="305"/>
    <n v="77.37"/>
    <n v="5.19"/>
    <n v="16.57"/>
    <n v="6.81"/>
    <n v="185.64"/>
    <n v="949"/>
    <n v="2"/>
    <n v="193"/>
  </r>
  <r>
    <n v="698"/>
    <s v="2021-09-20"/>
    <n v="2021"/>
    <s v="Q3"/>
    <x v="8"/>
    <x v="1"/>
    <x v="2"/>
    <x v="646"/>
    <x v="2"/>
    <n v="36"/>
    <x v="136"/>
    <n v="82.31"/>
    <n v="10.59"/>
    <n v="11.26"/>
    <n v="3.02"/>
    <n v="430.45"/>
    <n v="778"/>
    <n v="1"/>
    <n v="170"/>
  </r>
  <r>
    <n v="699"/>
    <s v="2021-09-11"/>
    <n v="2021"/>
    <s v="Q3"/>
    <x v="8"/>
    <x v="2"/>
    <x v="4"/>
    <x v="407"/>
    <x v="0"/>
    <n v="6"/>
    <x v="121"/>
    <n v="88.66"/>
    <n v="22.53"/>
    <n v="11.26"/>
    <n v="5.73"/>
    <n v="533.87"/>
    <n v="269"/>
    <n v="1"/>
    <n v="244"/>
  </r>
  <r>
    <n v="700"/>
    <s v="2021-09-14"/>
    <n v="2021"/>
    <s v="Q3"/>
    <x v="8"/>
    <x v="0"/>
    <x v="0"/>
    <x v="647"/>
    <x v="0"/>
    <n v="25"/>
    <x v="321"/>
    <n v="94.54"/>
    <n v="29.18"/>
    <n v="8.2799999999999994"/>
    <n v="6.14"/>
    <n v="365.48"/>
    <n v="850"/>
    <n v="3"/>
    <n v="195"/>
  </r>
  <r>
    <n v="701"/>
    <s v="2021-09-05"/>
    <n v="2021"/>
    <s v="Q3"/>
    <x v="8"/>
    <x v="7"/>
    <x v="1"/>
    <x v="648"/>
    <x v="2"/>
    <n v="22"/>
    <x v="334"/>
    <n v="76.47"/>
    <n v="10.36"/>
    <n v="10.93"/>
    <n v="3.68"/>
    <n v="182.59"/>
    <n v="463"/>
    <n v="4"/>
    <n v="142"/>
  </r>
  <r>
    <n v="702"/>
    <s v="2021-09-22"/>
    <n v="2021"/>
    <s v="Q3"/>
    <x v="8"/>
    <x v="7"/>
    <x v="4"/>
    <x v="305"/>
    <x v="3"/>
    <n v="1"/>
    <x v="312"/>
    <n v="82.23"/>
    <n v="31.1"/>
    <n v="14.25"/>
    <n v="5.3"/>
    <n v="496.12"/>
    <n v="344"/>
    <n v="2"/>
    <n v="228"/>
  </r>
  <r>
    <n v="703"/>
    <s v="2021-09-21"/>
    <n v="2021"/>
    <s v="Q3"/>
    <x v="8"/>
    <x v="4"/>
    <x v="1"/>
    <x v="649"/>
    <x v="1"/>
    <n v="2"/>
    <x v="248"/>
    <n v="78.92"/>
    <n v="19.739999999999998"/>
    <n v="11.73"/>
    <n v="13.98"/>
    <n v="539.23"/>
    <n v="211"/>
    <n v="1"/>
    <n v="212"/>
  </r>
  <r>
    <n v="704"/>
    <s v="2021-09-22"/>
    <n v="2021"/>
    <s v="Q3"/>
    <x v="8"/>
    <x v="7"/>
    <x v="4"/>
    <x v="650"/>
    <x v="0"/>
    <n v="27"/>
    <x v="381"/>
    <n v="80.05"/>
    <n v="21.34"/>
    <n v="12.76"/>
    <n v="10.68"/>
    <n v="556.96"/>
    <n v="483"/>
    <n v="3"/>
    <n v="54"/>
  </r>
  <r>
    <n v="705"/>
    <s v="2021-09-23"/>
    <n v="2021"/>
    <s v="Q3"/>
    <x v="8"/>
    <x v="6"/>
    <x v="1"/>
    <x v="651"/>
    <x v="1"/>
    <n v="21"/>
    <x v="290"/>
    <n v="85.44"/>
    <n v="18.190000000000001"/>
    <n v="8.01"/>
    <n v="1.82"/>
    <n v="521.99"/>
    <n v="451"/>
    <n v="5"/>
    <n v="105"/>
  </r>
  <r>
    <n v="706"/>
    <s v="2021-09-12"/>
    <n v="2021"/>
    <s v="Q3"/>
    <x v="8"/>
    <x v="4"/>
    <x v="0"/>
    <x v="652"/>
    <x v="3"/>
    <n v="39"/>
    <x v="157"/>
    <n v="79.36"/>
    <n v="22.38"/>
    <n v="17.23"/>
    <n v="3.6"/>
    <n v="519.63"/>
    <n v="895"/>
    <n v="5"/>
    <n v="70"/>
  </r>
  <r>
    <n v="707"/>
    <s v="2021-09-15"/>
    <n v="2021"/>
    <s v="Q3"/>
    <x v="8"/>
    <x v="0"/>
    <x v="0"/>
    <x v="653"/>
    <x v="4"/>
    <n v="25"/>
    <x v="382"/>
    <n v="75.19"/>
    <n v="9.5500000000000007"/>
    <n v="21.95"/>
    <n v="4.09"/>
    <n v="356.44"/>
    <n v="185"/>
    <n v="5"/>
    <n v="174"/>
  </r>
  <r>
    <n v="708"/>
    <s v="2021-09-06"/>
    <n v="2021"/>
    <s v="Q3"/>
    <x v="8"/>
    <x v="0"/>
    <x v="1"/>
    <x v="654"/>
    <x v="2"/>
    <n v="31"/>
    <x v="246"/>
    <n v="93.51"/>
    <n v="19.84"/>
    <n v="10.029999999999999"/>
    <n v="4.4400000000000004"/>
    <n v="107.77"/>
    <n v="645"/>
    <n v="4"/>
    <n v="219"/>
  </r>
  <r>
    <n v="709"/>
    <s v="2021-09-01"/>
    <n v="2021"/>
    <s v="Q3"/>
    <x v="8"/>
    <x v="3"/>
    <x v="1"/>
    <x v="273"/>
    <x v="1"/>
    <n v="26"/>
    <x v="226"/>
    <n v="89.58"/>
    <n v="9.1300000000000008"/>
    <n v="8.3800000000000008"/>
    <n v="13.27"/>
    <n v="341.66"/>
    <n v="460"/>
    <n v="2"/>
    <n v="205"/>
  </r>
  <r>
    <n v="710"/>
    <s v="2021-09-14"/>
    <n v="2021"/>
    <s v="Q3"/>
    <x v="8"/>
    <x v="6"/>
    <x v="0"/>
    <x v="655"/>
    <x v="4"/>
    <n v="39"/>
    <x v="95"/>
    <n v="79.64"/>
    <n v="18.43"/>
    <n v="16.45"/>
    <n v="15.73"/>
    <n v="562.97"/>
    <n v="685"/>
    <n v="3"/>
    <n v="117"/>
  </r>
  <r>
    <n v="711"/>
    <s v="2021-09-26"/>
    <n v="2021"/>
    <s v="Q3"/>
    <x v="8"/>
    <x v="1"/>
    <x v="2"/>
    <x v="656"/>
    <x v="3"/>
    <n v="43"/>
    <x v="294"/>
    <n v="79.099999999999994"/>
    <n v="30.5"/>
    <n v="6.72"/>
    <n v="8.7100000000000009"/>
    <n v="384.31"/>
    <n v="261"/>
    <n v="3"/>
    <n v="107"/>
  </r>
  <r>
    <n v="712"/>
    <s v="2021-09-19"/>
    <n v="2021"/>
    <s v="Q3"/>
    <x v="8"/>
    <x v="7"/>
    <x v="0"/>
    <x v="657"/>
    <x v="0"/>
    <n v="5"/>
    <x v="383"/>
    <n v="87.43"/>
    <n v="6.9"/>
    <n v="20.85"/>
    <n v="3.45"/>
    <n v="362.51"/>
    <n v="967"/>
    <n v="5"/>
    <n v="106"/>
  </r>
  <r>
    <n v="713"/>
    <s v="2021-09-16"/>
    <n v="2021"/>
    <s v="Q3"/>
    <x v="8"/>
    <x v="0"/>
    <x v="0"/>
    <x v="658"/>
    <x v="3"/>
    <n v="28"/>
    <x v="384"/>
    <n v="79.260000000000005"/>
    <n v="6.73"/>
    <n v="21.83"/>
    <n v="6.75"/>
    <n v="379.51"/>
    <n v="244"/>
    <n v="5"/>
    <n v="217"/>
  </r>
  <r>
    <n v="714"/>
    <s v="2021-09-27"/>
    <n v="2021"/>
    <s v="Q3"/>
    <x v="8"/>
    <x v="7"/>
    <x v="4"/>
    <x v="659"/>
    <x v="1"/>
    <n v="26"/>
    <x v="36"/>
    <n v="86.16"/>
    <n v="14.76"/>
    <n v="9.31"/>
    <n v="4.13"/>
    <n v="417"/>
    <n v="574"/>
    <n v="1"/>
    <n v="198"/>
  </r>
  <r>
    <n v="715"/>
    <s v="2021-10-03"/>
    <n v="2021"/>
    <s v="Q4"/>
    <x v="9"/>
    <x v="2"/>
    <x v="1"/>
    <x v="660"/>
    <x v="4"/>
    <n v="45"/>
    <x v="318"/>
    <n v="92.68"/>
    <n v="8.6199999999999992"/>
    <n v="20.77"/>
    <n v="13.07"/>
    <n v="227.78"/>
    <n v="353"/>
    <n v="1"/>
    <n v="166"/>
  </r>
  <r>
    <n v="716"/>
    <s v="2021-10-03"/>
    <n v="2021"/>
    <s v="Q4"/>
    <x v="9"/>
    <x v="5"/>
    <x v="0"/>
    <x v="661"/>
    <x v="1"/>
    <n v="12"/>
    <x v="224"/>
    <n v="77.17"/>
    <n v="25.13"/>
    <n v="17.559999999999999"/>
    <n v="5.48"/>
    <n v="215.5"/>
    <n v="947"/>
    <n v="5"/>
    <n v="147"/>
  </r>
  <r>
    <n v="717"/>
    <s v="2021-10-17"/>
    <n v="2021"/>
    <s v="Q4"/>
    <x v="9"/>
    <x v="4"/>
    <x v="4"/>
    <x v="662"/>
    <x v="3"/>
    <n v="1"/>
    <x v="226"/>
    <n v="88.01"/>
    <n v="13"/>
    <n v="7.5"/>
    <n v="3.62"/>
    <n v="265.24"/>
    <n v="220"/>
    <n v="2"/>
    <n v="186"/>
  </r>
  <r>
    <n v="718"/>
    <s v="2021-10-23"/>
    <n v="2021"/>
    <s v="Q4"/>
    <x v="9"/>
    <x v="4"/>
    <x v="2"/>
    <x v="663"/>
    <x v="1"/>
    <n v="50"/>
    <x v="66"/>
    <n v="85.84"/>
    <n v="7.92"/>
    <n v="17.829999999999998"/>
    <n v="2.16"/>
    <n v="450.8"/>
    <n v="959"/>
    <n v="5"/>
    <n v="168"/>
  </r>
  <r>
    <n v="719"/>
    <s v="2021-10-27"/>
    <n v="2021"/>
    <s v="Q4"/>
    <x v="9"/>
    <x v="0"/>
    <x v="1"/>
    <x v="664"/>
    <x v="0"/>
    <n v="29"/>
    <x v="385"/>
    <n v="86.69"/>
    <n v="22.99"/>
    <n v="20.83"/>
    <n v="9.6199999999999992"/>
    <n v="378.36"/>
    <n v="704"/>
    <n v="2"/>
    <n v="192"/>
  </r>
  <r>
    <n v="720"/>
    <s v="2021-10-14"/>
    <n v="2021"/>
    <s v="Q4"/>
    <x v="9"/>
    <x v="0"/>
    <x v="2"/>
    <x v="665"/>
    <x v="4"/>
    <n v="29"/>
    <x v="115"/>
    <n v="84.9"/>
    <n v="26.39"/>
    <n v="17.420000000000002"/>
    <n v="4.0199999999999996"/>
    <n v="360.87"/>
    <n v="106"/>
    <n v="1"/>
    <n v="74"/>
  </r>
  <r>
    <n v="721"/>
    <s v="2021-10-03"/>
    <n v="2021"/>
    <s v="Q4"/>
    <x v="9"/>
    <x v="3"/>
    <x v="3"/>
    <x v="666"/>
    <x v="0"/>
    <n v="19"/>
    <x v="386"/>
    <n v="82.27"/>
    <n v="10.25"/>
    <n v="20.440000000000001"/>
    <n v="9.09"/>
    <n v="191.81"/>
    <n v="544"/>
    <n v="5"/>
    <n v="247"/>
  </r>
  <r>
    <n v="722"/>
    <s v="2021-10-19"/>
    <n v="2021"/>
    <s v="Q4"/>
    <x v="9"/>
    <x v="5"/>
    <x v="0"/>
    <x v="540"/>
    <x v="3"/>
    <n v="29"/>
    <x v="90"/>
    <n v="87.06"/>
    <n v="11.66"/>
    <n v="13.09"/>
    <n v="5.0599999999999996"/>
    <n v="244.68"/>
    <n v="759"/>
    <n v="5"/>
    <n v="113"/>
  </r>
  <r>
    <n v="723"/>
    <s v="2021-10-12"/>
    <n v="2021"/>
    <s v="Q4"/>
    <x v="9"/>
    <x v="6"/>
    <x v="4"/>
    <x v="667"/>
    <x v="1"/>
    <n v="4"/>
    <x v="387"/>
    <n v="89.9"/>
    <n v="10.119999999999999"/>
    <n v="4.7699999999999996"/>
    <n v="14.75"/>
    <n v="298.31"/>
    <n v="420"/>
    <n v="4"/>
    <n v="221"/>
  </r>
  <r>
    <n v="724"/>
    <s v="2021-10-18"/>
    <n v="2021"/>
    <s v="Q4"/>
    <x v="9"/>
    <x v="4"/>
    <x v="3"/>
    <x v="668"/>
    <x v="0"/>
    <n v="44"/>
    <x v="25"/>
    <n v="78.319999999999993"/>
    <n v="34.99"/>
    <n v="5.56"/>
    <n v="2.61"/>
    <n v="125.63"/>
    <n v="486"/>
    <n v="3"/>
    <n v="142"/>
  </r>
  <r>
    <n v="725"/>
    <s v="2021-10-12"/>
    <n v="2021"/>
    <s v="Q4"/>
    <x v="9"/>
    <x v="1"/>
    <x v="0"/>
    <x v="669"/>
    <x v="2"/>
    <n v="1"/>
    <x v="205"/>
    <n v="76.52"/>
    <n v="21.16"/>
    <n v="20.190000000000001"/>
    <n v="12.15"/>
    <n v="396.35"/>
    <n v="701"/>
    <n v="5"/>
    <n v="106"/>
  </r>
  <r>
    <n v="726"/>
    <s v="2021-10-14"/>
    <n v="2021"/>
    <s v="Q4"/>
    <x v="9"/>
    <x v="7"/>
    <x v="2"/>
    <x v="670"/>
    <x v="1"/>
    <n v="28"/>
    <x v="362"/>
    <n v="94.34"/>
    <n v="9.09"/>
    <n v="19.57"/>
    <n v="15.2"/>
    <n v="150.33000000000001"/>
    <n v="664"/>
    <n v="2"/>
    <n v="161"/>
  </r>
  <r>
    <n v="727"/>
    <s v="2021-10-21"/>
    <n v="2021"/>
    <s v="Q4"/>
    <x v="9"/>
    <x v="4"/>
    <x v="3"/>
    <x v="671"/>
    <x v="2"/>
    <n v="9"/>
    <x v="220"/>
    <n v="89.55"/>
    <n v="29.79"/>
    <n v="20.85"/>
    <n v="2.2599999999999998"/>
    <n v="106.62"/>
    <n v="1018"/>
    <n v="1"/>
    <n v="235"/>
  </r>
  <r>
    <n v="728"/>
    <s v="2021-10-17"/>
    <n v="2021"/>
    <s v="Q4"/>
    <x v="9"/>
    <x v="7"/>
    <x v="1"/>
    <x v="672"/>
    <x v="0"/>
    <n v="13"/>
    <x v="386"/>
    <n v="79.36"/>
    <n v="25.05"/>
    <n v="20.86"/>
    <n v="3.5"/>
    <n v="410.32"/>
    <n v="679"/>
    <n v="1"/>
    <n v="109"/>
  </r>
  <r>
    <n v="729"/>
    <s v="2021-10-23"/>
    <n v="2021"/>
    <s v="Q4"/>
    <x v="9"/>
    <x v="5"/>
    <x v="4"/>
    <x v="673"/>
    <x v="3"/>
    <n v="50"/>
    <x v="388"/>
    <n v="83.88"/>
    <n v="21.06"/>
    <n v="16.59"/>
    <n v="2.4300000000000002"/>
    <n v="420.69"/>
    <n v="468"/>
    <n v="5"/>
    <n v="100"/>
  </r>
  <r>
    <n v="730"/>
    <s v="2021-10-04"/>
    <n v="2021"/>
    <s v="Q4"/>
    <x v="9"/>
    <x v="0"/>
    <x v="2"/>
    <x v="674"/>
    <x v="1"/>
    <n v="18"/>
    <x v="174"/>
    <n v="88.36"/>
    <n v="12.93"/>
    <n v="14.41"/>
    <n v="4.72"/>
    <n v="230.64"/>
    <n v="470"/>
    <n v="4"/>
    <n v="242"/>
  </r>
  <r>
    <n v="731"/>
    <s v="2021-10-07"/>
    <n v="2021"/>
    <s v="Q4"/>
    <x v="9"/>
    <x v="3"/>
    <x v="1"/>
    <x v="675"/>
    <x v="4"/>
    <n v="42"/>
    <x v="96"/>
    <n v="78.73"/>
    <n v="20.53"/>
    <n v="17.91"/>
    <n v="9.51"/>
    <n v="549.16999999999996"/>
    <n v="1095"/>
    <n v="1"/>
    <n v="155"/>
  </r>
  <r>
    <n v="732"/>
    <s v="2021-09-30"/>
    <n v="2021"/>
    <s v="Q4"/>
    <x v="9"/>
    <x v="4"/>
    <x v="3"/>
    <x v="676"/>
    <x v="3"/>
    <n v="3"/>
    <x v="389"/>
    <n v="78.59"/>
    <n v="28.07"/>
    <n v="19.04"/>
    <n v="6.63"/>
    <n v="445.16"/>
    <n v="943"/>
    <n v="3"/>
    <n v="140"/>
  </r>
  <r>
    <n v="733"/>
    <s v="2021-10-03"/>
    <n v="2021"/>
    <s v="Q4"/>
    <x v="9"/>
    <x v="0"/>
    <x v="0"/>
    <x v="677"/>
    <x v="3"/>
    <n v="24"/>
    <x v="390"/>
    <n v="94.77"/>
    <n v="31.53"/>
    <n v="19.53"/>
    <n v="15.45"/>
    <n v="396.62"/>
    <n v="346"/>
    <n v="4"/>
    <n v="157"/>
  </r>
  <r>
    <n v="734"/>
    <s v="2021-10-05"/>
    <n v="2021"/>
    <s v="Q4"/>
    <x v="9"/>
    <x v="3"/>
    <x v="0"/>
    <x v="678"/>
    <x v="3"/>
    <n v="12"/>
    <x v="166"/>
    <n v="92.32"/>
    <n v="25.28"/>
    <n v="19.600000000000001"/>
    <n v="3.13"/>
    <n v="557.05999999999995"/>
    <n v="586"/>
    <n v="5"/>
    <n v="153"/>
  </r>
  <r>
    <n v="735"/>
    <s v="2021-10-02"/>
    <n v="2021"/>
    <s v="Q4"/>
    <x v="9"/>
    <x v="0"/>
    <x v="3"/>
    <x v="679"/>
    <x v="4"/>
    <n v="38"/>
    <x v="258"/>
    <n v="84.28"/>
    <n v="6.56"/>
    <n v="21.95"/>
    <n v="8.52"/>
    <n v="520.79"/>
    <n v="297"/>
    <n v="1"/>
    <n v="161"/>
  </r>
  <r>
    <n v="736"/>
    <s v="2021-10-11"/>
    <n v="2021"/>
    <s v="Q4"/>
    <x v="9"/>
    <x v="1"/>
    <x v="0"/>
    <x v="98"/>
    <x v="3"/>
    <n v="5"/>
    <x v="228"/>
    <n v="78.47"/>
    <n v="14.28"/>
    <n v="6.67"/>
    <n v="13.23"/>
    <n v="407.28"/>
    <n v="435"/>
    <n v="5"/>
    <n v="218"/>
  </r>
  <r>
    <n v="737"/>
    <s v="2021-09-30"/>
    <n v="2021"/>
    <s v="Q4"/>
    <x v="9"/>
    <x v="4"/>
    <x v="1"/>
    <x v="666"/>
    <x v="0"/>
    <n v="46"/>
    <x v="184"/>
    <n v="77.03"/>
    <n v="27.12"/>
    <n v="4.93"/>
    <n v="4.2300000000000004"/>
    <n v="233.24"/>
    <n v="358"/>
    <n v="5"/>
    <n v="249"/>
  </r>
  <r>
    <n v="738"/>
    <s v="2021-10-08"/>
    <n v="2021"/>
    <s v="Q4"/>
    <x v="9"/>
    <x v="6"/>
    <x v="0"/>
    <x v="680"/>
    <x v="4"/>
    <n v="7"/>
    <x v="305"/>
    <n v="78.319999999999993"/>
    <n v="28.08"/>
    <n v="6.96"/>
    <n v="14.7"/>
    <n v="526.38"/>
    <n v="810"/>
    <n v="4"/>
    <n v="147"/>
  </r>
  <r>
    <n v="739"/>
    <s v="2021-09-30"/>
    <n v="2021"/>
    <s v="Q4"/>
    <x v="9"/>
    <x v="2"/>
    <x v="0"/>
    <x v="129"/>
    <x v="3"/>
    <n v="19"/>
    <x v="372"/>
    <n v="91.82"/>
    <n v="12.07"/>
    <n v="12.84"/>
    <n v="3.94"/>
    <n v="314.86"/>
    <n v="428"/>
    <n v="2"/>
    <n v="74"/>
  </r>
  <r>
    <n v="740"/>
    <s v="2021-10-07"/>
    <n v="2021"/>
    <s v="Q4"/>
    <x v="9"/>
    <x v="1"/>
    <x v="1"/>
    <x v="59"/>
    <x v="3"/>
    <n v="40"/>
    <x v="293"/>
    <n v="94.95"/>
    <n v="5.69"/>
    <n v="18.38"/>
    <n v="11.22"/>
    <n v="426.93"/>
    <n v="629"/>
    <n v="1"/>
    <n v="153"/>
  </r>
  <r>
    <n v="741"/>
    <s v="2021-09-30"/>
    <n v="2021"/>
    <s v="Q4"/>
    <x v="9"/>
    <x v="0"/>
    <x v="3"/>
    <x v="681"/>
    <x v="3"/>
    <n v="39"/>
    <x v="391"/>
    <n v="86.9"/>
    <n v="10.78"/>
    <n v="16.37"/>
    <n v="12.12"/>
    <n v="538.42999999999995"/>
    <n v="1028"/>
    <n v="1"/>
    <n v="208"/>
  </r>
  <r>
    <n v="742"/>
    <s v="2021-10-24"/>
    <n v="2021"/>
    <s v="Q4"/>
    <x v="9"/>
    <x v="2"/>
    <x v="3"/>
    <x v="682"/>
    <x v="4"/>
    <n v="17"/>
    <x v="84"/>
    <n v="91.77"/>
    <n v="31"/>
    <n v="17.93"/>
    <n v="8.4700000000000006"/>
    <n v="492.63"/>
    <n v="284"/>
    <n v="4"/>
    <n v="213"/>
  </r>
  <r>
    <n v="743"/>
    <s v="2021-10-09"/>
    <n v="2021"/>
    <s v="Q4"/>
    <x v="9"/>
    <x v="1"/>
    <x v="3"/>
    <x v="683"/>
    <x v="3"/>
    <n v="9"/>
    <x v="341"/>
    <n v="77"/>
    <n v="20.96"/>
    <n v="15.27"/>
    <n v="1.74"/>
    <n v="216.81"/>
    <n v="852"/>
    <n v="3"/>
    <n v="220"/>
  </r>
  <r>
    <n v="744"/>
    <s v="2021-10-16"/>
    <n v="2021"/>
    <s v="Q4"/>
    <x v="9"/>
    <x v="4"/>
    <x v="2"/>
    <x v="684"/>
    <x v="4"/>
    <n v="19"/>
    <x v="147"/>
    <n v="94.96"/>
    <n v="10.08"/>
    <n v="11.68"/>
    <n v="5.84"/>
    <n v="370.6"/>
    <n v="226"/>
    <n v="1"/>
    <n v="160"/>
  </r>
  <r>
    <n v="745"/>
    <s v="2021-09-30"/>
    <n v="2021"/>
    <s v="Q4"/>
    <x v="9"/>
    <x v="5"/>
    <x v="4"/>
    <x v="685"/>
    <x v="1"/>
    <n v="17"/>
    <x v="89"/>
    <n v="84.26"/>
    <n v="28.25"/>
    <n v="12.56"/>
    <n v="13.24"/>
    <n v="517.19000000000005"/>
    <n v="680"/>
    <n v="1"/>
    <n v="237"/>
  </r>
  <r>
    <n v="746"/>
    <s v="2021-10-13"/>
    <n v="2021"/>
    <s v="Q4"/>
    <x v="9"/>
    <x v="6"/>
    <x v="0"/>
    <x v="686"/>
    <x v="1"/>
    <n v="32"/>
    <x v="209"/>
    <n v="78.52"/>
    <n v="15.5"/>
    <n v="8.74"/>
    <n v="6.36"/>
    <n v="100.78"/>
    <n v="820"/>
    <n v="5"/>
    <n v="182"/>
  </r>
  <r>
    <n v="747"/>
    <s v="2021-10-24"/>
    <n v="2021"/>
    <s v="Q4"/>
    <x v="9"/>
    <x v="5"/>
    <x v="2"/>
    <x v="369"/>
    <x v="2"/>
    <n v="49"/>
    <x v="164"/>
    <n v="78.739999999999995"/>
    <n v="12.93"/>
    <n v="16.72"/>
    <n v="13.94"/>
    <n v="476.13"/>
    <n v="735"/>
    <n v="3"/>
    <n v="222"/>
  </r>
  <r>
    <n v="748"/>
    <s v="2021-10-26"/>
    <n v="2021"/>
    <s v="Q4"/>
    <x v="9"/>
    <x v="5"/>
    <x v="3"/>
    <x v="577"/>
    <x v="3"/>
    <n v="1"/>
    <x v="392"/>
    <n v="91.54"/>
    <n v="30.9"/>
    <n v="2.4900000000000002"/>
    <n v="11.7"/>
    <n v="280.33"/>
    <n v="300"/>
    <n v="4"/>
    <n v="177"/>
  </r>
  <r>
    <n v="749"/>
    <s v="2021-11-13"/>
    <n v="2021"/>
    <s v="Q4"/>
    <x v="10"/>
    <x v="0"/>
    <x v="4"/>
    <x v="687"/>
    <x v="2"/>
    <n v="20"/>
    <x v="111"/>
    <n v="90.34"/>
    <n v="6.95"/>
    <n v="13.01"/>
    <n v="10.06"/>
    <n v="167.71"/>
    <n v="647"/>
    <n v="4"/>
    <n v="150"/>
  </r>
  <r>
    <n v="750"/>
    <s v="2021-11-16"/>
    <n v="2021"/>
    <s v="Q4"/>
    <x v="10"/>
    <x v="5"/>
    <x v="1"/>
    <x v="688"/>
    <x v="2"/>
    <n v="19"/>
    <x v="393"/>
    <n v="82.71"/>
    <n v="31.53"/>
    <n v="12.14"/>
    <n v="2.91"/>
    <n v="163.82"/>
    <n v="478"/>
    <n v="2"/>
    <n v="177"/>
  </r>
  <r>
    <n v="751"/>
    <s v="2021-11-26"/>
    <n v="2021"/>
    <s v="Q4"/>
    <x v="10"/>
    <x v="5"/>
    <x v="2"/>
    <x v="689"/>
    <x v="4"/>
    <n v="21"/>
    <x v="268"/>
    <n v="79.3"/>
    <n v="25.95"/>
    <n v="16.64"/>
    <n v="3.59"/>
    <n v="265.62"/>
    <n v="447"/>
    <n v="1"/>
    <n v="239"/>
  </r>
  <r>
    <n v="752"/>
    <s v="2021-11-16"/>
    <n v="2021"/>
    <s v="Q4"/>
    <x v="10"/>
    <x v="2"/>
    <x v="4"/>
    <x v="690"/>
    <x v="1"/>
    <n v="39"/>
    <x v="30"/>
    <n v="86.03"/>
    <n v="10.32"/>
    <n v="17.510000000000002"/>
    <n v="8.06"/>
    <n v="402.3"/>
    <n v="639"/>
    <n v="5"/>
    <n v="192"/>
  </r>
  <r>
    <n v="753"/>
    <s v="2021-11-27"/>
    <n v="2021"/>
    <s v="Q4"/>
    <x v="10"/>
    <x v="5"/>
    <x v="2"/>
    <x v="375"/>
    <x v="3"/>
    <n v="18"/>
    <x v="108"/>
    <n v="93.25"/>
    <n v="26.56"/>
    <n v="6.34"/>
    <n v="8.0500000000000007"/>
    <n v="178.6"/>
    <n v="937"/>
    <n v="1"/>
    <n v="212"/>
  </r>
  <r>
    <n v="754"/>
    <s v="2021-11-14"/>
    <n v="2021"/>
    <s v="Q4"/>
    <x v="10"/>
    <x v="1"/>
    <x v="0"/>
    <x v="691"/>
    <x v="1"/>
    <n v="29"/>
    <x v="394"/>
    <n v="90.12"/>
    <n v="15.92"/>
    <n v="5.0599999999999996"/>
    <n v="1.91"/>
    <n v="155.09"/>
    <n v="295"/>
    <n v="1"/>
    <n v="93"/>
  </r>
  <r>
    <n v="755"/>
    <s v="2021-11-18"/>
    <n v="2021"/>
    <s v="Q4"/>
    <x v="10"/>
    <x v="7"/>
    <x v="2"/>
    <x v="692"/>
    <x v="3"/>
    <n v="47"/>
    <x v="395"/>
    <n v="76.260000000000005"/>
    <n v="16.66"/>
    <n v="21.8"/>
    <n v="12.39"/>
    <n v="118.06"/>
    <n v="420"/>
    <n v="2"/>
    <n v="77"/>
  </r>
  <r>
    <n v="756"/>
    <s v="2021-11-26"/>
    <n v="2021"/>
    <s v="Q4"/>
    <x v="10"/>
    <x v="4"/>
    <x v="3"/>
    <x v="693"/>
    <x v="0"/>
    <n v="3"/>
    <x v="396"/>
    <n v="76.489999999999995"/>
    <n v="18.14"/>
    <n v="7.53"/>
    <n v="14.96"/>
    <n v="494.88"/>
    <n v="310"/>
    <n v="3"/>
    <n v="242"/>
  </r>
  <r>
    <n v="757"/>
    <s v="2021-11-17"/>
    <n v="2021"/>
    <s v="Q4"/>
    <x v="10"/>
    <x v="0"/>
    <x v="2"/>
    <x v="694"/>
    <x v="1"/>
    <n v="12"/>
    <x v="397"/>
    <n v="90.93"/>
    <n v="30.05"/>
    <n v="15.95"/>
    <n v="12.73"/>
    <n v="103.58"/>
    <n v="257"/>
    <n v="1"/>
    <n v="216"/>
  </r>
  <r>
    <n v="758"/>
    <s v="2021-11-20"/>
    <n v="2021"/>
    <s v="Q4"/>
    <x v="10"/>
    <x v="2"/>
    <x v="2"/>
    <x v="695"/>
    <x v="0"/>
    <n v="27"/>
    <x v="233"/>
    <n v="79.56"/>
    <n v="9.65"/>
    <n v="15.84"/>
    <n v="3.74"/>
    <n v="261.81"/>
    <n v="230"/>
    <n v="1"/>
    <n v="95"/>
  </r>
  <r>
    <n v="759"/>
    <s v="2021-11-14"/>
    <n v="2021"/>
    <s v="Q4"/>
    <x v="10"/>
    <x v="3"/>
    <x v="4"/>
    <x v="696"/>
    <x v="2"/>
    <n v="42"/>
    <x v="398"/>
    <n v="77.95"/>
    <n v="18.03"/>
    <n v="6.01"/>
    <n v="1.1499999999999999"/>
    <n v="419.65"/>
    <n v="670"/>
    <n v="4"/>
    <n v="193"/>
  </r>
  <r>
    <n v="760"/>
    <s v="2021-11-08"/>
    <n v="2021"/>
    <s v="Q4"/>
    <x v="10"/>
    <x v="7"/>
    <x v="0"/>
    <x v="697"/>
    <x v="4"/>
    <n v="48"/>
    <x v="281"/>
    <n v="76.77"/>
    <n v="12.25"/>
    <n v="17.399999999999999"/>
    <n v="15.98"/>
    <n v="420.81"/>
    <n v="584"/>
    <n v="4"/>
    <n v="226"/>
  </r>
  <r>
    <n v="761"/>
    <s v="2021-11-06"/>
    <n v="2021"/>
    <s v="Q4"/>
    <x v="10"/>
    <x v="4"/>
    <x v="2"/>
    <x v="698"/>
    <x v="2"/>
    <n v="24"/>
    <x v="301"/>
    <n v="83.66"/>
    <n v="28.1"/>
    <n v="20.170000000000002"/>
    <n v="13.67"/>
    <n v="461.82"/>
    <n v="234"/>
    <n v="4"/>
    <n v="136"/>
  </r>
  <r>
    <n v="762"/>
    <s v="2021-11-21"/>
    <n v="2021"/>
    <s v="Q4"/>
    <x v="10"/>
    <x v="7"/>
    <x v="1"/>
    <x v="699"/>
    <x v="0"/>
    <n v="3"/>
    <x v="384"/>
    <n v="78.52"/>
    <n v="6.14"/>
    <n v="20.64"/>
    <n v="11.89"/>
    <n v="315.99"/>
    <n v="219"/>
    <n v="2"/>
    <n v="127"/>
  </r>
  <r>
    <n v="763"/>
    <s v="2021-11-01"/>
    <n v="2021"/>
    <s v="Q4"/>
    <x v="10"/>
    <x v="5"/>
    <x v="1"/>
    <x v="104"/>
    <x v="3"/>
    <n v="34"/>
    <x v="250"/>
    <n v="79.67"/>
    <n v="15.89"/>
    <n v="20.43"/>
    <n v="14.24"/>
    <n v="191.7"/>
    <n v="869"/>
    <n v="2"/>
    <n v="221"/>
  </r>
  <r>
    <n v="764"/>
    <s v="2021-11-25"/>
    <n v="2021"/>
    <s v="Q4"/>
    <x v="10"/>
    <x v="1"/>
    <x v="0"/>
    <x v="700"/>
    <x v="0"/>
    <n v="47"/>
    <x v="1"/>
    <n v="81.78"/>
    <n v="18.62"/>
    <n v="5.73"/>
    <n v="13.58"/>
    <n v="142.99"/>
    <n v="889"/>
    <n v="3"/>
    <n v="128"/>
  </r>
  <r>
    <n v="765"/>
    <s v="2021-11-17"/>
    <n v="2021"/>
    <s v="Q4"/>
    <x v="10"/>
    <x v="7"/>
    <x v="2"/>
    <x v="701"/>
    <x v="4"/>
    <n v="38"/>
    <x v="299"/>
    <n v="87.62"/>
    <n v="31.13"/>
    <n v="17.36"/>
    <n v="15.76"/>
    <n v="409.52"/>
    <n v="511"/>
    <n v="2"/>
    <n v="86"/>
  </r>
  <r>
    <n v="766"/>
    <s v="2021-11-15"/>
    <n v="2021"/>
    <s v="Q4"/>
    <x v="10"/>
    <x v="7"/>
    <x v="0"/>
    <x v="702"/>
    <x v="3"/>
    <n v="26"/>
    <x v="122"/>
    <n v="82.41"/>
    <n v="28.13"/>
    <n v="7.15"/>
    <n v="6.56"/>
    <n v="476.94"/>
    <n v="1023"/>
    <n v="3"/>
    <n v="100"/>
  </r>
  <r>
    <n v="767"/>
    <s v="2021-11-07"/>
    <n v="2021"/>
    <s v="Q4"/>
    <x v="10"/>
    <x v="4"/>
    <x v="0"/>
    <x v="703"/>
    <x v="2"/>
    <n v="20"/>
    <x v="399"/>
    <n v="90.05"/>
    <n v="15.29"/>
    <n v="14.81"/>
    <n v="5.58"/>
    <n v="553.9"/>
    <n v="467"/>
    <n v="3"/>
    <n v="68"/>
  </r>
  <r>
    <n v="768"/>
    <s v="2021-11-24"/>
    <n v="2021"/>
    <s v="Q4"/>
    <x v="10"/>
    <x v="1"/>
    <x v="1"/>
    <x v="143"/>
    <x v="4"/>
    <n v="8"/>
    <x v="400"/>
    <n v="88.64"/>
    <n v="18.59"/>
    <n v="7.36"/>
    <n v="3.9"/>
    <n v="441.31"/>
    <n v="1040"/>
    <n v="1"/>
    <n v="104"/>
  </r>
  <r>
    <n v="769"/>
    <s v="2021-11-06"/>
    <n v="2021"/>
    <s v="Q4"/>
    <x v="10"/>
    <x v="4"/>
    <x v="0"/>
    <x v="704"/>
    <x v="1"/>
    <n v="25"/>
    <x v="401"/>
    <n v="81.53"/>
    <n v="24.37"/>
    <n v="4.3600000000000003"/>
    <n v="11.85"/>
    <n v="111.23"/>
    <n v="292"/>
    <n v="2"/>
    <n v="90"/>
  </r>
  <r>
    <n v="770"/>
    <s v="2021-11-07"/>
    <n v="2021"/>
    <s v="Q4"/>
    <x v="10"/>
    <x v="5"/>
    <x v="4"/>
    <x v="705"/>
    <x v="4"/>
    <n v="27"/>
    <x v="402"/>
    <n v="84.84"/>
    <n v="16.63"/>
    <n v="9.19"/>
    <n v="12.95"/>
    <n v="193.5"/>
    <n v="413"/>
    <n v="5"/>
    <n v="170"/>
  </r>
  <r>
    <n v="771"/>
    <s v="2021-11-20"/>
    <n v="2021"/>
    <s v="Q4"/>
    <x v="10"/>
    <x v="7"/>
    <x v="0"/>
    <x v="706"/>
    <x v="3"/>
    <n v="35"/>
    <x v="363"/>
    <n v="87.45"/>
    <n v="27.59"/>
    <n v="20.02"/>
    <n v="6.11"/>
    <n v="122.39"/>
    <n v="434"/>
    <n v="3"/>
    <n v="208"/>
  </r>
  <r>
    <n v="772"/>
    <s v="2021-11-14"/>
    <n v="2021"/>
    <s v="Q4"/>
    <x v="10"/>
    <x v="0"/>
    <x v="2"/>
    <x v="707"/>
    <x v="2"/>
    <n v="39"/>
    <x v="366"/>
    <n v="86.35"/>
    <n v="27.85"/>
    <n v="16.78"/>
    <n v="10.61"/>
    <n v="473.38"/>
    <n v="435"/>
    <n v="2"/>
    <n v="161"/>
  </r>
  <r>
    <n v="773"/>
    <s v="2021-11-05"/>
    <n v="2021"/>
    <s v="Q4"/>
    <x v="10"/>
    <x v="0"/>
    <x v="2"/>
    <x v="708"/>
    <x v="4"/>
    <n v="32"/>
    <x v="251"/>
    <n v="79.3"/>
    <n v="8.39"/>
    <n v="13.65"/>
    <n v="10.24"/>
    <n v="178.49"/>
    <n v="448"/>
    <n v="3"/>
    <n v="144"/>
  </r>
  <r>
    <n v="774"/>
    <s v="2021-11-22"/>
    <n v="2021"/>
    <s v="Q4"/>
    <x v="10"/>
    <x v="1"/>
    <x v="0"/>
    <x v="709"/>
    <x v="2"/>
    <n v="8"/>
    <x v="34"/>
    <n v="90.71"/>
    <n v="7.87"/>
    <n v="18.02"/>
    <n v="1.62"/>
    <n v="526.29"/>
    <n v="1043"/>
    <n v="3"/>
    <n v="143"/>
  </r>
  <r>
    <n v="775"/>
    <s v="2021-11-24"/>
    <n v="2021"/>
    <s v="Q4"/>
    <x v="10"/>
    <x v="0"/>
    <x v="4"/>
    <x v="710"/>
    <x v="2"/>
    <n v="31"/>
    <x v="403"/>
    <n v="83.42"/>
    <n v="23.59"/>
    <n v="16.27"/>
    <n v="8.51"/>
    <n v="540.83000000000004"/>
    <n v="150"/>
    <n v="4"/>
    <n v="100"/>
  </r>
  <r>
    <n v="776"/>
    <s v="2021-11-13"/>
    <n v="2021"/>
    <s v="Q4"/>
    <x v="10"/>
    <x v="5"/>
    <x v="4"/>
    <x v="711"/>
    <x v="1"/>
    <n v="47"/>
    <x v="349"/>
    <n v="93.84"/>
    <n v="16.16"/>
    <n v="14.45"/>
    <n v="10.36"/>
    <n v="425.81"/>
    <n v="850"/>
    <n v="5"/>
    <n v="234"/>
  </r>
  <r>
    <n v="777"/>
    <s v="2021-11-26"/>
    <n v="2021"/>
    <s v="Q4"/>
    <x v="10"/>
    <x v="5"/>
    <x v="2"/>
    <x v="712"/>
    <x v="3"/>
    <n v="41"/>
    <x v="175"/>
    <n v="81.099999999999994"/>
    <n v="18.690000000000001"/>
    <n v="10.24"/>
    <n v="13.14"/>
    <n v="333.25"/>
    <n v="311"/>
    <n v="4"/>
    <n v="126"/>
  </r>
  <r>
    <n v="778"/>
    <s v="2021-11-19"/>
    <n v="2021"/>
    <s v="Q4"/>
    <x v="10"/>
    <x v="1"/>
    <x v="1"/>
    <x v="713"/>
    <x v="0"/>
    <n v="31"/>
    <x v="292"/>
    <n v="94.32"/>
    <n v="32.549999999999997"/>
    <n v="8.18"/>
    <n v="1.84"/>
    <n v="208.95"/>
    <n v="329"/>
    <n v="1"/>
    <n v="69"/>
  </r>
  <r>
    <n v="779"/>
    <s v="2021-11-20"/>
    <n v="2021"/>
    <s v="Q4"/>
    <x v="10"/>
    <x v="6"/>
    <x v="2"/>
    <x v="714"/>
    <x v="1"/>
    <n v="20"/>
    <x v="404"/>
    <n v="89.83"/>
    <n v="23.67"/>
    <n v="17.62"/>
    <n v="5.15"/>
    <n v="363.38"/>
    <n v="250"/>
    <n v="5"/>
    <n v="218"/>
  </r>
  <r>
    <n v="780"/>
    <s v="2021-11-17"/>
    <n v="2021"/>
    <s v="Q4"/>
    <x v="10"/>
    <x v="7"/>
    <x v="0"/>
    <x v="645"/>
    <x v="2"/>
    <n v="8"/>
    <x v="134"/>
    <n v="94.3"/>
    <n v="11.31"/>
    <n v="7.73"/>
    <n v="14.06"/>
    <n v="423.05"/>
    <n v="635"/>
    <n v="1"/>
    <n v="182"/>
  </r>
  <r>
    <n v="781"/>
    <s v="2021-11-12"/>
    <n v="2021"/>
    <s v="Q4"/>
    <x v="10"/>
    <x v="7"/>
    <x v="4"/>
    <x v="715"/>
    <x v="0"/>
    <n v="29"/>
    <x v="27"/>
    <n v="81.17"/>
    <n v="21.99"/>
    <n v="20.73"/>
    <n v="15.49"/>
    <n v="103.19"/>
    <n v="684"/>
    <n v="5"/>
    <n v="129"/>
  </r>
  <r>
    <n v="782"/>
    <s v="2021-11-14"/>
    <n v="2021"/>
    <s v="Q4"/>
    <x v="10"/>
    <x v="6"/>
    <x v="2"/>
    <x v="716"/>
    <x v="4"/>
    <n v="39"/>
    <x v="51"/>
    <n v="83.45"/>
    <n v="14.84"/>
    <n v="13.48"/>
    <n v="2.74"/>
    <n v="139.07"/>
    <n v="665"/>
    <n v="2"/>
    <n v="82"/>
  </r>
  <r>
    <n v="783"/>
    <s v="2021-12-19"/>
    <n v="2021"/>
    <s v="Q4"/>
    <x v="11"/>
    <x v="4"/>
    <x v="2"/>
    <x v="717"/>
    <x v="0"/>
    <n v="31"/>
    <x v="27"/>
    <n v="87.55"/>
    <n v="33.01"/>
    <n v="7.27"/>
    <n v="5.99"/>
    <n v="288.82"/>
    <n v="734"/>
    <n v="5"/>
    <n v="143"/>
  </r>
  <r>
    <n v="784"/>
    <s v="2021-12-05"/>
    <n v="2021"/>
    <s v="Q4"/>
    <x v="11"/>
    <x v="3"/>
    <x v="3"/>
    <x v="718"/>
    <x v="2"/>
    <n v="18"/>
    <x v="405"/>
    <n v="82.03"/>
    <n v="32.32"/>
    <n v="8.49"/>
    <n v="8.35"/>
    <n v="311.27"/>
    <n v="264"/>
    <n v="1"/>
    <n v="152"/>
  </r>
  <r>
    <n v="785"/>
    <s v="2021-12-27"/>
    <n v="2021"/>
    <s v="Q4"/>
    <x v="11"/>
    <x v="1"/>
    <x v="1"/>
    <x v="719"/>
    <x v="1"/>
    <n v="24"/>
    <x v="16"/>
    <n v="79.099999999999994"/>
    <n v="22.83"/>
    <n v="21.99"/>
    <n v="3.48"/>
    <n v="484.8"/>
    <n v="911"/>
    <n v="4"/>
    <n v="147"/>
  </r>
  <r>
    <n v="786"/>
    <s v="2021-11-30"/>
    <n v="2021"/>
    <s v="Q4"/>
    <x v="11"/>
    <x v="4"/>
    <x v="0"/>
    <x v="322"/>
    <x v="0"/>
    <n v="4"/>
    <x v="22"/>
    <n v="93.42"/>
    <n v="17.66"/>
    <n v="6.81"/>
    <n v="6.21"/>
    <n v="448.53"/>
    <n v="206"/>
    <n v="5"/>
    <n v="120"/>
  </r>
  <r>
    <n v="787"/>
    <s v="2021-12-20"/>
    <n v="2021"/>
    <s v="Q4"/>
    <x v="11"/>
    <x v="7"/>
    <x v="1"/>
    <x v="720"/>
    <x v="2"/>
    <n v="32"/>
    <x v="330"/>
    <n v="89.51"/>
    <n v="25.4"/>
    <n v="8.1"/>
    <n v="7.75"/>
    <n v="259.11"/>
    <n v="584"/>
    <n v="5"/>
    <n v="134"/>
  </r>
  <r>
    <n v="788"/>
    <s v="2021-12-07"/>
    <n v="2021"/>
    <s v="Q4"/>
    <x v="11"/>
    <x v="1"/>
    <x v="2"/>
    <x v="721"/>
    <x v="1"/>
    <n v="4"/>
    <x v="167"/>
    <n v="94.84"/>
    <n v="15.71"/>
    <n v="17.48"/>
    <n v="6.91"/>
    <n v="330.72"/>
    <n v="508"/>
    <n v="2"/>
    <n v="220"/>
  </r>
  <r>
    <n v="789"/>
    <s v="2021-12-23"/>
    <n v="2021"/>
    <s v="Q4"/>
    <x v="11"/>
    <x v="3"/>
    <x v="3"/>
    <x v="722"/>
    <x v="2"/>
    <n v="7"/>
    <x v="406"/>
    <n v="94.87"/>
    <n v="11.5"/>
    <n v="2.5299999999999998"/>
    <n v="13.9"/>
    <n v="523.6"/>
    <n v="307"/>
    <n v="3"/>
    <n v="164"/>
  </r>
  <r>
    <n v="790"/>
    <s v="2021-12-03"/>
    <n v="2021"/>
    <s v="Q4"/>
    <x v="11"/>
    <x v="0"/>
    <x v="3"/>
    <x v="723"/>
    <x v="3"/>
    <n v="29"/>
    <x v="407"/>
    <n v="91.56"/>
    <n v="29.5"/>
    <n v="16.3"/>
    <n v="10.28"/>
    <n v="113.38"/>
    <n v="988"/>
    <n v="5"/>
    <n v="168"/>
  </r>
  <r>
    <n v="791"/>
    <s v="2021-12-12"/>
    <n v="2021"/>
    <s v="Q4"/>
    <x v="11"/>
    <x v="3"/>
    <x v="2"/>
    <x v="658"/>
    <x v="0"/>
    <n v="49"/>
    <x v="394"/>
    <n v="83.9"/>
    <n v="26.16"/>
    <n v="4.67"/>
    <n v="6.87"/>
    <n v="267.33999999999997"/>
    <n v="391"/>
    <n v="1"/>
    <n v="66"/>
  </r>
  <r>
    <n v="792"/>
    <s v="2021-12-17"/>
    <n v="2021"/>
    <s v="Q4"/>
    <x v="11"/>
    <x v="7"/>
    <x v="4"/>
    <x v="724"/>
    <x v="1"/>
    <n v="47"/>
    <x v="144"/>
    <n v="78.92"/>
    <n v="20.57"/>
    <n v="19.7"/>
    <n v="9.0299999999999994"/>
    <n v="514.57000000000005"/>
    <n v="464"/>
    <n v="2"/>
    <n v="242"/>
  </r>
  <r>
    <n v="793"/>
    <s v="2021-12-13"/>
    <n v="2021"/>
    <s v="Q4"/>
    <x v="11"/>
    <x v="1"/>
    <x v="3"/>
    <x v="725"/>
    <x v="1"/>
    <n v="45"/>
    <x v="408"/>
    <n v="80.55"/>
    <n v="7.58"/>
    <n v="20.47"/>
    <n v="8.6199999999999992"/>
    <n v="151.43"/>
    <n v="498"/>
    <n v="4"/>
    <n v="67"/>
  </r>
  <r>
    <n v="794"/>
    <s v="2021-12-24"/>
    <n v="2021"/>
    <s v="Q4"/>
    <x v="11"/>
    <x v="5"/>
    <x v="0"/>
    <x v="726"/>
    <x v="1"/>
    <n v="40"/>
    <x v="369"/>
    <n v="75.010000000000005"/>
    <n v="18.010000000000002"/>
    <n v="12.78"/>
    <n v="12.86"/>
    <n v="129.88999999999999"/>
    <n v="257"/>
    <n v="5"/>
    <n v="238"/>
  </r>
  <r>
    <n v="795"/>
    <s v="2021-12-09"/>
    <n v="2021"/>
    <s v="Q4"/>
    <x v="11"/>
    <x v="7"/>
    <x v="1"/>
    <x v="727"/>
    <x v="4"/>
    <n v="3"/>
    <x v="409"/>
    <n v="75.91"/>
    <n v="27.4"/>
    <n v="4.03"/>
    <n v="11.61"/>
    <n v="338.72"/>
    <n v="1055"/>
    <n v="5"/>
    <n v="209"/>
  </r>
  <r>
    <n v="796"/>
    <s v="2021-12-23"/>
    <n v="2021"/>
    <s v="Q4"/>
    <x v="11"/>
    <x v="5"/>
    <x v="1"/>
    <x v="728"/>
    <x v="0"/>
    <n v="35"/>
    <x v="205"/>
    <n v="80.959999999999994"/>
    <n v="21.96"/>
    <n v="2.85"/>
    <n v="11.24"/>
    <n v="515.26"/>
    <n v="265"/>
    <n v="2"/>
    <n v="85"/>
  </r>
  <r>
    <n v="797"/>
    <s v="2021-12-06"/>
    <n v="2021"/>
    <s v="Q4"/>
    <x v="11"/>
    <x v="1"/>
    <x v="2"/>
    <x v="729"/>
    <x v="2"/>
    <n v="39"/>
    <x v="103"/>
    <n v="82.25"/>
    <n v="17.399999999999999"/>
    <n v="21.08"/>
    <n v="13.91"/>
    <n v="458.92"/>
    <n v="234"/>
    <n v="3"/>
    <n v="97"/>
  </r>
  <r>
    <n v="798"/>
    <s v="2021-12-25"/>
    <n v="2021"/>
    <s v="Q4"/>
    <x v="11"/>
    <x v="3"/>
    <x v="2"/>
    <x v="730"/>
    <x v="2"/>
    <n v="49"/>
    <x v="67"/>
    <n v="81.400000000000006"/>
    <n v="31.69"/>
    <n v="10.88"/>
    <n v="13.08"/>
    <n v="495.99"/>
    <n v="254"/>
    <n v="3"/>
    <n v="227"/>
  </r>
  <r>
    <n v="799"/>
    <s v="2021-12-19"/>
    <n v="2021"/>
    <s v="Q4"/>
    <x v="11"/>
    <x v="3"/>
    <x v="1"/>
    <x v="613"/>
    <x v="2"/>
    <n v="43"/>
    <x v="410"/>
    <n v="92.49"/>
    <n v="26.02"/>
    <n v="20.74"/>
    <n v="5.63"/>
    <n v="376.55"/>
    <n v="856"/>
    <n v="5"/>
    <n v="87"/>
  </r>
  <r>
    <n v="800"/>
    <s v="2021-12-02"/>
    <n v="2021"/>
    <s v="Q4"/>
    <x v="11"/>
    <x v="3"/>
    <x v="2"/>
    <x v="731"/>
    <x v="2"/>
    <n v="8"/>
    <x v="411"/>
    <n v="78.92"/>
    <n v="32.520000000000003"/>
    <n v="12.59"/>
    <n v="9.57"/>
    <n v="366.44"/>
    <n v="298"/>
    <n v="1"/>
    <n v="79"/>
  </r>
  <r>
    <n v="801"/>
    <s v="2021-12-17"/>
    <n v="2021"/>
    <s v="Q4"/>
    <x v="11"/>
    <x v="7"/>
    <x v="4"/>
    <x v="732"/>
    <x v="4"/>
    <n v="37"/>
    <x v="135"/>
    <n v="79.39"/>
    <n v="12.63"/>
    <n v="6.64"/>
    <n v="11.48"/>
    <n v="407.49"/>
    <n v="738"/>
    <n v="2"/>
    <n v="177"/>
  </r>
  <r>
    <n v="802"/>
    <s v="2021-12-19"/>
    <n v="2021"/>
    <s v="Q4"/>
    <x v="11"/>
    <x v="2"/>
    <x v="2"/>
    <x v="733"/>
    <x v="4"/>
    <n v="42"/>
    <x v="211"/>
    <n v="77.7"/>
    <n v="21.14"/>
    <n v="4.29"/>
    <n v="3.97"/>
    <n v="493.64"/>
    <n v="413"/>
    <n v="4"/>
    <n v="108"/>
  </r>
  <r>
    <n v="803"/>
    <s v="2021-12-08"/>
    <n v="2021"/>
    <s v="Q4"/>
    <x v="11"/>
    <x v="6"/>
    <x v="4"/>
    <x v="734"/>
    <x v="1"/>
    <n v="24"/>
    <x v="383"/>
    <n v="80.099999999999994"/>
    <n v="8.65"/>
    <n v="10.35"/>
    <n v="8.67"/>
    <n v="556.95000000000005"/>
    <n v="379"/>
    <n v="2"/>
    <n v="103"/>
  </r>
  <r>
    <n v="804"/>
    <s v="2021-12-27"/>
    <n v="2021"/>
    <s v="Q4"/>
    <x v="11"/>
    <x v="2"/>
    <x v="2"/>
    <x v="291"/>
    <x v="1"/>
    <n v="13"/>
    <x v="319"/>
    <n v="93.07"/>
    <n v="15.34"/>
    <n v="9.73"/>
    <n v="15.35"/>
    <n v="280.86"/>
    <n v="441"/>
    <n v="3"/>
    <n v="217"/>
  </r>
  <r>
    <n v="805"/>
    <s v="2021-12-20"/>
    <n v="2021"/>
    <s v="Q4"/>
    <x v="11"/>
    <x v="7"/>
    <x v="2"/>
    <x v="434"/>
    <x v="0"/>
    <n v="40"/>
    <x v="412"/>
    <n v="78.180000000000007"/>
    <n v="18.82"/>
    <n v="3.49"/>
    <n v="2.27"/>
    <n v="377.63"/>
    <n v="379"/>
    <n v="4"/>
    <n v="238"/>
  </r>
  <r>
    <n v="806"/>
    <s v="2021-12-24"/>
    <n v="2021"/>
    <s v="Q4"/>
    <x v="11"/>
    <x v="7"/>
    <x v="4"/>
    <x v="735"/>
    <x v="2"/>
    <n v="17"/>
    <x v="38"/>
    <n v="76.069999999999993"/>
    <n v="33.46"/>
    <n v="3.56"/>
    <n v="12.92"/>
    <n v="492.16"/>
    <n v="336"/>
    <n v="4"/>
    <n v="75"/>
  </r>
  <r>
    <n v="807"/>
    <s v="2021-12-22"/>
    <n v="2021"/>
    <s v="Q4"/>
    <x v="11"/>
    <x v="1"/>
    <x v="3"/>
    <x v="736"/>
    <x v="2"/>
    <n v="8"/>
    <x v="55"/>
    <n v="77.709999999999994"/>
    <n v="6.49"/>
    <n v="2.33"/>
    <n v="13.56"/>
    <n v="157.94999999999999"/>
    <n v="722"/>
    <n v="2"/>
    <n v="83"/>
  </r>
  <r>
    <n v="808"/>
    <s v="2021-12-26"/>
    <n v="2021"/>
    <s v="Q4"/>
    <x v="11"/>
    <x v="1"/>
    <x v="1"/>
    <x v="737"/>
    <x v="4"/>
    <n v="44"/>
    <x v="209"/>
    <n v="90.56"/>
    <n v="7.9"/>
    <n v="21.42"/>
    <n v="13.82"/>
    <n v="207.61"/>
    <n v="909"/>
    <n v="2"/>
    <n v="167"/>
  </r>
  <r>
    <n v="809"/>
    <s v="2021-11-30"/>
    <n v="2021"/>
    <s v="Q4"/>
    <x v="11"/>
    <x v="0"/>
    <x v="0"/>
    <x v="738"/>
    <x v="0"/>
    <n v="20"/>
    <x v="413"/>
    <n v="94.51"/>
    <n v="21.36"/>
    <n v="20.09"/>
    <n v="10.47"/>
    <n v="597.37"/>
    <n v="903"/>
    <n v="5"/>
    <n v="90"/>
  </r>
  <r>
    <n v="810"/>
    <s v="2021-12-25"/>
    <n v="2021"/>
    <s v="Q4"/>
    <x v="11"/>
    <x v="0"/>
    <x v="0"/>
    <x v="739"/>
    <x v="1"/>
    <n v="27"/>
    <x v="414"/>
    <n v="90.96"/>
    <n v="30.92"/>
    <n v="3.52"/>
    <n v="5.09"/>
    <n v="394.11"/>
    <n v="530"/>
    <n v="1"/>
    <n v="93"/>
  </r>
  <r>
    <n v="811"/>
    <s v="2021-12-26"/>
    <n v="2021"/>
    <s v="Q4"/>
    <x v="11"/>
    <x v="7"/>
    <x v="2"/>
    <x v="740"/>
    <x v="0"/>
    <n v="18"/>
    <x v="8"/>
    <n v="79.03"/>
    <n v="6.71"/>
    <n v="16.13"/>
    <n v="4.09"/>
    <n v="530.32000000000005"/>
    <n v="784"/>
    <n v="3"/>
    <n v="67"/>
  </r>
  <r>
    <n v="812"/>
    <s v="2021-12-03"/>
    <n v="2021"/>
    <s v="Q4"/>
    <x v="11"/>
    <x v="4"/>
    <x v="3"/>
    <x v="741"/>
    <x v="4"/>
    <n v="32"/>
    <x v="299"/>
    <n v="89.81"/>
    <n v="27.04"/>
    <n v="7.6"/>
    <n v="14.6"/>
    <n v="279.16000000000003"/>
    <n v="325"/>
    <n v="3"/>
    <n v="54"/>
  </r>
  <r>
    <n v="813"/>
    <s v="2021-12-24"/>
    <n v="2021"/>
    <s v="Q4"/>
    <x v="11"/>
    <x v="3"/>
    <x v="4"/>
    <x v="742"/>
    <x v="3"/>
    <n v="43"/>
    <x v="415"/>
    <n v="79.86"/>
    <n v="17.510000000000002"/>
    <n v="8.41"/>
    <n v="10.08"/>
    <n v="372.03"/>
    <n v="1062"/>
    <n v="5"/>
    <n v="180"/>
  </r>
  <r>
    <n v="814"/>
    <s v="2021-12-17"/>
    <n v="2021"/>
    <s v="Q4"/>
    <x v="11"/>
    <x v="2"/>
    <x v="3"/>
    <x v="743"/>
    <x v="1"/>
    <n v="21"/>
    <x v="147"/>
    <n v="90.03"/>
    <n v="20.22"/>
    <n v="4.12"/>
    <n v="1.75"/>
    <n v="566.89"/>
    <n v="495"/>
    <n v="3"/>
    <n v="107"/>
  </r>
  <r>
    <n v="815"/>
    <s v="2021-12-09"/>
    <n v="2021"/>
    <s v="Q4"/>
    <x v="11"/>
    <x v="4"/>
    <x v="4"/>
    <x v="370"/>
    <x v="2"/>
    <n v="4"/>
    <x v="341"/>
    <n v="83.43"/>
    <n v="33.520000000000003"/>
    <n v="7.54"/>
    <n v="5.61"/>
    <n v="333.36"/>
    <n v="600"/>
    <n v="4"/>
    <n v="62"/>
  </r>
  <r>
    <n v="816"/>
    <s v="2021-12-15"/>
    <n v="2021"/>
    <s v="Q4"/>
    <x v="11"/>
    <x v="7"/>
    <x v="2"/>
    <x v="744"/>
    <x v="3"/>
    <n v="19"/>
    <x v="414"/>
    <n v="92.16"/>
    <n v="27.43"/>
    <n v="17.690000000000001"/>
    <n v="5.95"/>
    <n v="146.18"/>
    <n v="146"/>
    <n v="3"/>
    <n v="121"/>
  </r>
  <r>
    <n v="817"/>
    <s v="2022-01-15"/>
    <n v="2022"/>
    <s v="Q1"/>
    <x v="0"/>
    <x v="4"/>
    <x v="2"/>
    <x v="745"/>
    <x v="1"/>
    <n v="32"/>
    <x v="214"/>
    <n v="89.37"/>
    <n v="14.44"/>
    <n v="17.13"/>
    <n v="13.22"/>
    <n v="321.66000000000003"/>
    <n v="1001"/>
    <n v="4"/>
    <n v="118"/>
  </r>
  <r>
    <n v="818"/>
    <s v="2022-01-19"/>
    <n v="2022"/>
    <s v="Q1"/>
    <x v="0"/>
    <x v="0"/>
    <x v="1"/>
    <x v="746"/>
    <x v="4"/>
    <n v="6"/>
    <x v="365"/>
    <n v="81.94"/>
    <n v="9.9600000000000009"/>
    <n v="17.41"/>
    <n v="5.5"/>
    <n v="306.29000000000002"/>
    <n v="1088"/>
    <n v="4"/>
    <n v="242"/>
  </r>
  <r>
    <n v="819"/>
    <s v="2022-01-21"/>
    <n v="2022"/>
    <s v="Q1"/>
    <x v="0"/>
    <x v="7"/>
    <x v="1"/>
    <x v="384"/>
    <x v="2"/>
    <n v="16"/>
    <x v="416"/>
    <n v="80.09"/>
    <n v="5.45"/>
    <n v="5.31"/>
    <n v="10.88"/>
    <n v="359.73"/>
    <n v="232"/>
    <n v="1"/>
    <n v="246"/>
  </r>
  <r>
    <n v="820"/>
    <s v="2022-01-21"/>
    <n v="2022"/>
    <s v="Q1"/>
    <x v="0"/>
    <x v="4"/>
    <x v="2"/>
    <x v="747"/>
    <x v="2"/>
    <n v="30"/>
    <x v="87"/>
    <n v="80.180000000000007"/>
    <n v="10.63"/>
    <n v="5.5"/>
    <n v="15.38"/>
    <n v="380.19"/>
    <n v="1082"/>
    <n v="2"/>
    <n v="144"/>
  </r>
  <r>
    <n v="821"/>
    <s v="2022-01-17"/>
    <n v="2022"/>
    <s v="Q1"/>
    <x v="0"/>
    <x v="5"/>
    <x v="4"/>
    <x v="620"/>
    <x v="4"/>
    <n v="33"/>
    <x v="130"/>
    <n v="84.07"/>
    <n v="5.83"/>
    <n v="11.05"/>
    <n v="1.36"/>
    <n v="154.19999999999999"/>
    <n v="729"/>
    <n v="1"/>
    <n v="103"/>
  </r>
  <r>
    <n v="822"/>
    <s v="2022-01-07"/>
    <n v="2022"/>
    <s v="Q1"/>
    <x v="0"/>
    <x v="3"/>
    <x v="0"/>
    <x v="748"/>
    <x v="4"/>
    <n v="48"/>
    <x v="417"/>
    <n v="92.41"/>
    <n v="6.35"/>
    <n v="17.399999999999999"/>
    <n v="10.86"/>
    <n v="296.45"/>
    <n v="109"/>
    <n v="5"/>
    <n v="129"/>
  </r>
  <r>
    <n v="823"/>
    <s v="2022-01-17"/>
    <n v="2022"/>
    <s v="Q1"/>
    <x v="0"/>
    <x v="0"/>
    <x v="1"/>
    <x v="749"/>
    <x v="3"/>
    <n v="44"/>
    <x v="205"/>
    <n v="76.25"/>
    <n v="8.0299999999999994"/>
    <n v="4.83"/>
    <n v="11.84"/>
    <n v="308.52"/>
    <n v="483"/>
    <n v="5"/>
    <n v="148"/>
  </r>
  <r>
    <n v="824"/>
    <s v="2022-01-19"/>
    <n v="2022"/>
    <s v="Q1"/>
    <x v="0"/>
    <x v="7"/>
    <x v="0"/>
    <x v="750"/>
    <x v="4"/>
    <n v="41"/>
    <x v="92"/>
    <n v="85.31"/>
    <n v="17.62"/>
    <n v="12.4"/>
    <n v="12.65"/>
    <n v="265.06"/>
    <n v="428"/>
    <n v="3"/>
    <n v="51"/>
  </r>
  <r>
    <n v="825"/>
    <s v="2022-01-10"/>
    <n v="2022"/>
    <s v="Q1"/>
    <x v="0"/>
    <x v="5"/>
    <x v="4"/>
    <x v="366"/>
    <x v="4"/>
    <n v="33"/>
    <x v="56"/>
    <n v="83.37"/>
    <n v="13.69"/>
    <n v="9.2200000000000006"/>
    <n v="15.61"/>
    <n v="591.71"/>
    <n v="379"/>
    <n v="1"/>
    <n v="202"/>
  </r>
  <r>
    <n v="826"/>
    <s v="2022-01-14"/>
    <n v="2022"/>
    <s v="Q1"/>
    <x v="0"/>
    <x v="5"/>
    <x v="4"/>
    <x v="751"/>
    <x v="3"/>
    <n v="11"/>
    <x v="418"/>
    <n v="88.82"/>
    <n v="16.04"/>
    <n v="10.77"/>
    <n v="2.7"/>
    <n v="256.93"/>
    <n v="561"/>
    <n v="3"/>
    <n v="242"/>
  </r>
  <r>
    <n v="827"/>
    <s v="2022-01-02"/>
    <n v="2022"/>
    <s v="Q1"/>
    <x v="0"/>
    <x v="3"/>
    <x v="4"/>
    <x v="752"/>
    <x v="2"/>
    <n v="40"/>
    <x v="203"/>
    <n v="79.95"/>
    <n v="13.43"/>
    <n v="11.29"/>
    <n v="4.32"/>
    <n v="381.66"/>
    <n v="1007"/>
    <n v="2"/>
    <n v="243"/>
  </r>
  <r>
    <n v="828"/>
    <s v="2022-01-07"/>
    <n v="2022"/>
    <s v="Q1"/>
    <x v="0"/>
    <x v="0"/>
    <x v="3"/>
    <x v="753"/>
    <x v="4"/>
    <n v="30"/>
    <x v="96"/>
    <n v="80.540000000000006"/>
    <n v="17.28"/>
    <n v="20.51"/>
    <n v="1.44"/>
    <n v="297.66000000000003"/>
    <n v="654"/>
    <n v="4"/>
    <n v="238"/>
  </r>
  <r>
    <n v="829"/>
    <s v="2022-01-17"/>
    <n v="2022"/>
    <s v="Q1"/>
    <x v="0"/>
    <x v="3"/>
    <x v="4"/>
    <x v="754"/>
    <x v="3"/>
    <n v="20"/>
    <x v="6"/>
    <n v="92.56"/>
    <n v="34.78"/>
    <n v="2.5299999999999998"/>
    <n v="3.11"/>
    <n v="361.32"/>
    <n v="195"/>
    <n v="1"/>
    <n v="213"/>
  </r>
  <r>
    <n v="830"/>
    <s v="2022-01-05"/>
    <n v="2022"/>
    <s v="Q1"/>
    <x v="0"/>
    <x v="4"/>
    <x v="3"/>
    <x v="755"/>
    <x v="0"/>
    <n v="38"/>
    <x v="419"/>
    <n v="76"/>
    <n v="29.9"/>
    <n v="8.1999999999999993"/>
    <n v="15.18"/>
    <n v="384.06"/>
    <n v="143"/>
    <n v="1"/>
    <n v="76"/>
  </r>
  <r>
    <n v="831"/>
    <s v="2022-01-01"/>
    <n v="2022"/>
    <s v="Q1"/>
    <x v="0"/>
    <x v="2"/>
    <x v="2"/>
    <x v="756"/>
    <x v="4"/>
    <n v="13"/>
    <x v="194"/>
    <n v="92.78"/>
    <n v="7.09"/>
    <n v="15.21"/>
    <n v="2.1800000000000002"/>
    <n v="551.54"/>
    <n v="497"/>
    <n v="4"/>
    <n v="190"/>
  </r>
  <r>
    <n v="832"/>
    <s v="2022-01-24"/>
    <n v="2022"/>
    <s v="Q1"/>
    <x v="0"/>
    <x v="7"/>
    <x v="1"/>
    <x v="757"/>
    <x v="1"/>
    <n v="18"/>
    <x v="420"/>
    <n v="75.319999999999993"/>
    <n v="19.53"/>
    <n v="21.29"/>
    <n v="7.31"/>
    <n v="570.34"/>
    <n v="602"/>
    <n v="5"/>
    <n v="230"/>
  </r>
  <r>
    <n v="833"/>
    <s v="2022-01-11"/>
    <n v="2022"/>
    <s v="Q1"/>
    <x v="0"/>
    <x v="5"/>
    <x v="1"/>
    <x v="758"/>
    <x v="1"/>
    <n v="28"/>
    <x v="333"/>
    <n v="81.19"/>
    <n v="22.33"/>
    <n v="10.89"/>
    <n v="14.59"/>
    <n v="173.9"/>
    <n v="906"/>
    <n v="5"/>
    <n v="69"/>
  </r>
  <r>
    <n v="834"/>
    <s v="2022-01-01"/>
    <n v="2022"/>
    <s v="Q1"/>
    <x v="0"/>
    <x v="7"/>
    <x v="2"/>
    <x v="759"/>
    <x v="2"/>
    <n v="33"/>
    <x v="12"/>
    <n v="80.849999999999994"/>
    <n v="22.87"/>
    <n v="21.66"/>
    <n v="13.17"/>
    <n v="137.22"/>
    <n v="709"/>
    <n v="4"/>
    <n v="58"/>
  </r>
  <r>
    <n v="835"/>
    <s v="2022-01-21"/>
    <n v="2022"/>
    <s v="Q1"/>
    <x v="0"/>
    <x v="0"/>
    <x v="1"/>
    <x v="760"/>
    <x v="2"/>
    <n v="50"/>
    <x v="79"/>
    <n v="82.07"/>
    <n v="7.92"/>
    <n v="11.17"/>
    <n v="6.43"/>
    <n v="399.2"/>
    <n v="1066"/>
    <n v="1"/>
    <n v="117"/>
  </r>
  <r>
    <n v="836"/>
    <s v="2022-01-21"/>
    <n v="2022"/>
    <s v="Q1"/>
    <x v="0"/>
    <x v="1"/>
    <x v="2"/>
    <x v="0"/>
    <x v="1"/>
    <n v="12"/>
    <x v="407"/>
    <n v="94.04"/>
    <n v="25.61"/>
    <n v="4.1100000000000003"/>
    <n v="10.56"/>
    <n v="246.21"/>
    <n v="1012"/>
    <n v="4"/>
    <n v="222"/>
  </r>
  <r>
    <n v="837"/>
    <s v="2022-01-26"/>
    <n v="2022"/>
    <s v="Q1"/>
    <x v="0"/>
    <x v="3"/>
    <x v="3"/>
    <x v="761"/>
    <x v="0"/>
    <n v="47"/>
    <x v="351"/>
    <n v="84.24"/>
    <n v="23.76"/>
    <n v="3.89"/>
    <n v="12.41"/>
    <n v="406.35"/>
    <n v="730"/>
    <n v="3"/>
    <n v="156"/>
  </r>
  <r>
    <n v="838"/>
    <s v="2021-12-31"/>
    <n v="2022"/>
    <s v="Q1"/>
    <x v="0"/>
    <x v="7"/>
    <x v="0"/>
    <x v="252"/>
    <x v="2"/>
    <n v="5"/>
    <x v="397"/>
    <n v="79.05"/>
    <n v="28"/>
    <n v="19.2"/>
    <n v="1.45"/>
    <n v="323.10000000000002"/>
    <n v="147"/>
    <n v="3"/>
    <n v="228"/>
  </r>
  <r>
    <n v="839"/>
    <s v="2021-12-31"/>
    <n v="2022"/>
    <s v="Q1"/>
    <x v="0"/>
    <x v="6"/>
    <x v="2"/>
    <x v="762"/>
    <x v="1"/>
    <n v="7"/>
    <x v="92"/>
    <n v="88.66"/>
    <n v="23.36"/>
    <n v="6.27"/>
    <n v="8.09"/>
    <n v="505.61"/>
    <n v="110"/>
    <n v="1"/>
    <n v="135"/>
  </r>
  <r>
    <n v="840"/>
    <s v="2022-01-25"/>
    <n v="2022"/>
    <s v="Q1"/>
    <x v="0"/>
    <x v="7"/>
    <x v="4"/>
    <x v="763"/>
    <x v="0"/>
    <n v="35"/>
    <x v="421"/>
    <n v="93.71"/>
    <n v="8.57"/>
    <n v="18.59"/>
    <n v="7.66"/>
    <n v="528.45000000000005"/>
    <n v="527"/>
    <n v="5"/>
    <n v="238"/>
  </r>
  <r>
    <n v="841"/>
    <s v="2022-01-03"/>
    <n v="2022"/>
    <s v="Q1"/>
    <x v="0"/>
    <x v="5"/>
    <x v="3"/>
    <x v="764"/>
    <x v="3"/>
    <n v="40"/>
    <x v="344"/>
    <n v="76.98"/>
    <n v="25.64"/>
    <n v="19.86"/>
    <n v="11.86"/>
    <n v="157.02000000000001"/>
    <n v="868"/>
    <n v="2"/>
    <n v="53"/>
  </r>
  <r>
    <n v="842"/>
    <s v="2022-01-13"/>
    <n v="2022"/>
    <s v="Q1"/>
    <x v="0"/>
    <x v="0"/>
    <x v="3"/>
    <x v="765"/>
    <x v="1"/>
    <n v="2"/>
    <x v="222"/>
    <n v="76.28"/>
    <n v="22.99"/>
    <n v="17.899999999999999"/>
    <n v="2.34"/>
    <n v="529.49"/>
    <n v="847"/>
    <n v="1"/>
    <n v="209"/>
  </r>
  <r>
    <n v="843"/>
    <s v="2022-01-06"/>
    <n v="2022"/>
    <s v="Q1"/>
    <x v="0"/>
    <x v="1"/>
    <x v="2"/>
    <x v="766"/>
    <x v="4"/>
    <n v="25"/>
    <x v="154"/>
    <n v="81.12"/>
    <n v="8.9499999999999993"/>
    <n v="19.82"/>
    <n v="1.84"/>
    <n v="548.16999999999996"/>
    <n v="256"/>
    <n v="4"/>
    <n v="204"/>
  </r>
  <r>
    <n v="844"/>
    <s v="2022-01-15"/>
    <n v="2022"/>
    <s v="Q1"/>
    <x v="0"/>
    <x v="7"/>
    <x v="0"/>
    <x v="767"/>
    <x v="2"/>
    <n v="7"/>
    <x v="422"/>
    <n v="79.39"/>
    <n v="10.49"/>
    <n v="18.89"/>
    <n v="11.66"/>
    <n v="430.81"/>
    <n v="777"/>
    <n v="5"/>
    <n v="149"/>
  </r>
  <r>
    <n v="845"/>
    <s v="2022-01-25"/>
    <n v="2022"/>
    <s v="Q1"/>
    <x v="0"/>
    <x v="1"/>
    <x v="0"/>
    <x v="84"/>
    <x v="1"/>
    <n v="5"/>
    <x v="180"/>
    <n v="84.74"/>
    <n v="29.96"/>
    <n v="21.92"/>
    <n v="14.46"/>
    <n v="290.22000000000003"/>
    <n v="682"/>
    <n v="4"/>
    <n v="121"/>
  </r>
  <r>
    <n v="846"/>
    <s v="2021-12-31"/>
    <n v="2022"/>
    <s v="Q1"/>
    <x v="0"/>
    <x v="5"/>
    <x v="3"/>
    <x v="768"/>
    <x v="2"/>
    <n v="18"/>
    <x v="147"/>
    <n v="91.08"/>
    <n v="16.670000000000002"/>
    <n v="18.54"/>
    <n v="8.1"/>
    <n v="499.09"/>
    <n v="829"/>
    <n v="2"/>
    <n v="224"/>
  </r>
  <r>
    <n v="847"/>
    <s v="2022-01-05"/>
    <n v="2022"/>
    <s v="Q1"/>
    <x v="0"/>
    <x v="7"/>
    <x v="1"/>
    <x v="769"/>
    <x v="3"/>
    <n v="4"/>
    <x v="253"/>
    <n v="88.57"/>
    <n v="32.54"/>
    <n v="7.43"/>
    <n v="6.12"/>
    <n v="561.26"/>
    <n v="1038"/>
    <n v="2"/>
    <n v="245"/>
  </r>
  <r>
    <n v="848"/>
    <s v="2022-01-04"/>
    <n v="2022"/>
    <s v="Q1"/>
    <x v="0"/>
    <x v="2"/>
    <x v="2"/>
    <x v="770"/>
    <x v="2"/>
    <n v="35"/>
    <x v="189"/>
    <n v="75.790000000000006"/>
    <n v="31.36"/>
    <n v="21.61"/>
    <n v="6.41"/>
    <n v="537.1"/>
    <n v="728"/>
    <n v="4"/>
    <n v="116"/>
  </r>
  <r>
    <n v="849"/>
    <s v="2022-01-01"/>
    <n v="2022"/>
    <s v="Q1"/>
    <x v="0"/>
    <x v="4"/>
    <x v="0"/>
    <x v="771"/>
    <x v="0"/>
    <n v="6"/>
    <x v="144"/>
    <n v="91.27"/>
    <n v="23.75"/>
    <n v="7.11"/>
    <n v="10.55"/>
    <n v="226.68"/>
    <n v="213"/>
    <n v="5"/>
    <n v="157"/>
  </r>
  <r>
    <n v="850"/>
    <s v="2022-01-15"/>
    <n v="2022"/>
    <s v="Q1"/>
    <x v="0"/>
    <x v="2"/>
    <x v="4"/>
    <x v="772"/>
    <x v="1"/>
    <n v="7"/>
    <x v="423"/>
    <n v="92.39"/>
    <n v="22.6"/>
    <n v="17.690000000000001"/>
    <n v="1.42"/>
    <n v="124.98"/>
    <n v="456"/>
    <n v="1"/>
    <n v="159"/>
  </r>
  <r>
    <n v="851"/>
    <s v="2022-02-23"/>
    <n v="2022"/>
    <s v="Q1"/>
    <x v="1"/>
    <x v="0"/>
    <x v="2"/>
    <x v="773"/>
    <x v="2"/>
    <n v="47"/>
    <x v="80"/>
    <n v="83.57"/>
    <n v="11.79"/>
    <n v="6.75"/>
    <n v="13.77"/>
    <n v="547.61"/>
    <n v="752"/>
    <n v="2"/>
    <n v="214"/>
  </r>
  <r>
    <n v="852"/>
    <s v="2022-02-10"/>
    <n v="2022"/>
    <s v="Q1"/>
    <x v="1"/>
    <x v="4"/>
    <x v="0"/>
    <x v="774"/>
    <x v="0"/>
    <n v="46"/>
    <x v="143"/>
    <n v="94.65"/>
    <n v="5.51"/>
    <n v="19.329999999999998"/>
    <n v="5.86"/>
    <n v="565.53"/>
    <n v="378"/>
    <n v="2"/>
    <n v="88"/>
  </r>
  <r>
    <n v="853"/>
    <s v="2022-02-11"/>
    <n v="2022"/>
    <s v="Q1"/>
    <x v="1"/>
    <x v="0"/>
    <x v="2"/>
    <x v="775"/>
    <x v="1"/>
    <n v="47"/>
    <x v="285"/>
    <n v="86.53"/>
    <n v="12.92"/>
    <n v="16.13"/>
    <n v="3.16"/>
    <n v="327.97"/>
    <n v="193"/>
    <n v="3"/>
    <n v="98"/>
  </r>
  <r>
    <n v="854"/>
    <s v="2022-02-21"/>
    <n v="2022"/>
    <s v="Q1"/>
    <x v="1"/>
    <x v="7"/>
    <x v="1"/>
    <x v="776"/>
    <x v="1"/>
    <n v="5"/>
    <x v="304"/>
    <n v="76.94"/>
    <n v="5.09"/>
    <n v="10.92"/>
    <n v="4.7699999999999996"/>
    <n v="184.55"/>
    <n v="262"/>
    <n v="2"/>
    <n v="204"/>
  </r>
  <r>
    <n v="855"/>
    <s v="2022-02-22"/>
    <n v="2022"/>
    <s v="Q1"/>
    <x v="1"/>
    <x v="2"/>
    <x v="2"/>
    <x v="777"/>
    <x v="2"/>
    <n v="48"/>
    <x v="79"/>
    <n v="92.63"/>
    <n v="26.07"/>
    <n v="19.170000000000002"/>
    <n v="15.07"/>
    <n v="385.02"/>
    <n v="700"/>
    <n v="4"/>
    <n v="142"/>
  </r>
  <r>
    <n v="856"/>
    <s v="2022-02-01"/>
    <n v="2022"/>
    <s v="Q1"/>
    <x v="1"/>
    <x v="0"/>
    <x v="1"/>
    <x v="778"/>
    <x v="4"/>
    <n v="20"/>
    <x v="424"/>
    <n v="81.38"/>
    <n v="29.28"/>
    <n v="20.47"/>
    <n v="14.05"/>
    <n v="589.13"/>
    <n v="214"/>
    <n v="5"/>
    <n v="198"/>
  </r>
  <r>
    <n v="857"/>
    <s v="2022-02-02"/>
    <n v="2022"/>
    <s v="Q1"/>
    <x v="1"/>
    <x v="6"/>
    <x v="2"/>
    <x v="779"/>
    <x v="1"/>
    <n v="17"/>
    <x v="220"/>
    <n v="85.64"/>
    <n v="30.57"/>
    <n v="7.25"/>
    <n v="1.84"/>
    <n v="161.61000000000001"/>
    <n v="515"/>
    <n v="5"/>
    <n v="62"/>
  </r>
  <r>
    <n v="858"/>
    <s v="2022-02-10"/>
    <n v="2022"/>
    <s v="Q1"/>
    <x v="1"/>
    <x v="7"/>
    <x v="0"/>
    <x v="780"/>
    <x v="1"/>
    <n v="27"/>
    <x v="280"/>
    <n v="88.81"/>
    <n v="8.56"/>
    <n v="18.440000000000001"/>
    <n v="4.4000000000000004"/>
    <n v="165.68"/>
    <n v="440"/>
    <n v="5"/>
    <n v="243"/>
  </r>
  <r>
    <n v="859"/>
    <s v="2022-02-03"/>
    <n v="2022"/>
    <s v="Q1"/>
    <x v="1"/>
    <x v="3"/>
    <x v="2"/>
    <x v="781"/>
    <x v="4"/>
    <n v="42"/>
    <x v="378"/>
    <n v="82.46"/>
    <n v="18.22"/>
    <n v="2.64"/>
    <n v="12"/>
    <n v="500.45"/>
    <n v="905"/>
    <n v="2"/>
    <n v="212"/>
  </r>
  <r>
    <n v="860"/>
    <s v="2022-02-20"/>
    <n v="2022"/>
    <s v="Q1"/>
    <x v="1"/>
    <x v="1"/>
    <x v="2"/>
    <x v="782"/>
    <x v="3"/>
    <n v="31"/>
    <x v="324"/>
    <n v="91.5"/>
    <n v="22.25"/>
    <n v="2.09"/>
    <n v="12.32"/>
    <n v="194.7"/>
    <n v="677"/>
    <n v="5"/>
    <n v="187"/>
  </r>
  <r>
    <n v="861"/>
    <s v="2022-02-13"/>
    <n v="2022"/>
    <s v="Q1"/>
    <x v="1"/>
    <x v="3"/>
    <x v="3"/>
    <x v="783"/>
    <x v="2"/>
    <n v="35"/>
    <x v="262"/>
    <n v="86.68"/>
    <n v="19.510000000000002"/>
    <n v="14.84"/>
    <n v="3.07"/>
    <n v="381.34"/>
    <n v="464"/>
    <n v="2"/>
    <n v="101"/>
  </r>
  <r>
    <n v="862"/>
    <s v="2022-02-26"/>
    <n v="2022"/>
    <s v="Q1"/>
    <x v="1"/>
    <x v="1"/>
    <x v="1"/>
    <x v="784"/>
    <x v="1"/>
    <n v="14"/>
    <x v="425"/>
    <n v="76.31"/>
    <n v="25.14"/>
    <n v="7.27"/>
    <n v="1.91"/>
    <n v="189.86"/>
    <n v="756"/>
    <n v="2"/>
    <n v="218"/>
  </r>
  <r>
    <n v="863"/>
    <s v="2022-02-25"/>
    <n v="2022"/>
    <s v="Q1"/>
    <x v="1"/>
    <x v="1"/>
    <x v="1"/>
    <x v="785"/>
    <x v="2"/>
    <n v="3"/>
    <x v="343"/>
    <n v="83.22"/>
    <n v="6.27"/>
    <n v="11.93"/>
    <n v="11.58"/>
    <n v="103.56"/>
    <n v="377"/>
    <n v="4"/>
    <n v="59"/>
  </r>
  <r>
    <n v="864"/>
    <s v="2022-02-20"/>
    <n v="2022"/>
    <s v="Q1"/>
    <x v="1"/>
    <x v="1"/>
    <x v="0"/>
    <x v="786"/>
    <x v="1"/>
    <n v="46"/>
    <x v="426"/>
    <n v="87.51"/>
    <n v="11.09"/>
    <n v="8.1199999999999992"/>
    <n v="7.11"/>
    <n v="222.76"/>
    <n v="1049"/>
    <n v="4"/>
    <n v="81"/>
  </r>
  <r>
    <n v="865"/>
    <s v="2022-02-25"/>
    <n v="2022"/>
    <s v="Q1"/>
    <x v="1"/>
    <x v="0"/>
    <x v="1"/>
    <x v="502"/>
    <x v="3"/>
    <n v="17"/>
    <x v="51"/>
    <n v="77.7"/>
    <n v="18.27"/>
    <n v="15.19"/>
    <n v="14.78"/>
    <n v="448.87"/>
    <n v="935"/>
    <n v="4"/>
    <n v="237"/>
  </r>
  <r>
    <n v="866"/>
    <s v="2022-02-20"/>
    <n v="2022"/>
    <s v="Q1"/>
    <x v="1"/>
    <x v="0"/>
    <x v="2"/>
    <x v="787"/>
    <x v="4"/>
    <n v="36"/>
    <x v="286"/>
    <n v="88.95"/>
    <n v="31.47"/>
    <n v="5.01"/>
    <n v="6.9"/>
    <n v="101.98"/>
    <n v="255"/>
    <n v="3"/>
    <n v="227"/>
  </r>
  <r>
    <n v="867"/>
    <s v="2022-02-21"/>
    <n v="2022"/>
    <s v="Q1"/>
    <x v="1"/>
    <x v="1"/>
    <x v="0"/>
    <x v="788"/>
    <x v="1"/>
    <n v="50"/>
    <x v="181"/>
    <n v="84.97"/>
    <n v="27.34"/>
    <n v="5.42"/>
    <n v="15.92"/>
    <n v="209.07"/>
    <n v="616"/>
    <n v="3"/>
    <n v="247"/>
  </r>
  <r>
    <n v="868"/>
    <s v="2022-02-22"/>
    <n v="2022"/>
    <s v="Q1"/>
    <x v="1"/>
    <x v="1"/>
    <x v="4"/>
    <x v="621"/>
    <x v="4"/>
    <n v="21"/>
    <x v="119"/>
    <n v="91.85"/>
    <n v="5.95"/>
    <n v="5.0199999999999996"/>
    <n v="2.5299999999999998"/>
    <n v="505.83"/>
    <n v="508"/>
    <n v="5"/>
    <n v="66"/>
  </r>
  <r>
    <n v="869"/>
    <s v="2022-01-31"/>
    <n v="2022"/>
    <s v="Q1"/>
    <x v="1"/>
    <x v="2"/>
    <x v="2"/>
    <x v="789"/>
    <x v="4"/>
    <n v="27"/>
    <x v="85"/>
    <n v="91.95"/>
    <n v="31.07"/>
    <n v="8.66"/>
    <n v="9.61"/>
    <n v="363.02"/>
    <n v="252"/>
    <n v="1"/>
    <n v="104"/>
  </r>
  <r>
    <n v="870"/>
    <s v="2022-02-05"/>
    <n v="2022"/>
    <s v="Q1"/>
    <x v="1"/>
    <x v="7"/>
    <x v="0"/>
    <x v="790"/>
    <x v="2"/>
    <n v="23"/>
    <x v="386"/>
    <n v="89"/>
    <n v="9.41"/>
    <n v="14.3"/>
    <n v="9.58"/>
    <n v="504.27"/>
    <n v="933"/>
    <n v="2"/>
    <n v="60"/>
  </r>
  <r>
    <n v="871"/>
    <s v="2022-02-04"/>
    <n v="2022"/>
    <s v="Q1"/>
    <x v="1"/>
    <x v="5"/>
    <x v="2"/>
    <x v="791"/>
    <x v="1"/>
    <n v="23"/>
    <x v="57"/>
    <n v="78.11"/>
    <n v="15.18"/>
    <n v="6.4"/>
    <n v="10.83"/>
    <n v="431.95"/>
    <n v="346"/>
    <n v="3"/>
    <n v="94"/>
  </r>
  <r>
    <n v="872"/>
    <s v="2022-01-31"/>
    <n v="2022"/>
    <s v="Q1"/>
    <x v="1"/>
    <x v="4"/>
    <x v="4"/>
    <x v="279"/>
    <x v="0"/>
    <n v="29"/>
    <x v="119"/>
    <n v="76.7"/>
    <n v="14.11"/>
    <n v="15.96"/>
    <n v="11.92"/>
    <n v="256.25"/>
    <n v="819"/>
    <n v="3"/>
    <n v="139"/>
  </r>
  <r>
    <n v="873"/>
    <s v="2022-02-23"/>
    <n v="2022"/>
    <s v="Q1"/>
    <x v="1"/>
    <x v="1"/>
    <x v="4"/>
    <x v="792"/>
    <x v="3"/>
    <n v="13"/>
    <x v="229"/>
    <n v="80.760000000000005"/>
    <n v="5.25"/>
    <n v="7.61"/>
    <n v="6.82"/>
    <n v="146.86000000000001"/>
    <n v="1045"/>
    <n v="5"/>
    <n v="234"/>
  </r>
  <r>
    <n v="874"/>
    <s v="2022-02-05"/>
    <n v="2022"/>
    <s v="Q1"/>
    <x v="1"/>
    <x v="4"/>
    <x v="3"/>
    <x v="793"/>
    <x v="4"/>
    <n v="31"/>
    <x v="111"/>
    <n v="83.82"/>
    <n v="26.92"/>
    <n v="11.01"/>
    <n v="5.54"/>
    <n v="202.36"/>
    <n v="169"/>
    <n v="3"/>
    <n v="120"/>
  </r>
  <r>
    <n v="875"/>
    <s v="2022-02-01"/>
    <n v="2022"/>
    <s v="Q1"/>
    <x v="1"/>
    <x v="3"/>
    <x v="0"/>
    <x v="794"/>
    <x v="3"/>
    <n v="3"/>
    <x v="371"/>
    <n v="83.27"/>
    <n v="22.59"/>
    <n v="14.64"/>
    <n v="3.7"/>
    <n v="469.56"/>
    <n v="994"/>
    <n v="1"/>
    <n v="77"/>
  </r>
  <r>
    <n v="876"/>
    <s v="2022-02-07"/>
    <n v="2022"/>
    <s v="Q1"/>
    <x v="1"/>
    <x v="5"/>
    <x v="0"/>
    <x v="795"/>
    <x v="1"/>
    <n v="1"/>
    <x v="131"/>
    <n v="81.93"/>
    <n v="20.2"/>
    <n v="15.88"/>
    <n v="9.25"/>
    <n v="515.34"/>
    <n v="115"/>
    <n v="1"/>
    <n v="128"/>
  </r>
  <r>
    <n v="877"/>
    <s v="2022-02-12"/>
    <n v="2022"/>
    <s v="Q1"/>
    <x v="1"/>
    <x v="7"/>
    <x v="1"/>
    <x v="796"/>
    <x v="2"/>
    <n v="34"/>
    <x v="298"/>
    <n v="87.24"/>
    <n v="7.74"/>
    <n v="8.5399999999999991"/>
    <n v="4.95"/>
    <n v="221.87"/>
    <n v="314"/>
    <n v="4"/>
    <n v="149"/>
  </r>
  <r>
    <n v="878"/>
    <s v="2022-02-11"/>
    <n v="2022"/>
    <s v="Q1"/>
    <x v="1"/>
    <x v="1"/>
    <x v="2"/>
    <x v="797"/>
    <x v="3"/>
    <n v="50"/>
    <x v="295"/>
    <n v="90.89"/>
    <n v="21.74"/>
    <n v="21.38"/>
    <n v="13.02"/>
    <n v="344.41"/>
    <n v="922"/>
    <n v="5"/>
    <n v="109"/>
  </r>
  <r>
    <n v="879"/>
    <s v="2022-02-16"/>
    <n v="2022"/>
    <s v="Q1"/>
    <x v="1"/>
    <x v="0"/>
    <x v="0"/>
    <x v="368"/>
    <x v="0"/>
    <n v="7"/>
    <x v="417"/>
    <n v="90.16"/>
    <n v="15.22"/>
    <n v="5.96"/>
    <n v="6.98"/>
    <n v="298.82"/>
    <n v="887"/>
    <n v="1"/>
    <n v="92"/>
  </r>
  <r>
    <n v="880"/>
    <s v="2022-02-18"/>
    <n v="2022"/>
    <s v="Q1"/>
    <x v="1"/>
    <x v="3"/>
    <x v="2"/>
    <x v="798"/>
    <x v="4"/>
    <n v="48"/>
    <x v="248"/>
    <n v="91.03"/>
    <n v="12.03"/>
    <n v="13.68"/>
    <n v="13.76"/>
    <n v="382.36"/>
    <n v="447"/>
    <n v="5"/>
    <n v="198"/>
  </r>
  <r>
    <n v="881"/>
    <s v="2022-02-09"/>
    <n v="2022"/>
    <s v="Q1"/>
    <x v="1"/>
    <x v="5"/>
    <x v="0"/>
    <x v="799"/>
    <x v="0"/>
    <n v="1"/>
    <x v="105"/>
    <n v="88.4"/>
    <n v="13.73"/>
    <n v="6.61"/>
    <n v="1.31"/>
    <n v="391.69"/>
    <n v="351"/>
    <n v="4"/>
    <n v="185"/>
  </r>
  <r>
    <n v="882"/>
    <s v="2022-02-15"/>
    <n v="2022"/>
    <s v="Q1"/>
    <x v="1"/>
    <x v="4"/>
    <x v="4"/>
    <x v="764"/>
    <x v="0"/>
    <n v="16"/>
    <x v="427"/>
    <n v="84.37"/>
    <n v="32.049999999999997"/>
    <n v="19.55"/>
    <n v="6.08"/>
    <n v="478.29"/>
    <n v="898"/>
    <n v="3"/>
    <n v="196"/>
  </r>
  <r>
    <n v="883"/>
    <s v="2022-02-14"/>
    <n v="2022"/>
    <s v="Q1"/>
    <x v="1"/>
    <x v="0"/>
    <x v="4"/>
    <x v="800"/>
    <x v="4"/>
    <n v="27"/>
    <x v="148"/>
    <n v="77.400000000000006"/>
    <n v="34.81"/>
    <n v="11.23"/>
    <n v="1.3"/>
    <n v="446.75"/>
    <n v="369"/>
    <n v="5"/>
    <n v="94"/>
  </r>
  <r>
    <n v="884"/>
    <s v="2022-02-03"/>
    <n v="2022"/>
    <s v="Q1"/>
    <x v="1"/>
    <x v="4"/>
    <x v="1"/>
    <x v="801"/>
    <x v="2"/>
    <n v="36"/>
    <x v="266"/>
    <n v="82.6"/>
    <n v="25.97"/>
    <n v="8.85"/>
    <n v="11.62"/>
    <n v="207.58"/>
    <n v="407"/>
    <n v="2"/>
    <n v="104"/>
  </r>
  <r>
    <n v="885"/>
    <s v="2022-03-10"/>
    <n v="2022"/>
    <s v="Q1"/>
    <x v="2"/>
    <x v="6"/>
    <x v="4"/>
    <x v="802"/>
    <x v="2"/>
    <n v="43"/>
    <x v="393"/>
    <n v="85.6"/>
    <n v="18.850000000000001"/>
    <n v="20.11"/>
    <n v="15.26"/>
    <n v="159.96"/>
    <n v="586"/>
    <n v="3"/>
    <n v="173"/>
  </r>
  <r>
    <n v="886"/>
    <s v="2022-03-07"/>
    <n v="2022"/>
    <s v="Q1"/>
    <x v="2"/>
    <x v="4"/>
    <x v="1"/>
    <x v="803"/>
    <x v="1"/>
    <n v="8"/>
    <x v="149"/>
    <n v="84.82"/>
    <n v="29.36"/>
    <n v="15.43"/>
    <n v="5.95"/>
    <n v="109.07"/>
    <n v="906"/>
    <n v="4"/>
    <n v="98"/>
  </r>
  <r>
    <n v="887"/>
    <s v="2022-03-27"/>
    <n v="2022"/>
    <s v="Q1"/>
    <x v="2"/>
    <x v="6"/>
    <x v="1"/>
    <x v="804"/>
    <x v="1"/>
    <n v="22"/>
    <x v="358"/>
    <n v="77.790000000000006"/>
    <n v="14.85"/>
    <n v="11.39"/>
    <n v="8.3800000000000008"/>
    <n v="471.6"/>
    <n v="173"/>
    <n v="4"/>
    <n v="107"/>
  </r>
  <r>
    <n v="888"/>
    <s v="2022-03-25"/>
    <n v="2022"/>
    <s v="Q1"/>
    <x v="2"/>
    <x v="4"/>
    <x v="1"/>
    <x v="805"/>
    <x v="3"/>
    <n v="34"/>
    <x v="281"/>
    <n v="86.8"/>
    <n v="20.39"/>
    <n v="12.24"/>
    <n v="12.35"/>
    <n v="371.91"/>
    <n v="884"/>
    <n v="3"/>
    <n v="72"/>
  </r>
  <r>
    <n v="889"/>
    <s v="2022-03-13"/>
    <n v="2022"/>
    <s v="Q1"/>
    <x v="2"/>
    <x v="7"/>
    <x v="3"/>
    <x v="806"/>
    <x v="3"/>
    <n v="38"/>
    <x v="320"/>
    <n v="76.53"/>
    <n v="14.67"/>
    <n v="10.45"/>
    <n v="14.66"/>
    <n v="104.91"/>
    <n v="947"/>
    <n v="5"/>
    <n v="92"/>
  </r>
  <r>
    <n v="890"/>
    <s v="2022-03-11"/>
    <n v="2022"/>
    <s v="Q1"/>
    <x v="2"/>
    <x v="2"/>
    <x v="4"/>
    <x v="807"/>
    <x v="4"/>
    <n v="4"/>
    <x v="172"/>
    <n v="87"/>
    <n v="7.93"/>
    <n v="2.76"/>
    <n v="1.79"/>
    <n v="201.86"/>
    <n v="573"/>
    <n v="5"/>
    <n v="191"/>
  </r>
  <r>
    <n v="891"/>
    <s v="2022-03-11"/>
    <n v="2022"/>
    <s v="Q1"/>
    <x v="2"/>
    <x v="7"/>
    <x v="3"/>
    <x v="808"/>
    <x v="3"/>
    <n v="19"/>
    <x v="428"/>
    <n v="75.819999999999993"/>
    <n v="11.5"/>
    <n v="7.72"/>
    <n v="11.79"/>
    <n v="246.01"/>
    <n v="777"/>
    <n v="5"/>
    <n v="129"/>
  </r>
  <r>
    <n v="892"/>
    <s v="2022-03-22"/>
    <n v="2022"/>
    <s v="Q1"/>
    <x v="2"/>
    <x v="4"/>
    <x v="4"/>
    <x v="809"/>
    <x v="0"/>
    <n v="23"/>
    <x v="119"/>
    <n v="77.87"/>
    <n v="6.19"/>
    <n v="6.72"/>
    <n v="11.76"/>
    <n v="290.52999999999997"/>
    <n v="1099"/>
    <n v="5"/>
    <n v="118"/>
  </r>
  <r>
    <n v="893"/>
    <s v="2022-03-11"/>
    <n v="2022"/>
    <s v="Q1"/>
    <x v="2"/>
    <x v="1"/>
    <x v="3"/>
    <x v="244"/>
    <x v="2"/>
    <n v="18"/>
    <x v="257"/>
    <n v="81.180000000000007"/>
    <n v="20.34"/>
    <n v="6.78"/>
    <n v="2.9"/>
    <n v="166.28"/>
    <n v="349"/>
    <n v="2"/>
    <n v="249"/>
  </r>
  <r>
    <n v="894"/>
    <s v="2022-03-13"/>
    <n v="2022"/>
    <s v="Q1"/>
    <x v="2"/>
    <x v="6"/>
    <x v="4"/>
    <x v="810"/>
    <x v="0"/>
    <n v="16"/>
    <x v="343"/>
    <n v="78.58"/>
    <n v="12.02"/>
    <n v="4.7"/>
    <n v="4.51"/>
    <n v="224.95"/>
    <n v="897"/>
    <n v="2"/>
    <n v="147"/>
  </r>
  <r>
    <n v="895"/>
    <s v="2022-03-24"/>
    <n v="2022"/>
    <s v="Q1"/>
    <x v="2"/>
    <x v="2"/>
    <x v="3"/>
    <x v="811"/>
    <x v="0"/>
    <n v="39"/>
    <x v="246"/>
    <n v="88.73"/>
    <n v="27.7"/>
    <n v="10.97"/>
    <n v="2.97"/>
    <n v="298.62"/>
    <n v="602"/>
    <n v="5"/>
    <n v="113"/>
  </r>
  <r>
    <n v="896"/>
    <s v="2022-03-24"/>
    <n v="2022"/>
    <s v="Q1"/>
    <x v="2"/>
    <x v="2"/>
    <x v="2"/>
    <x v="690"/>
    <x v="0"/>
    <n v="22"/>
    <x v="362"/>
    <n v="89.9"/>
    <n v="8.9"/>
    <n v="7.75"/>
    <n v="14.15"/>
    <n v="275.26"/>
    <n v="459"/>
    <n v="3"/>
    <n v="112"/>
  </r>
  <r>
    <n v="897"/>
    <s v="2022-03-22"/>
    <n v="2022"/>
    <s v="Q1"/>
    <x v="2"/>
    <x v="3"/>
    <x v="4"/>
    <x v="812"/>
    <x v="4"/>
    <n v="46"/>
    <x v="346"/>
    <n v="86.15"/>
    <n v="25.62"/>
    <n v="9.61"/>
    <n v="3.14"/>
    <n v="485.04"/>
    <n v="558"/>
    <n v="5"/>
    <n v="101"/>
  </r>
  <r>
    <n v="898"/>
    <s v="2022-03-12"/>
    <n v="2022"/>
    <s v="Q1"/>
    <x v="2"/>
    <x v="6"/>
    <x v="1"/>
    <x v="813"/>
    <x v="4"/>
    <n v="9"/>
    <x v="429"/>
    <n v="91.55"/>
    <n v="29.5"/>
    <n v="5.8"/>
    <n v="8.5299999999999994"/>
    <n v="305.74"/>
    <n v="244"/>
    <n v="1"/>
    <n v="128"/>
  </r>
  <r>
    <n v="899"/>
    <s v="2022-03-08"/>
    <n v="2022"/>
    <s v="Q1"/>
    <x v="2"/>
    <x v="1"/>
    <x v="3"/>
    <x v="814"/>
    <x v="1"/>
    <n v="20"/>
    <x v="289"/>
    <n v="80.260000000000005"/>
    <n v="34.520000000000003"/>
    <n v="12.41"/>
    <n v="13.86"/>
    <n v="469.56"/>
    <n v="602"/>
    <n v="4"/>
    <n v="207"/>
  </r>
  <r>
    <n v="900"/>
    <s v="2022-03-18"/>
    <n v="2022"/>
    <s v="Q1"/>
    <x v="2"/>
    <x v="6"/>
    <x v="2"/>
    <x v="654"/>
    <x v="4"/>
    <n v="29"/>
    <x v="93"/>
    <n v="89.57"/>
    <n v="34.76"/>
    <n v="7.5"/>
    <n v="9.5299999999999994"/>
    <n v="553.37"/>
    <n v="1033"/>
    <n v="1"/>
    <n v="112"/>
  </r>
  <r>
    <n v="901"/>
    <s v="2022-03-08"/>
    <n v="2022"/>
    <s v="Q1"/>
    <x v="2"/>
    <x v="7"/>
    <x v="2"/>
    <x v="815"/>
    <x v="2"/>
    <n v="17"/>
    <x v="23"/>
    <n v="91.36"/>
    <n v="13.37"/>
    <n v="13.4"/>
    <n v="13.07"/>
    <n v="351.88"/>
    <n v="145"/>
    <n v="1"/>
    <n v="240"/>
  </r>
  <r>
    <n v="902"/>
    <s v="2022-03-26"/>
    <n v="2022"/>
    <s v="Q1"/>
    <x v="2"/>
    <x v="2"/>
    <x v="2"/>
    <x v="816"/>
    <x v="1"/>
    <n v="45"/>
    <x v="198"/>
    <n v="79.62"/>
    <n v="15.56"/>
    <n v="2.64"/>
    <n v="3.03"/>
    <n v="425.83"/>
    <n v="785"/>
    <n v="4"/>
    <n v="95"/>
  </r>
  <r>
    <n v="903"/>
    <s v="2022-03-03"/>
    <n v="2022"/>
    <s v="Q1"/>
    <x v="2"/>
    <x v="3"/>
    <x v="4"/>
    <x v="817"/>
    <x v="2"/>
    <n v="18"/>
    <x v="57"/>
    <n v="81.290000000000006"/>
    <n v="22.55"/>
    <n v="12.5"/>
    <n v="15.82"/>
    <n v="159.75"/>
    <n v="462"/>
    <n v="4"/>
    <n v="168"/>
  </r>
  <r>
    <n v="904"/>
    <s v="2022-03-02"/>
    <n v="2022"/>
    <s v="Q1"/>
    <x v="2"/>
    <x v="0"/>
    <x v="4"/>
    <x v="818"/>
    <x v="1"/>
    <n v="3"/>
    <x v="277"/>
    <n v="94.96"/>
    <n v="16.149999999999999"/>
    <n v="9.49"/>
    <n v="10.119999999999999"/>
    <n v="466.25"/>
    <n v="380"/>
    <n v="4"/>
    <n v="54"/>
  </r>
  <r>
    <n v="905"/>
    <s v="2022-03-02"/>
    <n v="2022"/>
    <s v="Q1"/>
    <x v="2"/>
    <x v="3"/>
    <x v="0"/>
    <x v="819"/>
    <x v="3"/>
    <n v="22"/>
    <x v="189"/>
    <n v="76.400000000000006"/>
    <n v="26.24"/>
    <n v="10.63"/>
    <n v="4.1500000000000004"/>
    <n v="230.74"/>
    <n v="553"/>
    <n v="1"/>
    <n v="76"/>
  </r>
  <r>
    <n v="906"/>
    <s v="2022-03-02"/>
    <n v="2022"/>
    <s v="Q1"/>
    <x v="2"/>
    <x v="0"/>
    <x v="2"/>
    <x v="820"/>
    <x v="4"/>
    <n v="13"/>
    <x v="188"/>
    <n v="82.2"/>
    <n v="5.05"/>
    <n v="16.07"/>
    <n v="13.8"/>
    <n v="533.53"/>
    <n v="573"/>
    <n v="3"/>
    <n v="183"/>
  </r>
  <r>
    <n v="907"/>
    <s v="2022-03-01"/>
    <n v="2022"/>
    <s v="Q1"/>
    <x v="2"/>
    <x v="6"/>
    <x v="3"/>
    <x v="821"/>
    <x v="4"/>
    <n v="28"/>
    <x v="391"/>
    <n v="83.1"/>
    <n v="10.67"/>
    <n v="5.07"/>
    <n v="13.18"/>
    <n v="130.54"/>
    <n v="293"/>
    <n v="4"/>
    <n v="135"/>
  </r>
  <r>
    <n v="908"/>
    <s v="2022-03-21"/>
    <n v="2022"/>
    <s v="Q1"/>
    <x v="2"/>
    <x v="1"/>
    <x v="3"/>
    <x v="822"/>
    <x v="2"/>
    <n v="24"/>
    <x v="235"/>
    <n v="75.22"/>
    <n v="27.23"/>
    <n v="4.2300000000000004"/>
    <n v="12.31"/>
    <n v="536.02"/>
    <n v="391"/>
    <n v="5"/>
    <n v="91"/>
  </r>
  <r>
    <n v="909"/>
    <s v="2022-03-04"/>
    <n v="2022"/>
    <s v="Q1"/>
    <x v="2"/>
    <x v="4"/>
    <x v="1"/>
    <x v="823"/>
    <x v="1"/>
    <n v="40"/>
    <x v="85"/>
    <n v="78.08"/>
    <n v="24.51"/>
    <n v="7.78"/>
    <n v="7.03"/>
    <n v="294.67"/>
    <n v="380"/>
    <n v="4"/>
    <n v="52"/>
  </r>
  <r>
    <n v="910"/>
    <s v="2022-03-03"/>
    <n v="2022"/>
    <s v="Q1"/>
    <x v="2"/>
    <x v="6"/>
    <x v="3"/>
    <x v="791"/>
    <x v="1"/>
    <n v="36"/>
    <x v="14"/>
    <n v="79.62"/>
    <n v="31.42"/>
    <n v="8.8699999999999992"/>
    <n v="12.77"/>
    <n v="285.02999999999997"/>
    <n v="830"/>
    <n v="5"/>
    <n v="141"/>
  </r>
  <r>
    <n v="911"/>
    <s v="2022-03-15"/>
    <n v="2022"/>
    <s v="Q1"/>
    <x v="2"/>
    <x v="1"/>
    <x v="2"/>
    <x v="824"/>
    <x v="1"/>
    <n v="37"/>
    <x v="338"/>
    <n v="77.37"/>
    <n v="28.84"/>
    <n v="15.66"/>
    <n v="10.84"/>
    <n v="444.15"/>
    <n v="223"/>
    <n v="4"/>
    <n v="207"/>
  </r>
  <r>
    <n v="912"/>
    <s v="2022-03-02"/>
    <n v="2022"/>
    <s v="Q1"/>
    <x v="2"/>
    <x v="3"/>
    <x v="2"/>
    <x v="263"/>
    <x v="3"/>
    <n v="19"/>
    <x v="343"/>
    <n v="83.37"/>
    <n v="6.5"/>
    <n v="9.31"/>
    <n v="13.31"/>
    <n v="392.62"/>
    <n v="735"/>
    <n v="3"/>
    <n v="160"/>
  </r>
  <r>
    <n v="913"/>
    <s v="2022-03-14"/>
    <n v="2022"/>
    <s v="Q1"/>
    <x v="2"/>
    <x v="4"/>
    <x v="4"/>
    <x v="704"/>
    <x v="0"/>
    <n v="45"/>
    <x v="430"/>
    <n v="77.64"/>
    <n v="10.119999999999999"/>
    <n v="20.149999999999999"/>
    <n v="5.63"/>
    <n v="389.92"/>
    <n v="700"/>
    <n v="4"/>
    <n v="213"/>
  </r>
  <r>
    <n v="914"/>
    <s v="2022-03-25"/>
    <n v="2022"/>
    <s v="Q1"/>
    <x v="2"/>
    <x v="4"/>
    <x v="0"/>
    <x v="105"/>
    <x v="0"/>
    <n v="18"/>
    <x v="415"/>
    <n v="87.04"/>
    <n v="5.13"/>
    <n v="12.25"/>
    <n v="8.19"/>
    <n v="134.41999999999999"/>
    <n v="1065"/>
    <n v="2"/>
    <n v="88"/>
  </r>
  <r>
    <n v="915"/>
    <s v="2022-03-19"/>
    <n v="2022"/>
    <s v="Q1"/>
    <x v="2"/>
    <x v="0"/>
    <x v="1"/>
    <x v="764"/>
    <x v="4"/>
    <n v="25"/>
    <x v="8"/>
    <n v="94"/>
    <n v="25.25"/>
    <n v="6.18"/>
    <n v="1.51"/>
    <n v="118.08"/>
    <n v="1056"/>
    <n v="2"/>
    <n v="220"/>
  </r>
  <r>
    <n v="916"/>
    <s v="2022-03-12"/>
    <n v="2022"/>
    <s v="Q1"/>
    <x v="2"/>
    <x v="2"/>
    <x v="0"/>
    <x v="408"/>
    <x v="2"/>
    <n v="19"/>
    <x v="204"/>
    <n v="76.319999999999993"/>
    <n v="14.83"/>
    <n v="11.52"/>
    <n v="13.85"/>
    <n v="464.42"/>
    <n v="959"/>
    <n v="1"/>
    <n v="158"/>
  </r>
  <r>
    <n v="917"/>
    <s v="2022-03-25"/>
    <n v="2022"/>
    <s v="Q1"/>
    <x v="2"/>
    <x v="1"/>
    <x v="3"/>
    <x v="825"/>
    <x v="3"/>
    <n v="29"/>
    <x v="13"/>
    <n v="93.58"/>
    <n v="25.84"/>
    <n v="9.5399999999999991"/>
    <n v="8.4600000000000009"/>
    <n v="318.64"/>
    <n v="483"/>
    <n v="3"/>
    <n v="230"/>
  </r>
  <r>
    <n v="918"/>
    <s v="2022-03-01"/>
    <n v="2022"/>
    <s v="Q1"/>
    <x v="2"/>
    <x v="2"/>
    <x v="1"/>
    <x v="826"/>
    <x v="0"/>
    <n v="8"/>
    <x v="358"/>
    <n v="93.22"/>
    <n v="32.64"/>
    <n v="7.01"/>
    <n v="10.75"/>
    <n v="376.41"/>
    <n v="886"/>
    <n v="5"/>
    <n v="96"/>
  </r>
  <r>
    <n v="919"/>
    <s v="2022-04-12"/>
    <n v="2022"/>
    <s v="Q2"/>
    <x v="3"/>
    <x v="7"/>
    <x v="3"/>
    <x v="827"/>
    <x v="3"/>
    <n v="22"/>
    <x v="359"/>
    <n v="91.98"/>
    <n v="16.84"/>
    <n v="21.77"/>
    <n v="13.97"/>
    <n v="415.83"/>
    <n v="943"/>
    <n v="5"/>
    <n v="69"/>
  </r>
  <r>
    <n v="920"/>
    <s v="2022-04-21"/>
    <n v="2022"/>
    <s v="Q2"/>
    <x v="3"/>
    <x v="7"/>
    <x v="2"/>
    <x v="828"/>
    <x v="3"/>
    <n v="47"/>
    <x v="71"/>
    <n v="86.73"/>
    <n v="12.86"/>
    <n v="19.14"/>
    <n v="12.35"/>
    <n v="501.05"/>
    <n v="126"/>
    <n v="3"/>
    <n v="229"/>
  </r>
  <r>
    <n v="921"/>
    <s v="2022-04-18"/>
    <n v="2022"/>
    <s v="Q2"/>
    <x v="3"/>
    <x v="1"/>
    <x v="0"/>
    <x v="829"/>
    <x v="1"/>
    <n v="1"/>
    <x v="331"/>
    <n v="92.49"/>
    <n v="12.88"/>
    <n v="7.24"/>
    <n v="1.35"/>
    <n v="293.33"/>
    <n v="363"/>
    <n v="5"/>
    <n v="156"/>
  </r>
  <r>
    <n v="922"/>
    <s v="2022-04-13"/>
    <n v="2022"/>
    <s v="Q2"/>
    <x v="3"/>
    <x v="7"/>
    <x v="4"/>
    <x v="269"/>
    <x v="4"/>
    <n v="22"/>
    <x v="170"/>
    <n v="75.67"/>
    <n v="13.57"/>
    <n v="12.86"/>
    <n v="11.17"/>
    <n v="177.55"/>
    <n v="1003"/>
    <n v="3"/>
    <n v="192"/>
  </r>
  <r>
    <n v="923"/>
    <s v="2022-04-18"/>
    <n v="2022"/>
    <s v="Q2"/>
    <x v="3"/>
    <x v="1"/>
    <x v="4"/>
    <x v="547"/>
    <x v="1"/>
    <n v="21"/>
    <x v="60"/>
    <n v="94.17"/>
    <n v="29.99"/>
    <n v="5.18"/>
    <n v="6.78"/>
    <n v="275.89999999999998"/>
    <n v="158"/>
    <n v="1"/>
    <n v="103"/>
  </r>
  <r>
    <n v="924"/>
    <s v="2022-04-24"/>
    <n v="2022"/>
    <s v="Q2"/>
    <x v="3"/>
    <x v="7"/>
    <x v="4"/>
    <x v="719"/>
    <x v="1"/>
    <n v="42"/>
    <x v="46"/>
    <n v="90.43"/>
    <n v="14.09"/>
    <n v="10.92"/>
    <n v="5.89"/>
    <n v="588.01"/>
    <n v="386"/>
    <n v="1"/>
    <n v="77"/>
  </r>
  <r>
    <n v="925"/>
    <s v="2022-04-25"/>
    <n v="2022"/>
    <s v="Q2"/>
    <x v="3"/>
    <x v="6"/>
    <x v="2"/>
    <x v="830"/>
    <x v="2"/>
    <n v="43"/>
    <x v="431"/>
    <n v="93.02"/>
    <n v="17.25"/>
    <n v="11.47"/>
    <n v="9.67"/>
    <n v="155.46"/>
    <n v="554"/>
    <n v="4"/>
    <n v="245"/>
  </r>
  <r>
    <n v="926"/>
    <s v="2022-04-09"/>
    <n v="2022"/>
    <s v="Q2"/>
    <x v="3"/>
    <x v="1"/>
    <x v="2"/>
    <x v="831"/>
    <x v="4"/>
    <n v="43"/>
    <x v="432"/>
    <n v="87.14"/>
    <n v="25.79"/>
    <n v="19.43"/>
    <n v="14.12"/>
    <n v="479.68"/>
    <n v="255"/>
    <n v="3"/>
    <n v="69"/>
  </r>
  <r>
    <n v="927"/>
    <s v="2022-04-06"/>
    <n v="2022"/>
    <s v="Q2"/>
    <x v="3"/>
    <x v="5"/>
    <x v="1"/>
    <x v="832"/>
    <x v="3"/>
    <n v="47"/>
    <x v="283"/>
    <n v="80.41"/>
    <n v="11.41"/>
    <n v="9.34"/>
    <n v="4.2699999999999996"/>
    <n v="521.96"/>
    <n v="505"/>
    <n v="4"/>
    <n v="61"/>
  </r>
  <r>
    <n v="928"/>
    <s v="2022-04-10"/>
    <n v="2022"/>
    <s v="Q2"/>
    <x v="3"/>
    <x v="7"/>
    <x v="4"/>
    <x v="833"/>
    <x v="2"/>
    <n v="36"/>
    <x v="42"/>
    <n v="77.22"/>
    <n v="15.59"/>
    <n v="5.45"/>
    <n v="13.61"/>
    <n v="289.13"/>
    <n v="249"/>
    <n v="3"/>
    <n v="246"/>
  </r>
  <r>
    <n v="929"/>
    <s v="2022-04-22"/>
    <n v="2022"/>
    <s v="Q2"/>
    <x v="3"/>
    <x v="2"/>
    <x v="2"/>
    <x v="711"/>
    <x v="2"/>
    <n v="36"/>
    <x v="374"/>
    <n v="86.77"/>
    <n v="21.07"/>
    <n v="6.13"/>
    <n v="4.9800000000000004"/>
    <n v="546.23"/>
    <n v="1049"/>
    <n v="4"/>
    <n v="52"/>
  </r>
  <r>
    <n v="930"/>
    <s v="2022-04-21"/>
    <n v="2022"/>
    <s v="Q2"/>
    <x v="3"/>
    <x v="3"/>
    <x v="1"/>
    <x v="834"/>
    <x v="3"/>
    <n v="24"/>
    <x v="313"/>
    <n v="93.99"/>
    <n v="33.090000000000003"/>
    <n v="19.32"/>
    <n v="9.4"/>
    <n v="329.81"/>
    <n v="215"/>
    <n v="2"/>
    <n v="177"/>
  </r>
  <r>
    <n v="931"/>
    <s v="2022-04-04"/>
    <n v="2022"/>
    <s v="Q2"/>
    <x v="3"/>
    <x v="4"/>
    <x v="1"/>
    <x v="835"/>
    <x v="3"/>
    <n v="1"/>
    <x v="350"/>
    <n v="78.569999999999993"/>
    <n v="27.28"/>
    <n v="10.47"/>
    <n v="5.22"/>
    <n v="296.19"/>
    <n v="434"/>
    <n v="4"/>
    <n v="69"/>
  </r>
  <r>
    <n v="932"/>
    <s v="2022-04-16"/>
    <n v="2022"/>
    <s v="Q2"/>
    <x v="3"/>
    <x v="3"/>
    <x v="3"/>
    <x v="836"/>
    <x v="1"/>
    <n v="21"/>
    <x v="124"/>
    <n v="90.01"/>
    <n v="19.190000000000001"/>
    <n v="5.43"/>
    <n v="2.86"/>
    <n v="118.44"/>
    <n v="1047"/>
    <n v="4"/>
    <n v="134"/>
  </r>
  <r>
    <n v="933"/>
    <s v="2022-04-13"/>
    <n v="2022"/>
    <s v="Q2"/>
    <x v="3"/>
    <x v="6"/>
    <x v="4"/>
    <x v="837"/>
    <x v="2"/>
    <n v="1"/>
    <x v="321"/>
    <n v="87.43"/>
    <n v="24.42"/>
    <n v="17.170000000000002"/>
    <n v="3.78"/>
    <n v="514.4"/>
    <n v="967"/>
    <n v="4"/>
    <n v="172"/>
  </r>
  <r>
    <n v="934"/>
    <s v="2022-04-25"/>
    <n v="2022"/>
    <s v="Q2"/>
    <x v="3"/>
    <x v="2"/>
    <x v="2"/>
    <x v="838"/>
    <x v="4"/>
    <n v="47"/>
    <x v="299"/>
    <n v="82.12"/>
    <n v="8.9499999999999993"/>
    <n v="15.86"/>
    <n v="4.41"/>
    <n v="393.35"/>
    <n v="571"/>
    <n v="4"/>
    <n v="199"/>
  </r>
  <r>
    <n v="935"/>
    <s v="2022-04-07"/>
    <n v="2022"/>
    <s v="Q2"/>
    <x v="3"/>
    <x v="4"/>
    <x v="4"/>
    <x v="839"/>
    <x v="4"/>
    <n v="5"/>
    <x v="51"/>
    <n v="77.5"/>
    <n v="7.8"/>
    <n v="14.08"/>
    <n v="6.5"/>
    <n v="350.17"/>
    <n v="367"/>
    <n v="1"/>
    <n v="229"/>
  </r>
  <r>
    <n v="936"/>
    <s v="2022-04-17"/>
    <n v="2022"/>
    <s v="Q2"/>
    <x v="3"/>
    <x v="0"/>
    <x v="1"/>
    <x v="840"/>
    <x v="2"/>
    <n v="20"/>
    <x v="314"/>
    <n v="91.74"/>
    <n v="14.73"/>
    <n v="18.91"/>
    <n v="4.57"/>
    <n v="556.79999999999995"/>
    <n v="440"/>
    <n v="4"/>
    <n v="89"/>
  </r>
  <r>
    <n v="937"/>
    <s v="2022-04-01"/>
    <n v="2022"/>
    <s v="Q2"/>
    <x v="3"/>
    <x v="5"/>
    <x v="3"/>
    <x v="508"/>
    <x v="2"/>
    <n v="25"/>
    <x v="3"/>
    <n v="81.150000000000006"/>
    <n v="7.81"/>
    <n v="18.22"/>
    <n v="8.6"/>
    <n v="106.35"/>
    <n v="610"/>
    <n v="3"/>
    <n v="173"/>
  </r>
  <r>
    <n v="938"/>
    <s v="2022-04-19"/>
    <n v="2022"/>
    <s v="Q2"/>
    <x v="3"/>
    <x v="0"/>
    <x v="1"/>
    <x v="841"/>
    <x v="3"/>
    <n v="1"/>
    <x v="273"/>
    <n v="92.14"/>
    <n v="31.83"/>
    <n v="11.23"/>
    <n v="2.58"/>
    <n v="316.16000000000003"/>
    <n v="946"/>
    <n v="3"/>
    <n v="188"/>
  </r>
  <r>
    <n v="939"/>
    <s v="2022-04-19"/>
    <n v="2022"/>
    <s v="Q2"/>
    <x v="3"/>
    <x v="0"/>
    <x v="2"/>
    <x v="842"/>
    <x v="0"/>
    <n v="32"/>
    <x v="36"/>
    <n v="85.8"/>
    <n v="22.66"/>
    <n v="5.64"/>
    <n v="8.73"/>
    <n v="284.61"/>
    <n v="807"/>
    <n v="3"/>
    <n v="199"/>
  </r>
  <r>
    <n v="940"/>
    <s v="2022-04-14"/>
    <n v="2022"/>
    <s v="Q2"/>
    <x v="3"/>
    <x v="3"/>
    <x v="0"/>
    <x v="547"/>
    <x v="4"/>
    <n v="31"/>
    <x v="320"/>
    <n v="88.34"/>
    <n v="30.72"/>
    <n v="16.05"/>
    <n v="6.89"/>
    <n v="165.58"/>
    <n v="261"/>
    <n v="4"/>
    <n v="239"/>
  </r>
  <r>
    <n v="941"/>
    <s v="2022-04-11"/>
    <n v="2022"/>
    <s v="Q2"/>
    <x v="3"/>
    <x v="1"/>
    <x v="2"/>
    <x v="843"/>
    <x v="0"/>
    <n v="48"/>
    <x v="4"/>
    <n v="91.79"/>
    <n v="21.42"/>
    <n v="7.87"/>
    <n v="6.17"/>
    <n v="408.53"/>
    <n v="998"/>
    <n v="5"/>
    <n v="184"/>
  </r>
  <r>
    <n v="942"/>
    <s v="2022-04-22"/>
    <n v="2022"/>
    <s v="Q2"/>
    <x v="3"/>
    <x v="4"/>
    <x v="1"/>
    <x v="844"/>
    <x v="1"/>
    <n v="45"/>
    <x v="389"/>
    <n v="93.77"/>
    <n v="10.25"/>
    <n v="7.52"/>
    <n v="12.1"/>
    <n v="282.56"/>
    <n v="487"/>
    <n v="3"/>
    <n v="248"/>
  </r>
  <r>
    <n v="943"/>
    <s v="2022-04-18"/>
    <n v="2022"/>
    <s v="Q2"/>
    <x v="3"/>
    <x v="7"/>
    <x v="1"/>
    <x v="845"/>
    <x v="4"/>
    <n v="16"/>
    <x v="102"/>
    <n v="87.33"/>
    <n v="33.97"/>
    <n v="2.92"/>
    <n v="13.46"/>
    <n v="368.27"/>
    <n v="132"/>
    <n v="3"/>
    <n v="61"/>
  </r>
  <r>
    <n v="944"/>
    <s v="2022-04-19"/>
    <n v="2022"/>
    <s v="Q2"/>
    <x v="3"/>
    <x v="3"/>
    <x v="1"/>
    <x v="846"/>
    <x v="1"/>
    <n v="26"/>
    <x v="330"/>
    <n v="94.03"/>
    <n v="26.62"/>
    <n v="20.77"/>
    <n v="1.39"/>
    <n v="136.32"/>
    <n v="610"/>
    <n v="2"/>
    <n v="145"/>
  </r>
  <r>
    <n v="945"/>
    <s v="2022-04-05"/>
    <n v="2022"/>
    <s v="Q2"/>
    <x v="3"/>
    <x v="7"/>
    <x v="3"/>
    <x v="91"/>
    <x v="0"/>
    <n v="40"/>
    <x v="61"/>
    <n v="80.349999999999994"/>
    <n v="26.34"/>
    <n v="5.56"/>
    <n v="1.4"/>
    <n v="223.54"/>
    <n v="494"/>
    <n v="3"/>
    <n v="113"/>
  </r>
  <r>
    <n v="946"/>
    <s v="2022-04-15"/>
    <n v="2022"/>
    <s v="Q2"/>
    <x v="3"/>
    <x v="0"/>
    <x v="0"/>
    <x v="847"/>
    <x v="0"/>
    <n v="13"/>
    <x v="76"/>
    <n v="85.3"/>
    <n v="34.159999999999997"/>
    <n v="10.9"/>
    <n v="4.74"/>
    <n v="344.77"/>
    <n v="285"/>
    <n v="1"/>
    <n v="111"/>
  </r>
  <r>
    <n v="947"/>
    <s v="2022-04-01"/>
    <n v="2022"/>
    <s v="Q2"/>
    <x v="3"/>
    <x v="0"/>
    <x v="0"/>
    <x v="848"/>
    <x v="4"/>
    <n v="17"/>
    <x v="282"/>
    <n v="87.06"/>
    <n v="32.54"/>
    <n v="16.21"/>
    <n v="3.15"/>
    <n v="436.44"/>
    <n v="712"/>
    <n v="3"/>
    <n v="94"/>
  </r>
  <r>
    <n v="948"/>
    <s v="2022-04-21"/>
    <n v="2022"/>
    <s v="Q2"/>
    <x v="3"/>
    <x v="1"/>
    <x v="4"/>
    <x v="120"/>
    <x v="0"/>
    <n v="39"/>
    <x v="404"/>
    <n v="82.43"/>
    <n v="8.7100000000000009"/>
    <n v="5.41"/>
    <n v="8.2899999999999991"/>
    <n v="113.14"/>
    <n v="1012"/>
    <n v="3"/>
    <n v="101"/>
  </r>
  <r>
    <n v="949"/>
    <s v="2022-04-12"/>
    <n v="2022"/>
    <s v="Q2"/>
    <x v="3"/>
    <x v="3"/>
    <x v="2"/>
    <x v="243"/>
    <x v="2"/>
    <n v="12"/>
    <x v="164"/>
    <n v="85.27"/>
    <n v="10.85"/>
    <n v="9.9"/>
    <n v="14.54"/>
    <n v="535.89"/>
    <n v="957"/>
    <n v="3"/>
    <n v="110"/>
  </r>
  <r>
    <n v="950"/>
    <s v="2022-04-14"/>
    <n v="2022"/>
    <s v="Q2"/>
    <x v="3"/>
    <x v="5"/>
    <x v="0"/>
    <x v="849"/>
    <x v="4"/>
    <n v="8"/>
    <x v="433"/>
    <n v="87.8"/>
    <n v="17.53"/>
    <n v="18.420000000000002"/>
    <n v="14.14"/>
    <n v="131.83000000000001"/>
    <n v="448"/>
    <n v="5"/>
    <n v="133"/>
  </r>
  <r>
    <n v="951"/>
    <s v="2022-04-15"/>
    <n v="2022"/>
    <s v="Q2"/>
    <x v="3"/>
    <x v="0"/>
    <x v="4"/>
    <x v="850"/>
    <x v="3"/>
    <n v="23"/>
    <x v="58"/>
    <n v="78.540000000000006"/>
    <n v="16.79"/>
    <n v="3.99"/>
    <n v="15.93"/>
    <n v="473.66"/>
    <n v="274"/>
    <n v="4"/>
    <n v="168"/>
  </r>
  <r>
    <n v="952"/>
    <s v="2022-04-27"/>
    <n v="2022"/>
    <s v="Q2"/>
    <x v="3"/>
    <x v="0"/>
    <x v="2"/>
    <x v="851"/>
    <x v="4"/>
    <n v="12"/>
    <x v="434"/>
    <n v="92.81"/>
    <n v="10.119999999999999"/>
    <n v="13.68"/>
    <n v="6.28"/>
    <n v="453.32"/>
    <n v="673"/>
    <n v="5"/>
    <n v="60"/>
  </r>
  <r>
    <n v="953"/>
    <s v="2022-05-23"/>
    <n v="2022"/>
    <s v="Q2"/>
    <x v="4"/>
    <x v="4"/>
    <x v="1"/>
    <x v="852"/>
    <x v="0"/>
    <n v="14"/>
    <x v="286"/>
    <n v="77.66"/>
    <n v="15.97"/>
    <n v="3.66"/>
    <n v="13.82"/>
    <n v="399.55"/>
    <n v="472"/>
    <n v="4"/>
    <n v="101"/>
  </r>
  <r>
    <n v="954"/>
    <s v="2022-05-15"/>
    <n v="2022"/>
    <s v="Q2"/>
    <x v="4"/>
    <x v="3"/>
    <x v="3"/>
    <x v="853"/>
    <x v="2"/>
    <n v="21"/>
    <x v="169"/>
    <n v="93.57"/>
    <n v="16.47"/>
    <n v="19.420000000000002"/>
    <n v="9.3800000000000008"/>
    <n v="595.9"/>
    <n v="912"/>
    <n v="4"/>
    <n v="202"/>
  </r>
  <r>
    <n v="955"/>
    <s v="2022-05-25"/>
    <n v="2022"/>
    <s v="Q2"/>
    <x v="4"/>
    <x v="3"/>
    <x v="2"/>
    <x v="854"/>
    <x v="4"/>
    <n v="39"/>
    <x v="5"/>
    <n v="89.53"/>
    <n v="16.309999999999999"/>
    <n v="5.17"/>
    <n v="5.43"/>
    <n v="255.19"/>
    <n v="948"/>
    <n v="4"/>
    <n v="77"/>
  </r>
  <r>
    <n v="956"/>
    <s v="2022-05-27"/>
    <n v="2022"/>
    <s v="Q2"/>
    <x v="4"/>
    <x v="7"/>
    <x v="2"/>
    <x v="855"/>
    <x v="2"/>
    <n v="24"/>
    <x v="133"/>
    <n v="89.87"/>
    <n v="21.64"/>
    <n v="18.37"/>
    <n v="4.4400000000000004"/>
    <n v="405.54"/>
    <n v="561"/>
    <n v="1"/>
    <n v="63"/>
  </r>
  <r>
    <n v="957"/>
    <s v="2022-05-03"/>
    <n v="2022"/>
    <s v="Q2"/>
    <x v="4"/>
    <x v="7"/>
    <x v="0"/>
    <x v="856"/>
    <x v="2"/>
    <n v="42"/>
    <x v="123"/>
    <n v="82.82"/>
    <n v="12.46"/>
    <n v="18.32"/>
    <n v="15.95"/>
    <n v="175.8"/>
    <n v="822"/>
    <n v="4"/>
    <n v="231"/>
  </r>
  <r>
    <n v="958"/>
    <s v="2022-05-05"/>
    <n v="2022"/>
    <s v="Q2"/>
    <x v="4"/>
    <x v="7"/>
    <x v="2"/>
    <x v="857"/>
    <x v="4"/>
    <n v="33"/>
    <x v="331"/>
    <n v="80.27"/>
    <n v="21.42"/>
    <n v="17.41"/>
    <n v="8.6999999999999993"/>
    <n v="348.1"/>
    <n v="622"/>
    <n v="1"/>
    <n v="128"/>
  </r>
  <r>
    <n v="959"/>
    <s v="2022-05-06"/>
    <n v="2022"/>
    <s v="Q2"/>
    <x v="4"/>
    <x v="4"/>
    <x v="3"/>
    <x v="858"/>
    <x v="1"/>
    <n v="48"/>
    <x v="27"/>
    <n v="76.92"/>
    <n v="11.5"/>
    <n v="3.75"/>
    <n v="1.03"/>
    <n v="304.08999999999997"/>
    <n v="884"/>
    <n v="2"/>
    <n v="216"/>
  </r>
  <r>
    <n v="960"/>
    <s v="2022-05-23"/>
    <n v="2022"/>
    <s v="Q2"/>
    <x v="4"/>
    <x v="2"/>
    <x v="0"/>
    <x v="184"/>
    <x v="0"/>
    <n v="45"/>
    <x v="207"/>
    <n v="83.51"/>
    <n v="12.89"/>
    <n v="7.31"/>
    <n v="10.039999999999999"/>
    <n v="419.3"/>
    <n v="1092"/>
    <n v="3"/>
    <n v="224"/>
  </r>
  <r>
    <n v="961"/>
    <s v="2022-05-11"/>
    <n v="2022"/>
    <s v="Q2"/>
    <x v="4"/>
    <x v="7"/>
    <x v="3"/>
    <x v="859"/>
    <x v="1"/>
    <n v="42"/>
    <x v="133"/>
    <n v="89.56"/>
    <n v="8.81"/>
    <n v="5.18"/>
    <n v="6.91"/>
    <n v="242"/>
    <n v="728"/>
    <n v="4"/>
    <n v="228"/>
  </r>
  <r>
    <n v="962"/>
    <s v="2022-05-06"/>
    <n v="2022"/>
    <s v="Q2"/>
    <x v="4"/>
    <x v="3"/>
    <x v="4"/>
    <x v="860"/>
    <x v="0"/>
    <n v="33"/>
    <x v="205"/>
    <n v="94.3"/>
    <n v="11.28"/>
    <n v="9.77"/>
    <n v="13.42"/>
    <n v="394.94"/>
    <n v="787"/>
    <n v="3"/>
    <n v="151"/>
  </r>
  <r>
    <n v="963"/>
    <s v="2022-05-01"/>
    <n v="2022"/>
    <s v="Q2"/>
    <x v="4"/>
    <x v="0"/>
    <x v="3"/>
    <x v="861"/>
    <x v="1"/>
    <n v="15"/>
    <x v="284"/>
    <n v="90.69"/>
    <n v="28.23"/>
    <n v="17.170000000000002"/>
    <n v="10.58"/>
    <n v="235.63"/>
    <n v="936"/>
    <n v="2"/>
    <n v="153"/>
  </r>
  <r>
    <n v="964"/>
    <s v="2022-05-11"/>
    <n v="2022"/>
    <s v="Q2"/>
    <x v="4"/>
    <x v="0"/>
    <x v="1"/>
    <x v="862"/>
    <x v="3"/>
    <n v="22"/>
    <x v="192"/>
    <n v="87.08"/>
    <n v="8.2100000000000009"/>
    <n v="15.23"/>
    <n v="8.56"/>
    <n v="490.01"/>
    <n v="623"/>
    <n v="1"/>
    <n v="95"/>
  </r>
  <r>
    <n v="965"/>
    <s v="2022-05-09"/>
    <n v="2022"/>
    <s v="Q2"/>
    <x v="4"/>
    <x v="7"/>
    <x v="1"/>
    <x v="863"/>
    <x v="0"/>
    <n v="43"/>
    <x v="22"/>
    <n v="87.24"/>
    <n v="33.97"/>
    <n v="21.34"/>
    <n v="3.18"/>
    <n v="392.73"/>
    <n v="475"/>
    <n v="1"/>
    <n v="150"/>
  </r>
  <r>
    <n v="966"/>
    <s v="2022-05-06"/>
    <n v="2022"/>
    <s v="Q2"/>
    <x v="4"/>
    <x v="3"/>
    <x v="3"/>
    <x v="864"/>
    <x v="0"/>
    <n v="8"/>
    <x v="197"/>
    <n v="77.95"/>
    <n v="31.08"/>
    <n v="2.62"/>
    <n v="11.8"/>
    <n v="392.51"/>
    <n v="447"/>
    <n v="1"/>
    <n v="152"/>
  </r>
  <r>
    <n v="967"/>
    <s v="2022-05-24"/>
    <n v="2022"/>
    <s v="Q2"/>
    <x v="4"/>
    <x v="5"/>
    <x v="0"/>
    <x v="276"/>
    <x v="4"/>
    <n v="9"/>
    <x v="242"/>
    <n v="86.6"/>
    <n v="7.72"/>
    <n v="12.9"/>
    <n v="1.75"/>
    <n v="463.77"/>
    <n v="755"/>
    <n v="1"/>
    <n v="238"/>
  </r>
  <r>
    <n v="968"/>
    <s v="2022-05-13"/>
    <n v="2022"/>
    <s v="Q2"/>
    <x v="4"/>
    <x v="1"/>
    <x v="4"/>
    <x v="865"/>
    <x v="3"/>
    <n v="20"/>
    <x v="345"/>
    <n v="81.61"/>
    <n v="13.33"/>
    <n v="20.420000000000002"/>
    <n v="2.63"/>
    <n v="179.79"/>
    <n v="361"/>
    <n v="1"/>
    <n v="130"/>
  </r>
  <r>
    <n v="969"/>
    <s v="2022-05-09"/>
    <n v="2022"/>
    <s v="Q2"/>
    <x v="4"/>
    <x v="3"/>
    <x v="1"/>
    <x v="149"/>
    <x v="4"/>
    <n v="22"/>
    <x v="251"/>
    <n v="90.01"/>
    <n v="21.66"/>
    <n v="2.86"/>
    <n v="10.17"/>
    <n v="396.18"/>
    <n v="477"/>
    <n v="3"/>
    <n v="196"/>
  </r>
  <r>
    <n v="970"/>
    <s v="2022-05-19"/>
    <n v="2022"/>
    <s v="Q2"/>
    <x v="4"/>
    <x v="3"/>
    <x v="2"/>
    <x v="866"/>
    <x v="4"/>
    <n v="9"/>
    <x v="141"/>
    <n v="80.900000000000006"/>
    <n v="27.63"/>
    <n v="6.92"/>
    <n v="12.84"/>
    <n v="438.31"/>
    <n v="1011"/>
    <n v="5"/>
    <n v="247"/>
  </r>
  <r>
    <n v="971"/>
    <s v="2022-05-14"/>
    <n v="2022"/>
    <s v="Q2"/>
    <x v="4"/>
    <x v="0"/>
    <x v="2"/>
    <x v="867"/>
    <x v="3"/>
    <n v="35"/>
    <x v="423"/>
    <n v="86.83"/>
    <n v="22.93"/>
    <n v="13.17"/>
    <n v="3.23"/>
    <n v="302.57"/>
    <n v="1003"/>
    <n v="1"/>
    <n v="246"/>
  </r>
  <r>
    <n v="972"/>
    <s v="2022-05-13"/>
    <n v="2022"/>
    <s v="Q2"/>
    <x v="4"/>
    <x v="7"/>
    <x v="1"/>
    <x v="868"/>
    <x v="1"/>
    <n v="45"/>
    <x v="55"/>
    <n v="89.56"/>
    <n v="9.84"/>
    <n v="4.01"/>
    <n v="15.12"/>
    <n v="369.88"/>
    <n v="407"/>
    <n v="4"/>
    <n v="223"/>
  </r>
  <r>
    <n v="973"/>
    <s v="2022-05-10"/>
    <n v="2022"/>
    <s v="Q2"/>
    <x v="4"/>
    <x v="2"/>
    <x v="1"/>
    <x v="869"/>
    <x v="2"/>
    <n v="33"/>
    <x v="364"/>
    <n v="92.52"/>
    <n v="6.68"/>
    <n v="17.63"/>
    <n v="14.37"/>
    <n v="417.72"/>
    <n v="355"/>
    <n v="3"/>
    <n v="94"/>
  </r>
  <r>
    <n v="974"/>
    <s v="2022-05-22"/>
    <n v="2022"/>
    <s v="Q2"/>
    <x v="4"/>
    <x v="2"/>
    <x v="1"/>
    <x v="870"/>
    <x v="3"/>
    <n v="46"/>
    <x v="112"/>
    <n v="85.97"/>
    <n v="23.94"/>
    <n v="20.96"/>
    <n v="2.52"/>
    <n v="444.53"/>
    <n v="738"/>
    <n v="1"/>
    <n v="101"/>
  </r>
  <r>
    <n v="975"/>
    <s v="2022-05-19"/>
    <n v="2022"/>
    <s v="Q2"/>
    <x v="4"/>
    <x v="4"/>
    <x v="0"/>
    <x v="871"/>
    <x v="1"/>
    <n v="43"/>
    <x v="235"/>
    <n v="76.36"/>
    <n v="18.170000000000002"/>
    <n v="17.399999999999999"/>
    <n v="9.68"/>
    <n v="406.7"/>
    <n v="443"/>
    <n v="5"/>
    <n v="228"/>
  </r>
  <r>
    <n v="976"/>
    <s v="2022-05-04"/>
    <n v="2022"/>
    <s v="Q2"/>
    <x v="4"/>
    <x v="5"/>
    <x v="2"/>
    <x v="872"/>
    <x v="0"/>
    <n v="42"/>
    <x v="219"/>
    <n v="90.82"/>
    <n v="33.630000000000003"/>
    <n v="2.13"/>
    <n v="14.53"/>
    <n v="491.89"/>
    <n v="348"/>
    <n v="2"/>
    <n v="193"/>
  </r>
  <r>
    <n v="977"/>
    <s v="2022-05-23"/>
    <n v="2022"/>
    <s v="Q2"/>
    <x v="4"/>
    <x v="2"/>
    <x v="3"/>
    <x v="873"/>
    <x v="4"/>
    <n v="15"/>
    <x v="281"/>
    <n v="86.9"/>
    <n v="7.57"/>
    <n v="3.89"/>
    <n v="15.25"/>
    <n v="392.09"/>
    <n v="288"/>
    <n v="4"/>
    <n v="188"/>
  </r>
  <r>
    <n v="978"/>
    <s v="2022-05-15"/>
    <n v="2022"/>
    <s v="Q2"/>
    <x v="4"/>
    <x v="3"/>
    <x v="2"/>
    <x v="874"/>
    <x v="1"/>
    <n v="6"/>
    <x v="435"/>
    <n v="93.62"/>
    <n v="18.760000000000002"/>
    <n v="21.24"/>
    <n v="4.62"/>
    <n v="551.32000000000005"/>
    <n v="238"/>
    <n v="2"/>
    <n v="161"/>
  </r>
  <r>
    <n v="979"/>
    <s v="2022-05-04"/>
    <n v="2022"/>
    <s v="Q2"/>
    <x v="4"/>
    <x v="4"/>
    <x v="1"/>
    <x v="875"/>
    <x v="2"/>
    <n v="9"/>
    <x v="253"/>
    <n v="84.09"/>
    <n v="15.07"/>
    <n v="9.77"/>
    <n v="2.4700000000000002"/>
    <n v="302.56"/>
    <n v="907"/>
    <n v="2"/>
    <n v="126"/>
  </r>
  <r>
    <n v="980"/>
    <s v="2022-05-14"/>
    <n v="2022"/>
    <s v="Q2"/>
    <x v="4"/>
    <x v="1"/>
    <x v="3"/>
    <x v="769"/>
    <x v="2"/>
    <n v="31"/>
    <x v="228"/>
    <n v="89.98"/>
    <n v="11.35"/>
    <n v="19.600000000000001"/>
    <n v="10.42"/>
    <n v="547.94000000000005"/>
    <n v="135"/>
    <n v="5"/>
    <n v="128"/>
  </r>
  <r>
    <n v="981"/>
    <s v="2022-05-10"/>
    <n v="2022"/>
    <s v="Q2"/>
    <x v="4"/>
    <x v="1"/>
    <x v="1"/>
    <x v="457"/>
    <x v="4"/>
    <n v="40"/>
    <x v="338"/>
    <n v="77.64"/>
    <n v="23.13"/>
    <n v="3.47"/>
    <n v="1.1299999999999999"/>
    <n v="434.56"/>
    <n v="896"/>
    <n v="3"/>
    <n v="116"/>
  </r>
  <r>
    <n v="982"/>
    <s v="2022-05-26"/>
    <n v="2022"/>
    <s v="Q2"/>
    <x v="4"/>
    <x v="6"/>
    <x v="1"/>
    <x v="876"/>
    <x v="1"/>
    <n v="27"/>
    <x v="251"/>
    <n v="81.98"/>
    <n v="30.69"/>
    <n v="5.86"/>
    <n v="12.72"/>
    <n v="421.29"/>
    <n v="987"/>
    <n v="4"/>
    <n v="138"/>
  </r>
  <r>
    <n v="983"/>
    <s v="2022-05-15"/>
    <n v="2022"/>
    <s v="Q2"/>
    <x v="4"/>
    <x v="3"/>
    <x v="0"/>
    <x v="877"/>
    <x v="4"/>
    <n v="31"/>
    <x v="0"/>
    <n v="79.2"/>
    <n v="33.659999999999997"/>
    <n v="6.27"/>
    <n v="9.17"/>
    <n v="216.55"/>
    <n v="470"/>
    <n v="4"/>
    <n v="179"/>
  </r>
  <r>
    <n v="984"/>
    <s v="2022-05-20"/>
    <n v="2022"/>
    <s v="Q2"/>
    <x v="4"/>
    <x v="7"/>
    <x v="0"/>
    <x v="878"/>
    <x v="3"/>
    <n v="26"/>
    <x v="436"/>
    <n v="89.97"/>
    <n v="20.61"/>
    <n v="4.08"/>
    <n v="7.69"/>
    <n v="430.75"/>
    <n v="944"/>
    <n v="1"/>
    <n v="243"/>
  </r>
  <r>
    <n v="985"/>
    <s v="2022-05-23"/>
    <n v="2022"/>
    <s v="Q2"/>
    <x v="4"/>
    <x v="1"/>
    <x v="0"/>
    <x v="879"/>
    <x v="2"/>
    <n v="43"/>
    <x v="276"/>
    <n v="86.37"/>
    <n v="22.31"/>
    <n v="12.68"/>
    <n v="7.3"/>
    <n v="433.58"/>
    <n v="824"/>
    <n v="2"/>
    <n v="197"/>
  </r>
  <r>
    <n v="986"/>
    <s v="2022-05-15"/>
    <n v="2022"/>
    <s v="Q2"/>
    <x v="4"/>
    <x v="3"/>
    <x v="0"/>
    <x v="880"/>
    <x v="3"/>
    <n v="38"/>
    <x v="300"/>
    <n v="81.95"/>
    <n v="17.440000000000001"/>
    <n v="7.22"/>
    <n v="11.68"/>
    <n v="196.31"/>
    <n v="997"/>
    <n v="4"/>
    <n v="190"/>
  </r>
  <r>
    <n v="987"/>
    <s v="2022-06-13"/>
    <n v="2022"/>
    <s v="Q2"/>
    <x v="5"/>
    <x v="5"/>
    <x v="0"/>
    <x v="881"/>
    <x v="2"/>
    <n v="39"/>
    <x v="214"/>
    <n v="83.01"/>
    <n v="29.13"/>
    <n v="14.31"/>
    <n v="12.18"/>
    <n v="505.71"/>
    <n v="725"/>
    <n v="2"/>
    <n v="202"/>
  </r>
  <r>
    <n v="988"/>
    <s v="2022-06-03"/>
    <n v="2022"/>
    <s v="Q2"/>
    <x v="5"/>
    <x v="4"/>
    <x v="0"/>
    <x v="882"/>
    <x v="2"/>
    <n v="20"/>
    <x v="173"/>
    <n v="87.28"/>
    <n v="11.79"/>
    <n v="19.29"/>
    <n v="5.94"/>
    <n v="240.93"/>
    <n v="797"/>
    <n v="2"/>
    <n v="148"/>
  </r>
  <r>
    <n v="989"/>
    <s v="2022-06-27"/>
    <n v="2022"/>
    <s v="Q2"/>
    <x v="5"/>
    <x v="0"/>
    <x v="2"/>
    <x v="479"/>
    <x v="1"/>
    <n v="40"/>
    <x v="304"/>
    <n v="76.19"/>
    <n v="16.3"/>
    <n v="8.14"/>
    <n v="1.83"/>
    <n v="589.26"/>
    <n v="225"/>
    <n v="4"/>
    <n v="222"/>
  </r>
  <r>
    <n v="990"/>
    <s v="2022-06-12"/>
    <n v="2022"/>
    <s v="Q2"/>
    <x v="5"/>
    <x v="6"/>
    <x v="1"/>
    <x v="883"/>
    <x v="4"/>
    <n v="15"/>
    <x v="133"/>
    <n v="90.64"/>
    <n v="10.39"/>
    <n v="19.63"/>
    <n v="3.14"/>
    <n v="288.49"/>
    <n v="913"/>
    <n v="5"/>
    <n v="143"/>
  </r>
  <r>
    <n v="991"/>
    <s v="2022-06-21"/>
    <n v="2022"/>
    <s v="Q2"/>
    <x v="5"/>
    <x v="3"/>
    <x v="1"/>
    <x v="884"/>
    <x v="1"/>
    <n v="5"/>
    <x v="51"/>
    <n v="92.46"/>
    <n v="17.75"/>
    <n v="12.27"/>
    <n v="13.25"/>
    <n v="556.84"/>
    <n v="855"/>
    <n v="4"/>
    <n v="240"/>
  </r>
  <r>
    <n v="992"/>
    <s v="2022-05-31"/>
    <n v="2022"/>
    <s v="Q2"/>
    <x v="5"/>
    <x v="4"/>
    <x v="2"/>
    <x v="885"/>
    <x v="1"/>
    <n v="45"/>
    <x v="127"/>
    <n v="94.96"/>
    <n v="12.69"/>
    <n v="13.34"/>
    <n v="4.25"/>
    <n v="116.45"/>
    <n v="578"/>
    <n v="1"/>
    <n v="93"/>
  </r>
  <r>
    <n v="993"/>
    <s v="2022-06-03"/>
    <n v="2022"/>
    <s v="Q2"/>
    <x v="5"/>
    <x v="6"/>
    <x v="1"/>
    <x v="886"/>
    <x v="3"/>
    <n v="47"/>
    <x v="87"/>
    <n v="77.87"/>
    <n v="28.16"/>
    <n v="15.62"/>
    <n v="15.05"/>
    <n v="523.21"/>
    <n v="148"/>
    <n v="3"/>
    <n v="154"/>
  </r>
  <r>
    <n v="994"/>
    <s v="2022-06-08"/>
    <n v="2022"/>
    <s v="Q2"/>
    <x v="5"/>
    <x v="5"/>
    <x v="0"/>
    <x v="887"/>
    <x v="0"/>
    <n v="37"/>
    <x v="437"/>
    <n v="81.2"/>
    <n v="8.5399999999999991"/>
    <n v="21.99"/>
    <n v="8.6300000000000008"/>
    <n v="155.9"/>
    <n v="367"/>
    <n v="1"/>
    <n v="247"/>
  </r>
  <r>
    <n v="995"/>
    <s v="2022-06-09"/>
    <n v="2022"/>
    <s v="Q2"/>
    <x v="5"/>
    <x v="1"/>
    <x v="3"/>
    <x v="888"/>
    <x v="2"/>
    <n v="50"/>
    <x v="40"/>
    <n v="83.61"/>
    <n v="31.04"/>
    <n v="12.86"/>
    <n v="7.84"/>
    <n v="394.72"/>
    <n v="306"/>
    <n v="3"/>
    <n v="157"/>
  </r>
  <r>
    <n v="996"/>
    <s v="2022-06-05"/>
    <n v="2022"/>
    <s v="Q2"/>
    <x v="5"/>
    <x v="7"/>
    <x v="4"/>
    <x v="889"/>
    <x v="1"/>
    <n v="30"/>
    <x v="196"/>
    <n v="80.209999999999994"/>
    <n v="11.02"/>
    <n v="5.35"/>
    <n v="8.77"/>
    <n v="595.53"/>
    <n v="909"/>
    <n v="4"/>
    <n v="125"/>
  </r>
  <r>
    <n v="997"/>
    <s v="2022-06-12"/>
    <n v="2022"/>
    <s v="Q2"/>
    <x v="5"/>
    <x v="3"/>
    <x v="1"/>
    <x v="890"/>
    <x v="0"/>
    <n v="10"/>
    <x v="438"/>
    <n v="93.98"/>
    <n v="15.82"/>
    <n v="2.65"/>
    <n v="7.64"/>
    <n v="590.59"/>
    <n v="327"/>
    <n v="3"/>
    <n v="135"/>
  </r>
  <r>
    <n v="998"/>
    <s v="2022-06-07"/>
    <n v="2022"/>
    <s v="Q2"/>
    <x v="5"/>
    <x v="7"/>
    <x v="2"/>
    <x v="891"/>
    <x v="0"/>
    <n v="43"/>
    <x v="434"/>
    <n v="80.22"/>
    <n v="6.89"/>
    <n v="20.23"/>
    <n v="3.55"/>
    <n v="562.94000000000005"/>
    <n v="997"/>
    <n v="5"/>
    <n v="228"/>
  </r>
  <r>
    <n v="999"/>
    <s v="2022-06-02"/>
    <n v="2022"/>
    <s v="Q2"/>
    <x v="5"/>
    <x v="0"/>
    <x v="0"/>
    <x v="892"/>
    <x v="0"/>
    <n v="13"/>
    <x v="377"/>
    <n v="86.49"/>
    <n v="28.72"/>
    <n v="12.73"/>
    <n v="10.75"/>
    <n v="520.42999999999995"/>
    <n v="886"/>
    <n v="3"/>
    <n v="174"/>
  </r>
  <r>
    <n v="1000"/>
    <s v="2022-06-14"/>
    <n v="2022"/>
    <s v="Q2"/>
    <x v="5"/>
    <x v="7"/>
    <x v="0"/>
    <x v="339"/>
    <x v="0"/>
    <n v="22"/>
    <x v="119"/>
    <n v="93.13"/>
    <n v="9.6"/>
    <n v="17.91"/>
    <n v="14.48"/>
    <n v="146.41999999999999"/>
    <n v="196"/>
    <n v="1"/>
    <n v="212"/>
  </r>
  <r>
    <n v="1001"/>
    <s v="2022-06-14"/>
    <n v="2022"/>
    <s v="Q2"/>
    <x v="5"/>
    <x v="4"/>
    <x v="3"/>
    <x v="893"/>
    <x v="0"/>
    <n v="35"/>
    <x v="282"/>
    <n v="90.43"/>
    <n v="28.13"/>
    <n v="10.55"/>
    <n v="1.52"/>
    <n v="163.47999999999999"/>
    <n v="542"/>
    <n v="2"/>
    <n v="244"/>
  </r>
  <r>
    <n v="1002"/>
    <s v="2022-06-25"/>
    <n v="2022"/>
    <s v="Q2"/>
    <x v="5"/>
    <x v="4"/>
    <x v="1"/>
    <x v="894"/>
    <x v="2"/>
    <n v="31"/>
    <x v="23"/>
    <n v="83.34"/>
    <n v="13.23"/>
    <n v="19.079999999999998"/>
    <n v="10.62"/>
    <n v="520.95000000000005"/>
    <n v="331"/>
    <n v="2"/>
    <n v="118"/>
  </r>
  <r>
    <n v="1003"/>
    <s v="2022-06-06"/>
    <n v="2022"/>
    <s v="Q2"/>
    <x v="5"/>
    <x v="0"/>
    <x v="4"/>
    <x v="895"/>
    <x v="2"/>
    <n v="14"/>
    <x v="265"/>
    <n v="87.57"/>
    <n v="22.84"/>
    <n v="3.52"/>
    <n v="15.3"/>
    <n v="531.71"/>
    <n v="282"/>
    <n v="1"/>
    <n v="178"/>
  </r>
  <r>
    <n v="1004"/>
    <s v="2022-06-26"/>
    <n v="2022"/>
    <s v="Q2"/>
    <x v="5"/>
    <x v="7"/>
    <x v="1"/>
    <x v="896"/>
    <x v="2"/>
    <n v="1"/>
    <x v="421"/>
    <n v="82.67"/>
    <n v="24.01"/>
    <n v="20.25"/>
    <n v="12.76"/>
    <n v="259.57"/>
    <n v="144"/>
    <n v="4"/>
    <n v="112"/>
  </r>
  <r>
    <n v="1005"/>
    <s v="2022-06-12"/>
    <n v="2022"/>
    <s v="Q2"/>
    <x v="5"/>
    <x v="4"/>
    <x v="3"/>
    <x v="897"/>
    <x v="3"/>
    <n v="30"/>
    <x v="107"/>
    <n v="94.53"/>
    <n v="11.39"/>
    <n v="3.97"/>
    <n v="9.75"/>
    <n v="206.59"/>
    <n v="1035"/>
    <n v="1"/>
    <n v="101"/>
  </r>
  <r>
    <n v="1006"/>
    <s v="2022-06-05"/>
    <n v="2022"/>
    <s v="Q2"/>
    <x v="5"/>
    <x v="2"/>
    <x v="2"/>
    <x v="898"/>
    <x v="2"/>
    <n v="45"/>
    <x v="335"/>
    <n v="81.34"/>
    <n v="10.29"/>
    <n v="17.059999999999999"/>
    <n v="4.09"/>
    <n v="499.32"/>
    <n v="187"/>
    <n v="4"/>
    <n v="100"/>
  </r>
  <r>
    <n v="1007"/>
    <s v="2022-06-11"/>
    <n v="2022"/>
    <s v="Q2"/>
    <x v="5"/>
    <x v="3"/>
    <x v="2"/>
    <x v="899"/>
    <x v="4"/>
    <n v="44"/>
    <x v="366"/>
    <n v="75.819999999999993"/>
    <n v="28.15"/>
    <n v="14.38"/>
    <n v="7.65"/>
    <n v="214.2"/>
    <n v="709"/>
    <n v="5"/>
    <n v="83"/>
  </r>
  <r>
    <n v="1008"/>
    <s v="2022-06-22"/>
    <n v="2022"/>
    <s v="Q2"/>
    <x v="5"/>
    <x v="1"/>
    <x v="2"/>
    <x v="900"/>
    <x v="1"/>
    <n v="5"/>
    <x v="184"/>
    <n v="79.59"/>
    <n v="5.29"/>
    <n v="4.55"/>
    <n v="5.29"/>
    <n v="271.43"/>
    <n v="337"/>
    <n v="4"/>
    <n v="237"/>
  </r>
  <r>
    <n v="1009"/>
    <s v="2022-06-24"/>
    <n v="2022"/>
    <s v="Q2"/>
    <x v="5"/>
    <x v="1"/>
    <x v="1"/>
    <x v="901"/>
    <x v="4"/>
    <n v="28"/>
    <x v="398"/>
    <n v="84.76"/>
    <n v="32.57"/>
    <n v="19.05"/>
    <n v="11.89"/>
    <n v="474.66"/>
    <n v="138"/>
    <n v="3"/>
    <n v="193"/>
  </r>
  <r>
    <n v="1010"/>
    <s v="2022-06-19"/>
    <n v="2022"/>
    <s v="Q2"/>
    <x v="5"/>
    <x v="4"/>
    <x v="3"/>
    <x v="902"/>
    <x v="3"/>
    <n v="23"/>
    <x v="215"/>
    <n v="87.18"/>
    <n v="29.04"/>
    <n v="2.82"/>
    <n v="1.06"/>
    <n v="452.54"/>
    <n v="403"/>
    <n v="4"/>
    <n v="122"/>
  </r>
  <r>
    <n v="1011"/>
    <s v="2022-06-15"/>
    <n v="2022"/>
    <s v="Q2"/>
    <x v="5"/>
    <x v="0"/>
    <x v="3"/>
    <x v="903"/>
    <x v="1"/>
    <n v="46"/>
    <x v="146"/>
    <n v="91.59"/>
    <n v="17.71"/>
    <n v="9.92"/>
    <n v="13.27"/>
    <n v="239.57"/>
    <n v="1058"/>
    <n v="3"/>
    <n v="92"/>
  </r>
  <r>
    <n v="1012"/>
    <s v="2022-06-16"/>
    <n v="2022"/>
    <s v="Q2"/>
    <x v="5"/>
    <x v="7"/>
    <x v="0"/>
    <x v="904"/>
    <x v="3"/>
    <n v="31"/>
    <x v="123"/>
    <n v="81.739999999999995"/>
    <n v="26.21"/>
    <n v="15.17"/>
    <n v="2.6"/>
    <n v="163.27000000000001"/>
    <n v="501"/>
    <n v="2"/>
    <n v="204"/>
  </r>
  <r>
    <n v="1013"/>
    <s v="2022-06-07"/>
    <n v="2022"/>
    <s v="Q2"/>
    <x v="5"/>
    <x v="2"/>
    <x v="4"/>
    <x v="905"/>
    <x v="3"/>
    <n v="34"/>
    <x v="21"/>
    <n v="86.69"/>
    <n v="6"/>
    <n v="12.36"/>
    <n v="3.84"/>
    <n v="367.17"/>
    <n v="806"/>
    <n v="2"/>
    <n v="58"/>
  </r>
  <r>
    <n v="1014"/>
    <s v="2022-06-08"/>
    <n v="2022"/>
    <s v="Q2"/>
    <x v="5"/>
    <x v="2"/>
    <x v="3"/>
    <x v="906"/>
    <x v="3"/>
    <n v="41"/>
    <x v="21"/>
    <n v="90.26"/>
    <n v="18.059999999999999"/>
    <n v="17.829999999999998"/>
    <n v="10.65"/>
    <n v="292.11"/>
    <n v="755"/>
    <n v="1"/>
    <n v="165"/>
  </r>
  <r>
    <n v="1015"/>
    <s v="2022-06-17"/>
    <n v="2022"/>
    <s v="Q2"/>
    <x v="5"/>
    <x v="5"/>
    <x v="2"/>
    <x v="907"/>
    <x v="4"/>
    <n v="36"/>
    <x v="422"/>
    <n v="76.64"/>
    <n v="14.32"/>
    <n v="11.73"/>
    <n v="3.02"/>
    <n v="393.61"/>
    <n v="424"/>
    <n v="2"/>
    <n v="147"/>
  </r>
  <r>
    <n v="1016"/>
    <s v="2022-06-24"/>
    <n v="2022"/>
    <s v="Q2"/>
    <x v="5"/>
    <x v="1"/>
    <x v="2"/>
    <x v="908"/>
    <x v="4"/>
    <n v="23"/>
    <x v="439"/>
    <n v="80.47"/>
    <n v="11.15"/>
    <n v="3.2"/>
    <n v="14.26"/>
    <n v="139.41999999999999"/>
    <n v="1035"/>
    <n v="1"/>
    <n v="162"/>
  </r>
  <r>
    <n v="1017"/>
    <s v="2022-06-03"/>
    <n v="2022"/>
    <s v="Q2"/>
    <x v="5"/>
    <x v="5"/>
    <x v="2"/>
    <x v="909"/>
    <x v="4"/>
    <n v="36"/>
    <x v="59"/>
    <n v="86.49"/>
    <n v="17.14"/>
    <n v="5.22"/>
    <n v="13.46"/>
    <n v="595.04999999999995"/>
    <n v="302"/>
    <n v="5"/>
    <n v="134"/>
  </r>
  <r>
    <n v="1018"/>
    <s v="2022-06-07"/>
    <n v="2022"/>
    <s v="Q2"/>
    <x v="5"/>
    <x v="2"/>
    <x v="0"/>
    <x v="910"/>
    <x v="3"/>
    <n v="3"/>
    <x v="87"/>
    <n v="79.739999999999995"/>
    <n v="17.329999999999998"/>
    <n v="15.76"/>
    <n v="5.65"/>
    <n v="218.67"/>
    <n v="938"/>
    <n v="4"/>
    <n v="55"/>
  </r>
  <r>
    <n v="1019"/>
    <s v="2022-06-05"/>
    <n v="2022"/>
    <s v="Q2"/>
    <x v="5"/>
    <x v="1"/>
    <x v="4"/>
    <x v="911"/>
    <x v="4"/>
    <n v="33"/>
    <x v="102"/>
    <n v="75.290000000000006"/>
    <n v="19.36"/>
    <n v="18.899999999999999"/>
    <n v="9.23"/>
    <n v="129.66"/>
    <n v="852"/>
    <n v="3"/>
    <n v="238"/>
  </r>
  <r>
    <n v="1020"/>
    <s v="2022-06-12"/>
    <n v="2022"/>
    <s v="Q2"/>
    <x v="5"/>
    <x v="2"/>
    <x v="3"/>
    <x v="399"/>
    <x v="1"/>
    <n v="10"/>
    <x v="440"/>
    <n v="86.09"/>
    <n v="33.520000000000003"/>
    <n v="9.1199999999999992"/>
    <n v="5.48"/>
    <n v="318.37"/>
    <n v="950"/>
    <n v="3"/>
    <n v="215"/>
  </r>
  <r>
    <n v="1021"/>
    <s v="2022-07-14"/>
    <n v="2022"/>
    <s v="Q3"/>
    <x v="6"/>
    <x v="2"/>
    <x v="4"/>
    <x v="903"/>
    <x v="2"/>
    <n v="12"/>
    <x v="112"/>
    <n v="88.61"/>
    <n v="20.29"/>
    <n v="17.690000000000001"/>
    <n v="3.13"/>
    <n v="147.55000000000001"/>
    <n v="751"/>
    <n v="3"/>
    <n v="75"/>
  </r>
  <r>
    <n v="1022"/>
    <s v="2022-07-25"/>
    <n v="2022"/>
    <s v="Q3"/>
    <x v="6"/>
    <x v="6"/>
    <x v="2"/>
    <x v="912"/>
    <x v="3"/>
    <n v="38"/>
    <x v="299"/>
    <n v="92.18"/>
    <n v="6.41"/>
    <n v="5.72"/>
    <n v="3.45"/>
    <n v="550.94000000000005"/>
    <n v="530"/>
    <n v="4"/>
    <n v="133"/>
  </r>
  <r>
    <n v="1023"/>
    <s v="2022-07-05"/>
    <n v="2022"/>
    <s v="Q3"/>
    <x v="6"/>
    <x v="4"/>
    <x v="3"/>
    <x v="913"/>
    <x v="3"/>
    <n v="5"/>
    <x v="356"/>
    <n v="85.14"/>
    <n v="5.16"/>
    <n v="9.49"/>
    <n v="13.53"/>
    <n v="194.89"/>
    <n v="146"/>
    <n v="3"/>
    <n v="241"/>
  </r>
  <r>
    <n v="1024"/>
    <s v="2022-06-30"/>
    <n v="2022"/>
    <s v="Q3"/>
    <x v="6"/>
    <x v="3"/>
    <x v="2"/>
    <x v="914"/>
    <x v="1"/>
    <n v="31"/>
    <x v="110"/>
    <n v="90.57"/>
    <n v="28.21"/>
    <n v="9.44"/>
    <n v="12.18"/>
    <n v="385.38"/>
    <n v="702"/>
    <n v="1"/>
    <n v="84"/>
  </r>
  <r>
    <n v="1025"/>
    <s v="2022-07-08"/>
    <n v="2022"/>
    <s v="Q3"/>
    <x v="6"/>
    <x v="0"/>
    <x v="1"/>
    <x v="915"/>
    <x v="4"/>
    <n v="31"/>
    <x v="224"/>
    <n v="90.82"/>
    <n v="24.83"/>
    <n v="7.37"/>
    <n v="7.64"/>
    <n v="145.88"/>
    <n v="905"/>
    <n v="1"/>
    <n v="109"/>
  </r>
  <r>
    <n v="1026"/>
    <s v="2022-07-11"/>
    <n v="2022"/>
    <s v="Q3"/>
    <x v="6"/>
    <x v="6"/>
    <x v="1"/>
    <x v="916"/>
    <x v="0"/>
    <n v="30"/>
    <x v="421"/>
    <n v="79.349999999999994"/>
    <n v="20.18"/>
    <n v="18.260000000000002"/>
    <n v="12.34"/>
    <n v="283.22000000000003"/>
    <n v="756"/>
    <n v="2"/>
    <n v="109"/>
  </r>
  <r>
    <n v="1027"/>
    <s v="2022-07-20"/>
    <n v="2022"/>
    <s v="Q3"/>
    <x v="6"/>
    <x v="7"/>
    <x v="4"/>
    <x v="917"/>
    <x v="0"/>
    <n v="39"/>
    <x v="296"/>
    <n v="88.49"/>
    <n v="32.6"/>
    <n v="16.02"/>
    <n v="12.46"/>
    <n v="344.93"/>
    <n v="546"/>
    <n v="1"/>
    <n v="201"/>
  </r>
  <r>
    <n v="1028"/>
    <s v="2022-07-07"/>
    <n v="2022"/>
    <s v="Q3"/>
    <x v="6"/>
    <x v="4"/>
    <x v="2"/>
    <x v="918"/>
    <x v="0"/>
    <n v="19"/>
    <x v="441"/>
    <n v="81.19"/>
    <n v="30.23"/>
    <n v="4.74"/>
    <n v="9.5"/>
    <n v="103.47"/>
    <n v="933"/>
    <n v="4"/>
    <n v="50"/>
  </r>
  <r>
    <n v="1029"/>
    <s v="2022-07-22"/>
    <n v="2022"/>
    <s v="Q3"/>
    <x v="6"/>
    <x v="3"/>
    <x v="3"/>
    <x v="919"/>
    <x v="1"/>
    <n v="4"/>
    <x v="264"/>
    <n v="92.81"/>
    <n v="29.75"/>
    <n v="2.87"/>
    <n v="1.2"/>
    <n v="442.54"/>
    <n v="1076"/>
    <n v="5"/>
    <n v="114"/>
  </r>
  <r>
    <n v="1030"/>
    <s v="2022-07-10"/>
    <n v="2022"/>
    <s v="Q3"/>
    <x v="6"/>
    <x v="1"/>
    <x v="1"/>
    <x v="920"/>
    <x v="3"/>
    <n v="35"/>
    <x v="162"/>
    <n v="93.65"/>
    <n v="6.18"/>
    <n v="18.72"/>
    <n v="10.68"/>
    <n v="580.51"/>
    <n v="636"/>
    <n v="1"/>
    <n v="74"/>
  </r>
  <r>
    <n v="1031"/>
    <s v="2022-07-15"/>
    <n v="2022"/>
    <s v="Q3"/>
    <x v="6"/>
    <x v="2"/>
    <x v="0"/>
    <x v="171"/>
    <x v="2"/>
    <n v="35"/>
    <x v="167"/>
    <n v="78.95"/>
    <n v="22.83"/>
    <n v="5.97"/>
    <n v="5.6"/>
    <n v="369.85"/>
    <n v="566"/>
    <n v="4"/>
    <n v="66"/>
  </r>
  <r>
    <n v="1032"/>
    <s v="2022-07-17"/>
    <n v="2022"/>
    <s v="Q3"/>
    <x v="6"/>
    <x v="5"/>
    <x v="4"/>
    <x v="921"/>
    <x v="1"/>
    <n v="21"/>
    <x v="209"/>
    <n v="79.3"/>
    <n v="13.97"/>
    <n v="14.73"/>
    <n v="12.52"/>
    <n v="174.68"/>
    <n v="515"/>
    <n v="2"/>
    <n v="229"/>
  </r>
  <r>
    <n v="1033"/>
    <s v="2022-07-08"/>
    <n v="2022"/>
    <s v="Q3"/>
    <x v="6"/>
    <x v="2"/>
    <x v="1"/>
    <x v="922"/>
    <x v="3"/>
    <n v="19"/>
    <x v="387"/>
    <n v="79.819999999999993"/>
    <n v="17.239999999999998"/>
    <n v="3.43"/>
    <n v="5.55"/>
    <n v="229.39"/>
    <n v="1009"/>
    <n v="5"/>
    <n v="184"/>
  </r>
  <r>
    <n v="1034"/>
    <s v="2022-07-03"/>
    <n v="2022"/>
    <s v="Q3"/>
    <x v="6"/>
    <x v="6"/>
    <x v="4"/>
    <x v="923"/>
    <x v="0"/>
    <n v="12"/>
    <x v="321"/>
    <n v="82.31"/>
    <n v="26.49"/>
    <n v="9.5"/>
    <n v="12.39"/>
    <n v="143.83000000000001"/>
    <n v="210"/>
    <n v="1"/>
    <n v="190"/>
  </r>
  <r>
    <n v="1035"/>
    <s v="2022-07-22"/>
    <n v="2022"/>
    <s v="Q3"/>
    <x v="6"/>
    <x v="4"/>
    <x v="2"/>
    <x v="924"/>
    <x v="0"/>
    <n v="17"/>
    <x v="442"/>
    <n v="90.75"/>
    <n v="10.57"/>
    <n v="21.58"/>
    <n v="11.49"/>
    <n v="537.88"/>
    <n v="315"/>
    <n v="3"/>
    <n v="178"/>
  </r>
  <r>
    <n v="1036"/>
    <s v="2022-07-22"/>
    <n v="2022"/>
    <s v="Q3"/>
    <x v="6"/>
    <x v="0"/>
    <x v="1"/>
    <x v="925"/>
    <x v="3"/>
    <n v="19"/>
    <x v="68"/>
    <n v="89.83"/>
    <n v="5.17"/>
    <n v="21.58"/>
    <n v="4.4800000000000004"/>
    <n v="255.89"/>
    <n v="671"/>
    <n v="3"/>
    <n v="203"/>
  </r>
  <r>
    <n v="1037"/>
    <s v="2022-07-11"/>
    <n v="2022"/>
    <s v="Q3"/>
    <x v="6"/>
    <x v="7"/>
    <x v="2"/>
    <x v="926"/>
    <x v="3"/>
    <n v="45"/>
    <x v="172"/>
    <n v="90.02"/>
    <n v="34.32"/>
    <n v="3.96"/>
    <n v="6.01"/>
    <n v="237.43"/>
    <n v="704"/>
    <n v="1"/>
    <n v="68"/>
  </r>
  <r>
    <n v="1038"/>
    <s v="2022-07-01"/>
    <n v="2022"/>
    <s v="Q3"/>
    <x v="6"/>
    <x v="2"/>
    <x v="4"/>
    <x v="927"/>
    <x v="2"/>
    <n v="11"/>
    <x v="234"/>
    <n v="87.84"/>
    <n v="8.99"/>
    <n v="15.6"/>
    <n v="13.23"/>
    <n v="562.23"/>
    <n v="394"/>
    <n v="2"/>
    <n v="197"/>
  </r>
  <r>
    <n v="1039"/>
    <s v="2022-07-12"/>
    <n v="2022"/>
    <s v="Q3"/>
    <x v="6"/>
    <x v="7"/>
    <x v="4"/>
    <x v="928"/>
    <x v="3"/>
    <n v="26"/>
    <x v="425"/>
    <n v="91.59"/>
    <n v="15.01"/>
    <n v="15.28"/>
    <n v="14.94"/>
    <n v="575.79999999999995"/>
    <n v="809"/>
    <n v="4"/>
    <n v="243"/>
  </r>
  <r>
    <n v="1040"/>
    <s v="2022-07-26"/>
    <n v="2022"/>
    <s v="Q3"/>
    <x v="6"/>
    <x v="4"/>
    <x v="4"/>
    <x v="929"/>
    <x v="2"/>
    <n v="46"/>
    <x v="305"/>
    <n v="92.16"/>
    <n v="26.68"/>
    <n v="3.56"/>
    <n v="6.51"/>
    <n v="437.61"/>
    <n v="1093"/>
    <n v="2"/>
    <n v="131"/>
  </r>
  <r>
    <n v="1041"/>
    <s v="2022-07-19"/>
    <n v="2022"/>
    <s v="Q3"/>
    <x v="6"/>
    <x v="2"/>
    <x v="0"/>
    <x v="930"/>
    <x v="2"/>
    <n v="23"/>
    <x v="70"/>
    <n v="76.17"/>
    <n v="17.57"/>
    <n v="3.2"/>
    <n v="3.43"/>
    <n v="540.63"/>
    <n v="584"/>
    <n v="3"/>
    <n v="142"/>
  </r>
  <r>
    <n v="1042"/>
    <s v="2022-07-12"/>
    <n v="2022"/>
    <s v="Q3"/>
    <x v="6"/>
    <x v="0"/>
    <x v="3"/>
    <x v="931"/>
    <x v="0"/>
    <n v="30"/>
    <x v="315"/>
    <n v="94.04"/>
    <n v="13.24"/>
    <n v="9.4600000000000009"/>
    <n v="8.36"/>
    <n v="238.97"/>
    <n v="1095"/>
    <n v="3"/>
    <n v="227"/>
  </r>
  <r>
    <n v="1043"/>
    <s v="2022-07-21"/>
    <n v="2022"/>
    <s v="Q3"/>
    <x v="6"/>
    <x v="7"/>
    <x v="1"/>
    <x v="932"/>
    <x v="2"/>
    <n v="29"/>
    <x v="368"/>
    <n v="89.56"/>
    <n v="32.46"/>
    <n v="20.49"/>
    <n v="10.75"/>
    <n v="401"/>
    <n v="123"/>
    <n v="5"/>
    <n v="205"/>
  </r>
  <r>
    <n v="1044"/>
    <s v="2022-07-08"/>
    <n v="2022"/>
    <s v="Q3"/>
    <x v="6"/>
    <x v="7"/>
    <x v="2"/>
    <x v="437"/>
    <x v="3"/>
    <n v="44"/>
    <x v="2"/>
    <n v="75.33"/>
    <n v="17.97"/>
    <n v="17.07"/>
    <n v="2.16"/>
    <n v="116.62"/>
    <n v="247"/>
    <n v="3"/>
    <n v="155"/>
  </r>
  <r>
    <n v="1045"/>
    <s v="2022-07-26"/>
    <n v="2022"/>
    <s v="Q3"/>
    <x v="6"/>
    <x v="1"/>
    <x v="3"/>
    <x v="933"/>
    <x v="4"/>
    <n v="32"/>
    <x v="298"/>
    <n v="76.569999999999993"/>
    <n v="22.19"/>
    <n v="11.22"/>
    <n v="11.18"/>
    <n v="289.64999999999998"/>
    <n v="869"/>
    <n v="5"/>
    <n v="89"/>
  </r>
  <r>
    <n v="1046"/>
    <s v="2022-07-07"/>
    <n v="2022"/>
    <s v="Q3"/>
    <x v="6"/>
    <x v="3"/>
    <x v="0"/>
    <x v="934"/>
    <x v="4"/>
    <n v="3"/>
    <x v="160"/>
    <n v="75.17"/>
    <n v="22.63"/>
    <n v="19.38"/>
    <n v="3.85"/>
    <n v="253.76"/>
    <n v="258"/>
    <n v="1"/>
    <n v="120"/>
  </r>
  <r>
    <n v="1047"/>
    <s v="2022-07-03"/>
    <n v="2022"/>
    <s v="Q3"/>
    <x v="6"/>
    <x v="6"/>
    <x v="3"/>
    <x v="935"/>
    <x v="0"/>
    <n v="16"/>
    <x v="31"/>
    <n v="82.21"/>
    <n v="14.69"/>
    <n v="8.9700000000000006"/>
    <n v="14.25"/>
    <n v="514.54999999999995"/>
    <n v="160"/>
    <n v="4"/>
    <n v="142"/>
  </r>
  <r>
    <n v="1048"/>
    <s v="2022-07-05"/>
    <n v="2022"/>
    <s v="Q3"/>
    <x v="6"/>
    <x v="7"/>
    <x v="1"/>
    <x v="936"/>
    <x v="2"/>
    <n v="45"/>
    <x v="375"/>
    <n v="84.78"/>
    <n v="29.06"/>
    <n v="7.71"/>
    <n v="13.27"/>
    <n v="447.65"/>
    <n v="945"/>
    <n v="4"/>
    <n v="194"/>
  </r>
  <r>
    <n v="1049"/>
    <s v="2022-07-17"/>
    <n v="2022"/>
    <s v="Q3"/>
    <x v="6"/>
    <x v="4"/>
    <x v="3"/>
    <x v="937"/>
    <x v="3"/>
    <n v="2"/>
    <x v="191"/>
    <n v="89.45"/>
    <n v="23.15"/>
    <n v="3.47"/>
    <n v="14.67"/>
    <n v="501.68"/>
    <n v="338"/>
    <n v="4"/>
    <n v="170"/>
  </r>
  <r>
    <n v="1050"/>
    <s v="2022-07-07"/>
    <n v="2022"/>
    <s v="Q3"/>
    <x v="6"/>
    <x v="1"/>
    <x v="2"/>
    <x v="938"/>
    <x v="0"/>
    <n v="10"/>
    <x v="403"/>
    <n v="87.31"/>
    <n v="19.02"/>
    <n v="10.4"/>
    <n v="14.38"/>
    <n v="487.54"/>
    <n v="121"/>
    <n v="1"/>
    <n v="75"/>
  </r>
  <r>
    <n v="1051"/>
    <s v="2022-07-12"/>
    <n v="2022"/>
    <s v="Q3"/>
    <x v="6"/>
    <x v="3"/>
    <x v="1"/>
    <x v="858"/>
    <x v="0"/>
    <n v="41"/>
    <x v="39"/>
    <n v="87.63"/>
    <n v="15.63"/>
    <n v="16.399999999999999"/>
    <n v="13.45"/>
    <n v="593.13"/>
    <n v="976"/>
    <n v="1"/>
    <n v="232"/>
  </r>
  <r>
    <n v="1052"/>
    <s v="2022-07-05"/>
    <n v="2022"/>
    <s v="Q3"/>
    <x v="6"/>
    <x v="4"/>
    <x v="3"/>
    <x v="939"/>
    <x v="2"/>
    <n v="21"/>
    <x v="235"/>
    <n v="79.400000000000006"/>
    <n v="28.9"/>
    <n v="17.27"/>
    <n v="9.7100000000000009"/>
    <n v="216.35"/>
    <n v="189"/>
    <n v="5"/>
    <n v="138"/>
  </r>
  <r>
    <n v="1053"/>
    <s v="2022-06-30"/>
    <n v="2022"/>
    <s v="Q3"/>
    <x v="6"/>
    <x v="1"/>
    <x v="0"/>
    <x v="940"/>
    <x v="2"/>
    <n v="18"/>
    <x v="125"/>
    <n v="76.55"/>
    <n v="27.56"/>
    <n v="6.99"/>
    <n v="5.12"/>
    <n v="564.91999999999996"/>
    <n v="1034"/>
    <n v="5"/>
    <n v="224"/>
  </r>
  <r>
    <n v="1054"/>
    <s v="2022-07-11"/>
    <n v="2022"/>
    <s v="Q3"/>
    <x v="6"/>
    <x v="0"/>
    <x v="4"/>
    <x v="941"/>
    <x v="0"/>
    <n v="44"/>
    <x v="245"/>
    <n v="92.45"/>
    <n v="31.83"/>
    <n v="20.67"/>
    <n v="4.6500000000000004"/>
    <n v="210.54"/>
    <n v="1005"/>
    <n v="5"/>
    <n v="178"/>
  </r>
  <r>
    <n v="1055"/>
    <s v="2022-08-03"/>
    <n v="2022"/>
    <s v="Q3"/>
    <x v="7"/>
    <x v="6"/>
    <x v="0"/>
    <x v="942"/>
    <x v="1"/>
    <n v="22"/>
    <x v="205"/>
    <n v="77.02"/>
    <n v="5.79"/>
    <n v="18.52"/>
    <n v="7.83"/>
    <n v="456.14"/>
    <n v="1021"/>
    <n v="2"/>
    <n v="68"/>
  </r>
  <r>
    <n v="1056"/>
    <s v="2022-08-09"/>
    <n v="2022"/>
    <s v="Q3"/>
    <x v="7"/>
    <x v="1"/>
    <x v="2"/>
    <x v="795"/>
    <x v="4"/>
    <n v="11"/>
    <x v="411"/>
    <n v="84.04"/>
    <n v="25.81"/>
    <n v="21.07"/>
    <n v="13.31"/>
    <n v="255.32"/>
    <n v="565"/>
    <n v="2"/>
    <n v="126"/>
  </r>
  <r>
    <n v="1057"/>
    <s v="2022-08-03"/>
    <n v="2022"/>
    <s v="Q3"/>
    <x v="7"/>
    <x v="6"/>
    <x v="3"/>
    <x v="343"/>
    <x v="0"/>
    <n v="9"/>
    <x v="208"/>
    <n v="92.84"/>
    <n v="18.809999999999999"/>
    <n v="7.37"/>
    <n v="3.31"/>
    <n v="388.08"/>
    <n v="127"/>
    <n v="3"/>
    <n v="99"/>
  </r>
  <r>
    <n v="1058"/>
    <s v="2022-08-23"/>
    <n v="2022"/>
    <s v="Q3"/>
    <x v="7"/>
    <x v="1"/>
    <x v="1"/>
    <x v="943"/>
    <x v="1"/>
    <n v="13"/>
    <x v="343"/>
    <n v="91.96"/>
    <n v="34.270000000000003"/>
    <n v="18.350000000000001"/>
    <n v="8.4700000000000006"/>
    <n v="557.96"/>
    <n v="160"/>
    <n v="1"/>
    <n v="231"/>
  </r>
  <r>
    <n v="1059"/>
    <s v="2022-08-23"/>
    <n v="2022"/>
    <s v="Q3"/>
    <x v="7"/>
    <x v="2"/>
    <x v="1"/>
    <x v="944"/>
    <x v="4"/>
    <n v="50"/>
    <x v="443"/>
    <n v="85.71"/>
    <n v="7.55"/>
    <n v="15.57"/>
    <n v="8.8699999999999992"/>
    <n v="192.17"/>
    <n v="455"/>
    <n v="4"/>
    <n v="95"/>
  </r>
  <r>
    <n v="1060"/>
    <s v="2022-08-02"/>
    <n v="2022"/>
    <s v="Q3"/>
    <x v="7"/>
    <x v="2"/>
    <x v="3"/>
    <x v="945"/>
    <x v="1"/>
    <n v="4"/>
    <x v="444"/>
    <n v="79.900000000000006"/>
    <n v="9.4700000000000006"/>
    <n v="18.48"/>
    <n v="3.17"/>
    <n v="444.61"/>
    <n v="652"/>
    <n v="5"/>
    <n v="186"/>
  </r>
  <r>
    <n v="1061"/>
    <s v="2022-08-25"/>
    <n v="2022"/>
    <s v="Q3"/>
    <x v="7"/>
    <x v="2"/>
    <x v="2"/>
    <x v="696"/>
    <x v="0"/>
    <n v="46"/>
    <x v="297"/>
    <n v="82.79"/>
    <n v="14.41"/>
    <n v="4.37"/>
    <n v="1.34"/>
    <n v="236.75"/>
    <n v="837"/>
    <n v="5"/>
    <n v="50"/>
  </r>
  <r>
    <n v="1062"/>
    <s v="2022-08-12"/>
    <n v="2022"/>
    <s v="Q3"/>
    <x v="7"/>
    <x v="6"/>
    <x v="1"/>
    <x v="946"/>
    <x v="3"/>
    <n v="28"/>
    <x v="163"/>
    <n v="84.87"/>
    <n v="7.35"/>
    <n v="10.33"/>
    <n v="12.63"/>
    <n v="128.69"/>
    <n v="262"/>
    <n v="5"/>
    <n v="56"/>
  </r>
  <r>
    <n v="1063"/>
    <s v="2022-08-06"/>
    <n v="2022"/>
    <s v="Q3"/>
    <x v="7"/>
    <x v="3"/>
    <x v="2"/>
    <x v="947"/>
    <x v="1"/>
    <n v="1"/>
    <x v="138"/>
    <n v="89.62"/>
    <n v="20.84"/>
    <n v="3.45"/>
    <n v="10.3"/>
    <n v="234.24"/>
    <n v="256"/>
    <n v="2"/>
    <n v="203"/>
  </r>
  <r>
    <n v="1064"/>
    <s v="2022-08-02"/>
    <n v="2022"/>
    <s v="Q3"/>
    <x v="7"/>
    <x v="3"/>
    <x v="4"/>
    <x v="948"/>
    <x v="1"/>
    <n v="34"/>
    <x v="410"/>
    <n v="75.94"/>
    <n v="22.77"/>
    <n v="3.53"/>
    <n v="3.02"/>
    <n v="289.8"/>
    <n v="907"/>
    <n v="1"/>
    <n v="188"/>
  </r>
  <r>
    <n v="1065"/>
    <s v="2022-08-26"/>
    <n v="2022"/>
    <s v="Q3"/>
    <x v="7"/>
    <x v="6"/>
    <x v="4"/>
    <x v="949"/>
    <x v="0"/>
    <n v="28"/>
    <x v="256"/>
    <n v="88.04"/>
    <n v="29.97"/>
    <n v="17.100000000000001"/>
    <n v="14.06"/>
    <n v="576.36"/>
    <n v="643"/>
    <n v="4"/>
    <n v="63"/>
  </r>
  <r>
    <n v="1066"/>
    <s v="2022-08-26"/>
    <n v="2022"/>
    <s v="Q3"/>
    <x v="7"/>
    <x v="1"/>
    <x v="3"/>
    <x v="950"/>
    <x v="0"/>
    <n v="19"/>
    <x v="159"/>
    <n v="75.319999999999993"/>
    <n v="12.06"/>
    <n v="16.61"/>
    <n v="11.89"/>
    <n v="343.18"/>
    <n v="823"/>
    <n v="3"/>
    <n v="93"/>
  </r>
  <r>
    <n v="1067"/>
    <s v="2022-08-22"/>
    <n v="2022"/>
    <s v="Q3"/>
    <x v="7"/>
    <x v="4"/>
    <x v="0"/>
    <x v="951"/>
    <x v="3"/>
    <n v="24"/>
    <x v="265"/>
    <n v="91.33"/>
    <n v="30.18"/>
    <n v="20.12"/>
    <n v="6.4"/>
    <n v="457.03"/>
    <n v="506"/>
    <n v="3"/>
    <n v="87"/>
  </r>
  <r>
    <n v="1068"/>
    <s v="2022-08-08"/>
    <n v="2022"/>
    <s v="Q3"/>
    <x v="7"/>
    <x v="2"/>
    <x v="4"/>
    <x v="952"/>
    <x v="2"/>
    <n v="8"/>
    <x v="82"/>
    <n v="79.67"/>
    <n v="5.04"/>
    <n v="12.72"/>
    <n v="2.71"/>
    <n v="584.25"/>
    <n v="160"/>
    <n v="1"/>
    <n v="93"/>
  </r>
  <r>
    <n v="1069"/>
    <s v="2022-08-09"/>
    <n v="2022"/>
    <s v="Q3"/>
    <x v="7"/>
    <x v="2"/>
    <x v="1"/>
    <x v="953"/>
    <x v="2"/>
    <n v="7"/>
    <x v="133"/>
    <n v="86"/>
    <n v="12.08"/>
    <n v="5.0599999999999996"/>
    <n v="2.35"/>
    <n v="300.45"/>
    <n v="316"/>
    <n v="1"/>
    <n v="106"/>
  </r>
  <r>
    <n v="1070"/>
    <s v="2022-08-11"/>
    <n v="2022"/>
    <s v="Q3"/>
    <x v="7"/>
    <x v="1"/>
    <x v="1"/>
    <x v="954"/>
    <x v="2"/>
    <n v="23"/>
    <x v="135"/>
    <n v="88.19"/>
    <n v="34.92"/>
    <n v="7.86"/>
    <n v="12.87"/>
    <n v="516.64"/>
    <n v="614"/>
    <n v="1"/>
    <n v="229"/>
  </r>
  <r>
    <n v="1071"/>
    <s v="2022-08-02"/>
    <n v="2022"/>
    <s v="Q3"/>
    <x v="7"/>
    <x v="3"/>
    <x v="4"/>
    <x v="876"/>
    <x v="3"/>
    <n v="50"/>
    <x v="119"/>
    <n v="76.81"/>
    <n v="14.36"/>
    <n v="14.02"/>
    <n v="4.5999999999999996"/>
    <n v="305.8"/>
    <n v="990"/>
    <n v="1"/>
    <n v="82"/>
  </r>
  <r>
    <n v="1072"/>
    <s v="2022-08-04"/>
    <n v="2022"/>
    <s v="Q3"/>
    <x v="7"/>
    <x v="3"/>
    <x v="2"/>
    <x v="185"/>
    <x v="0"/>
    <n v="8"/>
    <x v="445"/>
    <n v="90.73"/>
    <n v="16.05"/>
    <n v="20.91"/>
    <n v="1.75"/>
    <n v="184.1"/>
    <n v="113"/>
    <n v="2"/>
    <n v="216"/>
  </r>
  <r>
    <n v="1073"/>
    <s v="2022-08-23"/>
    <n v="2022"/>
    <s v="Q3"/>
    <x v="7"/>
    <x v="6"/>
    <x v="1"/>
    <x v="955"/>
    <x v="4"/>
    <n v="22"/>
    <x v="405"/>
    <n v="80.489999999999995"/>
    <n v="7.14"/>
    <n v="18.57"/>
    <n v="7.13"/>
    <n v="274.39999999999998"/>
    <n v="137"/>
    <n v="1"/>
    <n v="183"/>
  </r>
  <r>
    <n v="1074"/>
    <s v="2022-08-20"/>
    <n v="2022"/>
    <s v="Q3"/>
    <x v="7"/>
    <x v="4"/>
    <x v="1"/>
    <x v="956"/>
    <x v="0"/>
    <n v="1"/>
    <x v="248"/>
    <n v="83.63"/>
    <n v="34.950000000000003"/>
    <n v="11.19"/>
    <n v="2.64"/>
    <n v="328.89"/>
    <n v="605"/>
    <n v="1"/>
    <n v="65"/>
  </r>
  <r>
    <n v="1075"/>
    <s v="2022-08-06"/>
    <n v="2022"/>
    <s v="Q3"/>
    <x v="7"/>
    <x v="0"/>
    <x v="0"/>
    <x v="957"/>
    <x v="0"/>
    <n v="42"/>
    <x v="403"/>
    <n v="76.239999999999995"/>
    <n v="5.44"/>
    <n v="14.22"/>
    <n v="14.1"/>
    <n v="567.04999999999995"/>
    <n v="450"/>
    <n v="2"/>
    <n v="130"/>
  </r>
  <r>
    <n v="1076"/>
    <s v="2022-08-25"/>
    <n v="2022"/>
    <s v="Q3"/>
    <x v="7"/>
    <x v="1"/>
    <x v="2"/>
    <x v="475"/>
    <x v="1"/>
    <n v="13"/>
    <x v="127"/>
    <n v="81.55"/>
    <n v="27.01"/>
    <n v="18.45"/>
    <n v="13.61"/>
    <n v="159.33000000000001"/>
    <n v="390"/>
    <n v="2"/>
    <n v="109"/>
  </r>
  <r>
    <n v="1077"/>
    <s v="2022-08-26"/>
    <n v="2022"/>
    <s v="Q3"/>
    <x v="7"/>
    <x v="3"/>
    <x v="3"/>
    <x v="958"/>
    <x v="0"/>
    <n v="1"/>
    <x v="305"/>
    <n v="76.260000000000005"/>
    <n v="13.87"/>
    <n v="9.31"/>
    <n v="3.07"/>
    <n v="415.11"/>
    <n v="959"/>
    <n v="2"/>
    <n v="155"/>
  </r>
  <r>
    <n v="1078"/>
    <s v="2022-08-25"/>
    <n v="2022"/>
    <s v="Q3"/>
    <x v="7"/>
    <x v="7"/>
    <x v="1"/>
    <x v="959"/>
    <x v="3"/>
    <n v="25"/>
    <x v="54"/>
    <n v="93.85"/>
    <n v="21.52"/>
    <n v="13.52"/>
    <n v="1.48"/>
    <n v="235.67"/>
    <n v="881"/>
    <n v="3"/>
    <n v="70"/>
  </r>
  <r>
    <n v="1079"/>
    <s v="2022-08-04"/>
    <n v="2022"/>
    <s v="Q3"/>
    <x v="7"/>
    <x v="4"/>
    <x v="2"/>
    <x v="960"/>
    <x v="4"/>
    <n v="16"/>
    <x v="280"/>
    <n v="91.48"/>
    <n v="29.81"/>
    <n v="13.18"/>
    <n v="2.48"/>
    <n v="508.62"/>
    <n v="209"/>
    <n v="3"/>
    <n v="100"/>
  </r>
  <r>
    <n v="1080"/>
    <s v="2022-08-02"/>
    <n v="2022"/>
    <s v="Q3"/>
    <x v="7"/>
    <x v="5"/>
    <x v="1"/>
    <x v="961"/>
    <x v="0"/>
    <n v="43"/>
    <x v="422"/>
    <n v="90.23"/>
    <n v="30.7"/>
    <n v="21.35"/>
    <n v="11.73"/>
    <n v="254.71"/>
    <n v="452"/>
    <n v="4"/>
    <n v="70"/>
  </r>
  <r>
    <n v="1081"/>
    <s v="2022-08-21"/>
    <n v="2022"/>
    <s v="Q3"/>
    <x v="7"/>
    <x v="1"/>
    <x v="4"/>
    <x v="962"/>
    <x v="3"/>
    <n v="26"/>
    <x v="446"/>
    <n v="75.94"/>
    <n v="30.39"/>
    <n v="4.26"/>
    <n v="3.78"/>
    <n v="324.97000000000003"/>
    <n v="385"/>
    <n v="1"/>
    <n v="242"/>
  </r>
  <r>
    <n v="1082"/>
    <s v="2022-08-23"/>
    <n v="2022"/>
    <s v="Q3"/>
    <x v="7"/>
    <x v="0"/>
    <x v="2"/>
    <x v="963"/>
    <x v="2"/>
    <n v="21"/>
    <x v="200"/>
    <n v="84.09"/>
    <n v="14.83"/>
    <n v="9.7200000000000006"/>
    <n v="13.86"/>
    <n v="135.97"/>
    <n v="124"/>
    <n v="5"/>
    <n v="79"/>
  </r>
  <r>
    <n v="1083"/>
    <s v="2022-08-17"/>
    <n v="2022"/>
    <s v="Q3"/>
    <x v="7"/>
    <x v="6"/>
    <x v="1"/>
    <x v="964"/>
    <x v="4"/>
    <n v="6"/>
    <x v="447"/>
    <n v="77.78"/>
    <n v="25.58"/>
    <n v="17.88"/>
    <n v="8.7799999999999994"/>
    <n v="586.24"/>
    <n v="1061"/>
    <n v="4"/>
    <n v="67"/>
  </r>
  <r>
    <n v="1084"/>
    <s v="2022-08-08"/>
    <n v="2022"/>
    <s v="Q3"/>
    <x v="7"/>
    <x v="0"/>
    <x v="0"/>
    <x v="965"/>
    <x v="1"/>
    <n v="48"/>
    <x v="448"/>
    <n v="91.03"/>
    <n v="25.89"/>
    <n v="9.9499999999999993"/>
    <n v="1.6"/>
    <n v="432.71"/>
    <n v="378"/>
    <n v="3"/>
    <n v="107"/>
  </r>
  <r>
    <n v="1085"/>
    <s v="2022-08-11"/>
    <n v="2022"/>
    <s v="Q3"/>
    <x v="7"/>
    <x v="4"/>
    <x v="4"/>
    <x v="966"/>
    <x v="2"/>
    <n v="41"/>
    <x v="24"/>
    <n v="82.17"/>
    <n v="9.2100000000000009"/>
    <n v="19.84"/>
    <n v="11.02"/>
    <n v="553.92999999999995"/>
    <n v="275"/>
    <n v="2"/>
    <n v="185"/>
  </r>
  <r>
    <n v="1086"/>
    <s v="2022-08-05"/>
    <n v="2022"/>
    <s v="Q3"/>
    <x v="7"/>
    <x v="1"/>
    <x v="3"/>
    <x v="967"/>
    <x v="2"/>
    <n v="26"/>
    <x v="246"/>
    <n v="91.33"/>
    <n v="12.45"/>
    <n v="14.43"/>
    <n v="15.19"/>
    <n v="578.23"/>
    <n v="478"/>
    <n v="3"/>
    <n v="245"/>
  </r>
  <r>
    <n v="1087"/>
    <s v="2022-08-21"/>
    <n v="2022"/>
    <s v="Q3"/>
    <x v="7"/>
    <x v="3"/>
    <x v="2"/>
    <x v="968"/>
    <x v="3"/>
    <n v="2"/>
    <x v="323"/>
    <n v="81.849999999999994"/>
    <n v="17.04"/>
    <n v="7.93"/>
    <n v="9.1300000000000008"/>
    <n v="370.43"/>
    <n v="892"/>
    <n v="1"/>
    <n v="161"/>
  </r>
  <r>
    <n v="1088"/>
    <s v="2022-08-02"/>
    <n v="2022"/>
    <s v="Q3"/>
    <x v="7"/>
    <x v="7"/>
    <x v="1"/>
    <x v="969"/>
    <x v="3"/>
    <n v="39"/>
    <x v="178"/>
    <n v="88.52"/>
    <n v="24.53"/>
    <n v="18.32"/>
    <n v="7.59"/>
    <n v="324.25"/>
    <n v="346"/>
    <n v="1"/>
    <n v="59"/>
  </r>
  <r>
    <n v="1089"/>
    <s v="2022-09-05"/>
    <n v="2022"/>
    <s v="Q3"/>
    <x v="8"/>
    <x v="1"/>
    <x v="3"/>
    <x v="970"/>
    <x v="4"/>
    <n v="11"/>
    <x v="279"/>
    <n v="90.91"/>
    <n v="34.14"/>
    <n v="13.48"/>
    <n v="4.7"/>
    <n v="534.39"/>
    <n v="766"/>
    <n v="5"/>
    <n v="223"/>
  </r>
  <r>
    <n v="1090"/>
    <s v="2022-09-08"/>
    <n v="2022"/>
    <s v="Q3"/>
    <x v="8"/>
    <x v="1"/>
    <x v="2"/>
    <x v="692"/>
    <x v="2"/>
    <n v="6"/>
    <x v="403"/>
    <n v="91.19"/>
    <n v="23.91"/>
    <n v="4.57"/>
    <n v="14.14"/>
    <n v="302.94"/>
    <n v="542"/>
    <n v="1"/>
    <n v="77"/>
  </r>
  <r>
    <n v="1091"/>
    <s v="2022-09-08"/>
    <n v="2022"/>
    <s v="Q3"/>
    <x v="8"/>
    <x v="3"/>
    <x v="2"/>
    <x v="971"/>
    <x v="0"/>
    <n v="22"/>
    <x v="199"/>
    <n v="82.67"/>
    <n v="34.340000000000003"/>
    <n v="13.25"/>
    <n v="3.58"/>
    <n v="393.06"/>
    <n v="612"/>
    <n v="3"/>
    <n v="104"/>
  </r>
  <r>
    <n v="1092"/>
    <s v="2022-09-19"/>
    <n v="2022"/>
    <s v="Q3"/>
    <x v="8"/>
    <x v="2"/>
    <x v="4"/>
    <x v="972"/>
    <x v="4"/>
    <n v="28"/>
    <x v="138"/>
    <n v="87.88"/>
    <n v="17.48"/>
    <n v="6.73"/>
    <n v="6.69"/>
    <n v="254.05"/>
    <n v="790"/>
    <n v="3"/>
    <n v="196"/>
  </r>
  <r>
    <n v="1093"/>
    <s v="2022-09-27"/>
    <n v="2022"/>
    <s v="Q3"/>
    <x v="8"/>
    <x v="1"/>
    <x v="4"/>
    <x v="973"/>
    <x v="0"/>
    <n v="31"/>
    <x v="414"/>
    <n v="75.25"/>
    <n v="26.12"/>
    <n v="4.18"/>
    <n v="15.04"/>
    <n v="113.4"/>
    <n v="744"/>
    <n v="3"/>
    <n v="91"/>
  </r>
  <r>
    <n v="1094"/>
    <s v="2022-09-24"/>
    <n v="2022"/>
    <s v="Q3"/>
    <x v="8"/>
    <x v="4"/>
    <x v="4"/>
    <x v="974"/>
    <x v="3"/>
    <n v="26"/>
    <x v="209"/>
    <n v="86.37"/>
    <n v="11.55"/>
    <n v="3.84"/>
    <n v="13.39"/>
    <n v="133.47999999999999"/>
    <n v="854"/>
    <n v="5"/>
    <n v="153"/>
  </r>
  <r>
    <n v="1095"/>
    <s v="2022-09-02"/>
    <n v="2022"/>
    <s v="Q3"/>
    <x v="8"/>
    <x v="0"/>
    <x v="0"/>
    <x v="975"/>
    <x v="0"/>
    <n v="40"/>
    <x v="389"/>
    <n v="90.28"/>
    <n v="13.27"/>
    <n v="15.96"/>
    <n v="6.08"/>
    <n v="322.18"/>
    <n v="406"/>
    <n v="3"/>
    <n v="181"/>
  </r>
  <r>
    <n v="1096"/>
    <s v="2022-09-01"/>
    <n v="2022"/>
    <s v="Q3"/>
    <x v="8"/>
    <x v="4"/>
    <x v="1"/>
    <x v="323"/>
    <x v="4"/>
    <n v="47"/>
    <x v="449"/>
    <n v="82.63"/>
    <n v="18.45"/>
    <n v="12.52"/>
    <n v="15.2"/>
    <n v="354.4"/>
    <n v="412"/>
    <n v="2"/>
    <n v="191"/>
  </r>
  <r>
    <n v="1097"/>
    <s v="2022-09-03"/>
    <n v="2022"/>
    <s v="Q3"/>
    <x v="8"/>
    <x v="7"/>
    <x v="0"/>
    <x v="976"/>
    <x v="2"/>
    <n v="9"/>
    <x v="440"/>
    <n v="85.39"/>
    <n v="17.3"/>
    <n v="14.94"/>
    <n v="5.2"/>
    <n v="246.25"/>
    <n v="819"/>
    <n v="2"/>
    <n v="91"/>
  </r>
  <r>
    <n v="1098"/>
    <s v="2022-09-07"/>
    <n v="2022"/>
    <s v="Q3"/>
    <x v="8"/>
    <x v="5"/>
    <x v="2"/>
    <x v="977"/>
    <x v="3"/>
    <n v="39"/>
    <x v="79"/>
    <n v="88.05"/>
    <n v="26.04"/>
    <n v="7.41"/>
    <n v="11.85"/>
    <n v="177.13"/>
    <n v="383"/>
    <n v="3"/>
    <n v="148"/>
  </r>
  <r>
    <n v="1099"/>
    <s v="2022-08-31"/>
    <n v="2022"/>
    <s v="Q3"/>
    <x v="8"/>
    <x v="7"/>
    <x v="3"/>
    <x v="978"/>
    <x v="2"/>
    <n v="1"/>
    <x v="440"/>
    <n v="88.99"/>
    <n v="16.82"/>
    <n v="11.03"/>
    <n v="15.06"/>
    <n v="275.33999999999997"/>
    <n v="238"/>
    <n v="5"/>
    <n v="177"/>
  </r>
  <r>
    <n v="1100"/>
    <s v="2022-09-08"/>
    <n v="2022"/>
    <s v="Q3"/>
    <x v="8"/>
    <x v="6"/>
    <x v="0"/>
    <x v="979"/>
    <x v="4"/>
    <n v="1"/>
    <x v="437"/>
    <n v="89.31"/>
    <n v="15.54"/>
    <n v="14.7"/>
    <n v="8.7100000000000009"/>
    <n v="342.99"/>
    <n v="896"/>
    <n v="4"/>
    <n v="166"/>
  </r>
  <r>
    <n v="1101"/>
    <s v="2022-09-25"/>
    <n v="2022"/>
    <s v="Q3"/>
    <x v="8"/>
    <x v="7"/>
    <x v="3"/>
    <x v="980"/>
    <x v="0"/>
    <n v="41"/>
    <x v="339"/>
    <n v="88.77"/>
    <n v="9.35"/>
    <n v="14.96"/>
    <n v="2.2000000000000002"/>
    <n v="595.51"/>
    <n v="154"/>
    <n v="1"/>
    <n v="83"/>
  </r>
  <r>
    <n v="1102"/>
    <s v="2022-09-26"/>
    <n v="2022"/>
    <s v="Q3"/>
    <x v="8"/>
    <x v="7"/>
    <x v="3"/>
    <x v="981"/>
    <x v="3"/>
    <n v="42"/>
    <x v="450"/>
    <n v="80.099999999999994"/>
    <n v="21.56"/>
    <n v="14.01"/>
    <n v="15.4"/>
    <n v="396.17"/>
    <n v="880"/>
    <n v="5"/>
    <n v="219"/>
  </r>
  <r>
    <n v="1103"/>
    <s v="2022-09-20"/>
    <n v="2022"/>
    <s v="Q3"/>
    <x v="8"/>
    <x v="5"/>
    <x v="0"/>
    <x v="851"/>
    <x v="2"/>
    <n v="47"/>
    <x v="42"/>
    <n v="77.709999999999994"/>
    <n v="21.31"/>
    <n v="9.36"/>
    <n v="2.93"/>
    <n v="500.88"/>
    <n v="559"/>
    <n v="4"/>
    <n v="214"/>
  </r>
  <r>
    <n v="1104"/>
    <s v="2022-09-03"/>
    <n v="2022"/>
    <s v="Q3"/>
    <x v="8"/>
    <x v="5"/>
    <x v="2"/>
    <x v="982"/>
    <x v="4"/>
    <n v="1"/>
    <x v="380"/>
    <n v="89.46"/>
    <n v="25.61"/>
    <n v="7.46"/>
    <n v="4.21"/>
    <n v="350.85"/>
    <n v="751"/>
    <n v="2"/>
    <n v="188"/>
  </r>
  <r>
    <n v="1105"/>
    <s v="2022-09-15"/>
    <n v="2022"/>
    <s v="Q3"/>
    <x v="8"/>
    <x v="2"/>
    <x v="1"/>
    <x v="983"/>
    <x v="3"/>
    <n v="45"/>
    <x v="79"/>
    <n v="84.17"/>
    <n v="13.7"/>
    <n v="4.21"/>
    <n v="9.8000000000000007"/>
    <n v="327.13"/>
    <n v="820"/>
    <n v="1"/>
    <n v="225"/>
  </r>
  <r>
    <n v="1106"/>
    <s v="2022-09-06"/>
    <n v="2022"/>
    <s v="Q3"/>
    <x v="8"/>
    <x v="0"/>
    <x v="3"/>
    <x v="984"/>
    <x v="4"/>
    <n v="34"/>
    <x v="451"/>
    <n v="89.4"/>
    <n v="13.83"/>
    <n v="14.78"/>
    <n v="4.12"/>
    <n v="162.56"/>
    <n v="333"/>
    <n v="1"/>
    <n v="70"/>
  </r>
  <r>
    <n v="1107"/>
    <s v="2022-09-07"/>
    <n v="2022"/>
    <s v="Q3"/>
    <x v="8"/>
    <x v="6"/>
    <x v="3"/>
    <x v="985"/>
    <x v="1"/>
    <n v="48"/>
    <x v="246"/>
    <n v="87.9"/>
    <n v="23.15"/>
    <n v="19.420000000000002"/>
    <n v="9.33"/>
    <n v="480.75"/>
    <n v="363"/>
    <n v="3"/>
    <n v="200"/>
  </r>
  <r>
    <n v="1108"/>
    <s v="2022-09-25"/>
    <n v="2022"/>
    <s v="Q3"/>
    <x v="8"/>
    <x v="0"/>
    <x v="2"/>
    <x v="986"/>
    <x v="0"/>
    <n v="40"/>
    <x v="416"/>
    <n v="81.08"/>
    <n v="24.7"/>
    <n v="15.74"/>
    <n v="8.39"/>
    <n v="363.4"/>
    <n v="332"/>
    <n v="5"/>
    <n v="147"/>
  </r>
  <r>
    <n v="1109"/>
    <s v="2022-09-18"/>
    <n v="2022"/>
    <s v="Q3"/>
    <x v="8"/>
    <x v="0"/>
    <x v="1"/>
    <x v="987"/>
    <x v="1"/>
    <n v="25"/>
    <x v="104"/>
    <n v="85.52"/>
    <n v="21.67"/>
    <n v="15.62"/>
    <n v="2.21"/>
    <n v="488.9"/>
    <n v="511"/>
    <n v="1"/>
    <n v="97"/>
  </r>
  <r>
    <n v="1110"/>
    <s v="2022-09-12"/>
    <n v="2022"/>
    <s v="Q3"/>
    <x v="8"/>
    <x v="7"/>
    <x v="3"/>
    <x v="988"/>
    <x v="2"/>
    <n v="12"/>
    <x v="317"/>
    <n v="91.11"/>
    <n v="16.350000000000001"/>
    <n v="13.43"/>
    <n v="1.97"/>
    <n v="140.61000000000001"/>
    <n v="791"/>
    <n v="5"/>
    <n v="246"/>
  </r>
  <r>
    <n v="1111"/>
    <s v="2022-09-21"/>
    <n v="2022"/>
    <s v="Q3"/>
    <x v="8"/>
    <x v="6"/>
    <x v="4"/>
    <x v="989"/>
    <x v="0"/>
    <n v="27"/>
    <x v="131"/>
    <n v="82.89"/>
    <n v="24.72"/>
    <n v="14.8"/>
    <n v="5.9"/>
    <n v="417.74"/>
    <n v="586"/>
    <n v="2"/>
    <n v="167"/>
  </r>
  <r>
    <n v="1112"/>
    <s v="2022-09-24"/>
    <n v="2022"/>
    <s v="Q3"/>
    <x v="8"/>
    <x v="6"/>
    <x v="2"/>
    <x v="642"/>
    <x v="4"/>
    <n v="7"/>
    <x v="88"/>
    <n v="80.63"/>
    <n v="18.100000000000001"/>
    <n v="6.47"/>
    <n v="12.26"/>
    <n v="342.61"/>
    <n v="549"/>
    <n v="2"/>
    <n v="195"/>
  </r>
  <r>
    <n v="1113"/>
    <s v="2022-09-14"/>
    <n v="2022"/>
    <s v="Q3"/>
    <x v="8"/>
    <x v="0"/>
    <x v="2"/>
    <x v="990"/>
    <x v="4"/>
    <n v="5"/>
    <x v="317"/>
    <n v="92.5"/>
    <n v="18.07"/>
    <n v="14.9"/>
    <n v="8.7799999999999994"/>
    <n v="404.13"/>
    <n v="1042"/>
    <n v="1"/>
    <n v="186"/>
  </r>
  <r>
    <n v="1114"/>
    <s v="2022-09-11"/>
    <n v="2022"/>
    <s v="Q3"/>
    <x v="8"/>
    <x v="6"/>
    <x v="1"/>
    <x v="991"/>
    <x v="4"/>
    <n v="7"/>
    <x v="100"/>
    <n v="88.59"/>
    <n v="23.09"/>
    <n v="13.91"/>
    <n v="12.64"/>
    <n v="454.73"/>
    <n v="402"/>
    <n v="1"/>
    <n v="62"/>
  </r>
  <r>
    <n v="1115"/>
    <s v="2022-09-10"/>
    <n v="2022"/>
    <s v="Q3"/>
    <x v="8"/>
    <x v="2"/>
    <x v="3"/>
    <x v="992"/>
    <x v="1"/>
    <n v="27"/>
    <x v="426"/>
    <n v="83.65"/>
    <n v="11.93"/>
    <n v="6.09"/>
    <n v="4.1399999999999997"/>
    <n v="218.06"/>
    <n v="557"/>
    <n v="3"/>
    <n v="92"/>
  </r>
  <r>
    <n v="1116"/>
    <s v="2022-09-06"/>
    <n v="2022"/>
    <s v="Q3"/>
    <x v="8"/>
    <x v="4"/>
    <x v="2"/>
    <x v="993"/>
    <x v="4"/>
    <n v="14"/>
    <x v="52"/>
    <n v="88.9"/>
    <n v="26.43"/>
    <n v="10.88"/>
    <n v="8.74"/>
    <n v="372.76"/>
    <n v="627"/>
    <n v="1"/>
    <n v="139"/>
  </r>
  <r>
    <n v="1117"/>
    <s v="2022-09-19"/>
    <n v="2022"/>
    <s v="Q3"/>
    <x v="8"/>
    <x v="7"/>
    <x v="3"/>
    <x v="956"/>
    <x v="0"/>
    <n v="38"/>
    <x v="138"/>
    <n v="91.02"/>
    <n v="11.97"/>
    <n v="17.28"/>
    <n v="13.52"/>
    <n v="565.13"/>
    <n v="131"/>
    <n v="2"/>
    <n v="168"/>
  </r>
  <r>
    <n v="1118"/>
    <s v="2022-09-23"/>
    <n v="2022"/>
    <s v="Q3"/>
    <x v="8"/>
    <x v="5"/>
    <x v="4"/>
    <x v="994"/>
    <x v="3"/>
    <n v="9"/>
    <x v="212"/>
    <n v="83.5"/>
    <n v="9.4499999999999993"/>
    <n v="9.64"/>
    <n v="15.37"/>
    <n v="155.76"/>
    <n v="469"/>
    <n v="4"/>
    <n v="234"/>
  </r>
  <r>
    <n v="1119"/>
    <s v="2022-09-21"/>
    <n v="2022"/>
    <s v="Q3"/>
    <x v="8"/>
    <x v="1"/>
    <x v="0"/>
    <x v="995"/>
    <x v="0"/>
    <n v="5"/>
    <x v="347"/>
    <n v="86.25"/>
    <n v="17.579999999999998"/>
    <n v="11.5"/>
    <n v="12.02"/>
    <n v="547.76"/>
    <n v="683"/>
    <n v="3"/>
    <n v="70"/>
  </r>
  <r>
    <n v="1120"/>
    <s v="2022-09-16"/>
    <n v="2022"/>
    <s v="Q3"/>
    <x v="8"/>
    <x v="4"/>
    <x v="3"/>
    <x v="328"/>
    <x v="1"/>
    <n v="3"/>
    <x v="49"/>
    <n v="92.15"/>
    <n v="24.08"/>
    <n v="21.9"/>
    <n v="2"/>
    <n v="307.11"/>
    <n v="994"/>
    <n v="5"/>
    <n v="153"/>
  </r>
  <r>
    <n v="1121"/>
    <s v="2022-09-24"/>
    <n v="2022"/>
    <s v="Q3"/>
    <x v="8"/>
    <x v="7"/>
    <x v="4"/>
    <x v="996"/>
    <x v="2"/>
    <n v="4"/>
    <x v="452"/>
    <n v="91.67"/>
    <n v="28.81"/>
    <n v="18.329999999999998"/>
    <n v="14.81"/>
    <n v="474.85"/>
    <n v="1043"/>
    <n v="3"/>
    <n v="198"/>
  </r>
  <r>
    <n v="1122"/>
    <s v="2022-09-25"/>
    <n v="2022"/>
    <s v="Q3"/>
    <x v="8"/>
    <x v="5"/>
    <x v="4"/>
    <x v="997"/>
    <x v="0"/>
    <n v="31"/>
    <x v="152"/>
    <n v="84.3"/>
    <n v="11.3"/>
    <n v="13.85"/>
    <n v="6.88"/>
    <n v="345.97"/>
    <n v="975"/>
    <n v="2"/>
    <n v="125"/>
  </r>
  <r>
    <n v="1123"/>
    <s v="2022-10-06"/>
    <n v="2022"/>
    <s v="Q4"/>
    <x v="9"/>
    <x v="5"/>
    <x v="1"/>
    <x v="998"/>
    <x v="2"/>
    <n v="45"/>
    <x v="156"/>
    <n v="89.54"/>
    <n v="26"/>
    <n v="4.42"/>
    <n v="5.7"/>
    <n v="112.91"/>
    <n v="237"/>
    <n v="3"/>
    <n v="98"/>
  </r>
  <r>
    <n v="1124"/>
    <s v="2022-10-26"/>
    <n v="2022"/>
    <s v="Q4"/>
    <x v="9"/>
    <x v="4"/>
    <x v="2"/>
    <x v="999"/>
    <x v="0"/>
    <n v="3"/>
    <x v="412"/>
    <n v="88.91"/>
    <n v="5.69"/>
    <n v="3.9"/>
    <n v="9.17"/>
    <n v="590.02"/>
    <n v="834"/>
    <n v="4"/>
    <n v="157"/>
  </r>
  <r>
    <n v="1125"/>
    <s v="2022-09-30"/>
    <n v="2022"/>
    <s v="Q4"/>
    <x v="9"/>
    <x v="1"/>
    <x v="0"/>
    <x v="1000"/>
    <x v="2"/>
    <n v="29"/>
    <x v="96"/>
    <n v="84.77"/>
    <n v="12.74"/>
    <n v="3.18"/>
    <n v="8.27"/>
    <n v="523.73"/>
    <n v="977"/>
    <n v="5"/>
    <n v="57"/>
  </r>
  <r>
    <n v="1126"/>
    <s v="2022-10-07"/>
    <n v="2022"/>
    <s v="Q4"/>
    <x v="9"/>
    <x v="0"/>
    <x v="4"/>
    <x v="1001"/>
    <x v="2"/>
    <n v="41"/>
    <x v="453"/>
    <n v="78.900000000000006"/>
    <n v="34.83"/>
    <n v="19.2"/>
    <n v="5.24"/>
    <n v="410.99"/>
    <n v="866"/>
    <n v="2"/>
    <n v="163"/>
  </r>
  <r>
    <n v="1127"/>
    <s v="2022-10-01"/>
    <n v="2022"/>
    <s v="Q4"/>
    <x v="9"/>
    <x v="7"/>
    <x v="2"/>
    <x v="1002"/>
    <x v="1"/>
    <n v="22"/>
    <x v="94"/>
    <n v="86.48"/>
    <n v="28.35"/>
    <n v="3.75"/>
    <n v="10.09"/>
    <n v="161.9"/>
    <n v="887"/>
    <n v="1"/>
    <n v="115"/>
  </r>
  <r>
    <n v="1128"/>
    <s v="2022-10-06"/>
    <n v="2022"/>
    <s v="Q4"/>
    <x v="9"/>
    <x v="7"/>
    <x v="0"/>
    <x v="1003"/>
    <x v="0"/>
    <n v="15"/>
    <x v="311"/>
    <n v="93.26"/>
    <n v="17.09"/>
    <n v="17.52"/>
    <n v="12.6"/>
    <n v="167.57"/>
    <n v="873"/>
    <n v="4"/>
    <n v="85"/>
  </r>
  <r>
    <n v="1129"/>
    <s v="2022-10-08"/>
    <n v="2022"/>
    <s v="Q4"/>
    <x v="9"/>
    <x v="7"/>
    <x v="1"/>
    <x v="1004"/>
    <x v="3"/>
    <n v="14"/>
    <x v="219"/>
    <n v="94.44"/>
    <n v="19.09"/>
    <n v="12.82"/>
    <n v="1.55"/>
    <n v="556.45000000000005"/>
    <n v="534"/>
    <n v="1"/>
    <n v="169"/>
  </r>
  <r>
    <n v="1130"/>
    <s v="2022-10-02"/>
    <n v="2022"/>
    <s v="Q4"/>
    <x v="9"/>
    <x v="7"/>
    <x v="1"/>
    <x v="1005"/>
    <x v="4"/>
    <n v="47"/>
    <x v="408"/>
    <n v="91.91"/>
    <n v="27.11"/>
    <n v="13.2"/>
    <n v="8.2200000000000006"/>
    <n v="128.4"/>
    <n v="681"/>
    <n v="4"/>
    <n v="116"/>
  </r>
  <r>
    <n v="1131"/>
    <s v="2022-10-14"/>
    <n v="2022"/>
    <s v="Q4"/>
    <x v="9"/>
    <x v="7"/>
    <x v="1"/>
    <x v="1006"/>
    <x v="4"/>
    <n v="16"/>
    <x v="103"/>
    <n v="79.84"/>
    <n v="12.41"/>
    <n v="17.46"/>
    <n v="14.42"/>
    <n v="367.91"/>
    <n v="779"/>
    <n v="3"/>
    <n v="200"/>
  </r>
  <r>
    <n v="1132"/>
    <s v="2022-10-06"/>
    <n v="2022"/>
    <s v="Q4"/>
    <x v="9"/>
    <x v="6"/>
    <x v="0"/>
    <x v="1007"/>
    <x v="2"/>
    <n v="32"/>
    <x v="146"/>
    <n v="81.97"/>
    <n v="6.04"/>
    <n v="7.83"/>
    <n v="8.2799999999999994"/>
    <n v="264.98"/>
    <n v="103"/>
    <n v="4"/>
    <n v="246"/>
  </r>
  <r>
    <n v="1133"/>
    <s v="2022-10-18"/>
    <n v="2022"/>
    <s v="Q4"/>
    <x v="9"/>
    <x v="3"/>
    <x v="2"/>
    <x v="1008"/>
    <x v="4"/>
    <n v="31"/>
    <x v="286"/>
    <n v="84.52"/>
    <n v="26.7"/>
    <n v="5.96"/>
    <n v="1.58"/>
    <n v="275.45999999999998"/>
    <n v="830"/>
    <n v="2"/>
    <n v="57"/>
  </r>
  <r>
    <n v="1134"/>
    <s v="2022-10-09"/>
    <n v="2022"/>
    <s v="Q4"/>
    <x v="9"/>
    <x v="7"/>
    <x v="1"/>
    <x v="1009"/>
    <x v="4"/>
    <n v="12"/>
    <x v="91"/>
    <n v="90.53"/>
    <n v="28.68"/>
    <n v="11.26"/>
    <n v="7.17"/>
    <n v="517.26"/>
    <n v="822"/>
    <n v="2"/>
    <n v="158"/>
  </r>
  <r>
    <n v="1135"/>
    <s v="2022-10-02"/>
    <n v="2022"/>
    <s v="Q4"/>
    <x v="9"/>
    <x v="3"/>
    <x v="1"/>
    <x v="1010"/>
    <x v="3"/>
    <n v="13"/>
    <x v="372"/>
    <n v="83.2"/>
    <n v="11.51"/>
    <n v="2.16"/>
    <n v="11.38"/>
    <n v="107.56"/>
    <n v="279"/>
    <n v="5"/>
    <n v="143"/>
  </r>
  <r>
    <n v="1136"/>
    <s v="2022-10-24"/>
    <n v="2022"/>
    <s v="Q4"/>
    <x v="9"/>
    <x v="4"/>
    <x v="1"/>
    <x v="1011"/>
    <x v="0"/>
    <n v="47"/>
    <x v="279"/>
    <n v="77.510000000000005"/>
    <n v="12.58"/>
    <n v="16.02"/>
    <n v="2.64"/>
    <n v="577.36"/>
    <n v="189"/>
    <n v="5"/>
    <n v="237"/>
  </r>
  <r>
    <n v="1137"/>
    <s v="2022-10-07"/>
    <n v="2022"/>
    <s v="Q4"/>
    <x v="9"/>
    <x v="1"/>
    <x v="1"/>
    <x v="1012"/>
    <x v="4"/>
    <n v="22"/>
    <x v="3"/>
    <n v="75.400000000000006"/>
    <n v="8.7100000000000009"/>
    <n v="2.16"/>
    <n v="15.46"/>
    <n v="313.72000000000003"/>
    <n v="1048"/>
    <n v="5"/>
    <n v="79"/>
  </r>
  <r>
    <n v="1138"/>
    <s v="2022-10-07"/>
    <n v="2022"/>
    <s v="Q4"/>
    <x v="9"/>
    <x v="5"/>
    <x v="3"/>
    <x v="1013"/>
    <x v="2"/>
    <n v="27"/>
    <x v="399"/>
    <n v="85.93"/>
    <n v="32.86"/>
    <n v="4.51"/>
    <n v="8.99"/>
    <n v="486.56"/>
    <n v="908"/>
    <n v="1"/>
    <n v="249"/>
  </r>
  <r>
    <n v="1139"/>
    <s v="2022-10-05"/>
    <n v="2022"/>
    <s v="Q4"/>
    <x v="9"/>
    <x v="1"/>
    <x v="0"/>
    <x v="357"/>
    <x v="2"/>
    <n v="38"/>
    <x v="63"/>
    <n v="82.25"/>
    <n v="24.03"/>
    <n v="9.4499999999999993"/>
    <n v="4.12"/>
    <n v="314.13"/>
    <n v="632"/>
    <n v="3"/>
    <n v="197"/>
  </r>
  <r>
    <n v="1140"/>
    <s v="2022-10-23"/>
    <n v="2022"/>
    <s v="Q4"/>
    <x v="9"/>
    <x v="0"/>
    <x v="0"/>
    <x v="1014"/>
    <x v="0"/>
    <n v="37"/>
    <x v="363"/>
    <n v="86.44"/>
    <n v="23.34"/>
    <n v="19.8"/>
    <n v="12.59"/>
    <n v="175.83"/>
    <n v="125"/>
    <n v="4"/>
    <n v="55"/>
  </r>
  <r>
    <n v="1141"/>
    <s v="2022-10-16"/>
    <n v="2022"/>
    <s v="Q4"/>
    <x v="9"/>
    <x v="2"/>
    <x v="1"/>
    <x v="1015"/>
    <x v="1"/>
    <n v="40"/>
    <x v="45"/>
    <n v="85.96"/>
    <n v="7.05"/>
    <n v="13.56"/>
    <n v="1.6"/>
    <n v="225.55"/>
    <n v="593"/>
    <n v="2"/>
    <n v="51"/>
  </r>
  <r>
    <n v="1142"/>
    <s v="2022-10-12"/>
    <n v="2022"/>
    <s v="Q4"/>
    <x v="9"/>
    <x v="6"/>
    <x v="2"/>
    <x v="1016"/>
    <x v="2"/>
    <n v="20"/>
    <x v="440"/>
    <n v="87.56"/>
    <n v="5.32"/>
    <n v="18.989999999999998"/>
    <n v="6.41"/>
    <n v="593.61"/>
    <n v="516"/>
    <n v="4"/>
    <n v="156"/>
  </r>
  <r>
    <n v="1143"/>
    <s v="2022-10-21"/>
    <n v="2022"/>
    <s v="Q4"/>
    <x v="9"/>
    <x v="6"/>
    <x v="4"/>
    <x v="1017"/>
    <x v="1"/>
    <n v="30"/>
    <x v="96"/>
    <n v="76.19"/>
    <n v="22.31"/>
    <n v="11.76"/>
    <n v="5.35"/>
    <n v="262.16000000000003"/>
    <n v="327"/>
    <n v="3"/>
    <n v="225"/>
  </r>
  <r>
    <n v="1144"/>
    <s v="2022-10-27"/>
    <n v="2022"/>
    <s v="Q4"/>
    <x v="9"/>
    <x v="5"/>
    <x v="1"/>
    <x v="1018"/>
    <x v="0"/>
    <n v="19"/>
    <x v="220"/>
    <n v="86.21"/>
    <n v="24.35"/>
    <n v="9.7200000000000006"/>
    <n v="15.45"/>
    <n v="150.13"/>
    <n v="883"/>
    <n v="2"/>
    <n v="117"/>
  </r>
  <r>
    <n v="1145"/>
    <s v="2022-10-07"/>
    <n v="2022"/>
    <s v="Q4"/>
    <x v="9"/>
    <x v="2"/>
    <x v="3"/>
    <x v="1019"/>
    <x v="3"/>
    <n v="34"/>
    <x v="454"/>
    <n v="80.59"/>
    <n v="15.53"/>
    <n v="3.2"/>
    <n v="10.02"/>
    <n v="391.89"/>
    <n v="191"/>
    <n v="3"/>
    <n v="148"/>
  </r>
  <r>
    <n v="1146"/>
    <s v="2022-10-10"/>
    <n v="2022"/>
    <s v="Q4"/>
    <x v="9"/>
    <x v="7"/>
    <x v="1"/>
    <x v="1020"/>
    <x v="4"/>
    <n v="36"/>
    <x v="81"/>
    <n v="83.06"/>
    <n v="5.64"/>
    <n v="15.61"/>
    <n v="7.55"/>
    <n v="200.2"/>
    <n v="154"/>
    <n v="4"/>
    <n v="247"/>
  </r>
  <r>
    <n v="1147"/>
    <s v="2022-09-30"/>
    <n v="2022"/>
    <s v="Q4"/>
    <x v="9"/>
    <x v="3"/>
    <x v="0"/>
    <x v="405"/>
    <x v="2"/>
    <n v="30"/>
    <x v="261"/>
    <n v="76.12"/>
    <n v="9.82"/>
    <n v="4.47"/>
    <n v="1.93"/>
    <n v="273.36"/>
    <n v="887"/>
    <n v="5"/>
    <n v="177"/>
  </r>
  <r>
    <n v="1148"/>
    <s v="2022-10-12"/>
    <n v="2022"/>
    <s v="Q4"/>
    <x v="9"/>
    <x v="6"/>
    <x v="1"/>
    <x v="618"/>
    <x v="4"/>
    <n v="31"/>
    <x v="295"/>
    <n v="83.08"/>
    <n v="13.69"/>
    <n v="9.3800000000000008"/>
    <n v="8.5299999999999994"/>
    <n v="355.18"/>
    <n v="198"/>
    <n v="5"/>
    <n v="220"/>
  </r>
  <r>
    <n v="1149"/>
    <s v="2022-10-03"/>
    <n v="2022"/>
    <s v="Q4"/>
    <x v="9"/>
    <x v="4"/>
    <x v="2"/>
    <x v="210"/>
    <x v="3"/>
    <n v="4"/>
    <x v="58"/>
    <n v="75.47"/>
    <n v="16.440000000000001"/>
    <n v="15.62"/>
    <n v="7.59"/>
    <n v="250.53"/>
    <n v="652"/>
    <n v="1"/>
    <n v="86"/>
  </r>
  <r>
    <n v="1150"/>
    <s v="2022-10-10"/>
    <n v="2022"/>
    <s v="Q4"/>
    <x v="9"/>
    <x v="7"/>
    <x v="4"/>
    <x v="1021"/>
    <x v="2"/>
    <n v="14"/>
    <x v="311"/>
    <n v="83.68"/>
    <n v="13.99"/>
    <n v="14.34"/>
    <n v="2.74"/>
    <n v="190.86"/>
    <n v="628"/>
    <n v="5"/>
    <n v="214"/>
  </r>
  <r>
    <n v="1151"/>
    <s v="2022-10-09"/>
    <n v="2022"/>
    <s v="Q4"/>
    <x v="9"/>
    <x v="1"/>
    <x v="3"/>
    <x v="1022"/>
    <x v="0"/>
    <n v="39"/>
    <x v="120"/>
    <n v="84.53"/>
    <n v="31.49"/>
    <n v="13.69"/>
    <n v="12.2"/>
    <n v="565.78"/>
    <n v="668"/>
    <n v="3"/>
    <n v="116"/>
  </r>
  <r>
    <n v="1152"/>
    <s v="2022-10-23"/>
    <n v="2022"/>
    <s v="Q4"/>
    <x v="9"/>
    <x v="6"/>
    <x v="0"/>
    <x v="572"/>
    <x v="4"/>
    <n v="11"/>
    <x v="438"/>
    <n v="87.78"/>
    <n v="17.32"/>
    <n v="16.63"/>
    <n v="1.63"/>
    <n v="259.55"/>
    <n v="458"/>
    <n v="2"/>
    <n v="190"/>
  </r>
  <r>
    <n v="1153"/>
    <s v="2022-10-26"/>
    <n v="2022"/>
    <s v="Q4"/>
    <x v="9"/>
    <x v="7"/>
    <x v="4"/>
    <x v="1023"/>
    <x v="3"/>
    <n v="10"/>
    <x v="104"/>
    <n v="94.88"/>
    <n v="17.53"/>
    <n v="14.11"/>
    <n v="15.75"/>
    <n v="168.59"/>
    <n v="738"/>
    <n v="2"/>
    <n v="111"/>
  </r>
  <r>
    <n v="1154"/>
    <s v="2022-10-19"/>
    <n v="2022"/>
    <s v="Q4"/>
    <x v="9"/>
    <x v="3"/>
    <x v="4"/>
    <x v="380"/>
    <x v="0"/>
    <n v="28"/>
    <x v="40"/>
    <n v="83.71"/>
    <n v="25.07"/>
    <n v="16.829999999999998"/>
    <n v="4.54"/>
    <n v="174.24"/>
    <n v="339"/>
    <n v="5"/>
    <n v="103"/>
  </r>
  <r>
    <n v="1155"/>
    <s v="2022-10-21"/>
    <n v="2022"/>
    <s v="Q4"/>
    <x v="9"/>
    <x v="4"/>
    <x v="1"/>
    <x v="481"/>
    <x v="4"/>
    <n v="34"/>
    <x v="184"/>
    <n v="90.51"/>
    <n v="24.19"/>
    <n v="7.75"/>
    <n v="7.86"/>
    <n v="457.37"/>
    <n v="166"/>
    <n v="1"/>
    <n v="189"/>
  </r>
  <r>
    <n v="1156"/>
    <s v="2022-10-24"/>
    <n v="2022"/>
    <s v="Q4"/>
    <x v="9"/>
    <x v="3"/>
    <x v="4"/>
    <x v="1024"/>
    <x v="3"/>
    <n v="44"/>
    <x v="232"/>
    <n v="89.41"/>
    <n v="11.84"/>
    <n v="16.63"/>
    <n v="11.02"/>
    <n v="519.08000000000004"/>
    <n v="250"/>
    <n v="1"/>
    <n v="113"/>
  </r>
  <r>
    <n v="1157"/>
    <s v="2022-11-11"/>
    <n v="2022"/>
    <s v="Q4"/>
    <x v="10"/>
    <x v="0"/>
    <x v="2"/>
    <x v="1025"/>
    <x v="1"/>
    <n v="6"/>
    <x v="167"/>
    <n v="83.31"/>
    <n v="25.85"/>
    <n v="15.44"/>
    <n v="14.81"/>
    <n v="526.08000000000004"/>
    <n v="230"/>
    <n v="2"/>
    <n v="152"/>
  </r>
  <r>
    <n v="1158"/>
    <s v="2022-11-05"/>
    <n v="2022"/>
    <s v="Q4"/>
    <x v="10"/>
    <x v="0"/>
    <x v="0"/>
    <x v="1026"/>
    <x v="3"/>
    <n v="30"/>
    <x v="374"/>
    <n v="92.12"/>
    <n v="10.65"/>
    <n v="8.1199999999999992"/>
    <n v="13.76"/>
    <n v="353.83"/>
    <n v="613"/>
    <n v="4"/>
    <n v="110"/>
  </r>
  <r>
    <n v="1159"/>
    <s v="2022-11-17"/>
    <n v="2022"/>
    <s v="Q4"/>
    <x v="10"/>
    <x v="2"/>
    <x v="0"/>
    <x v="1027"/>
    <x v="4"/>
    <n v="46"/>
    <x v="451"/>
    <n v="82.74"/>
    <n v="7"/>
    <n v="20.57"/>
    <n v="3.27"/>
    <n v="381.74"/>
    <n v="141"/>
    <n v="4"/>
    <n v="187"/>
  </r>
  <r>
    <n v="1160"/>
    <s v="2022-11-20"/>
    <n v="2022"/>
    <s v="Q4"/>
    <x v="10"/>
    <x v="4"/>
    <x v="3"/>
    <x v="1028"/>
    <x v="2"/>
    <n v="34"/>
    <x v="286"/>
    <n v="82.07"/>
    <n v="17.04"/>
    <n v="6.47"/>
    <n v="12.14"/>
    <n v="552.95000000000005"/>
    <n v="943"/>
    <n v="1"/>
    <n v="198"/>
  </r>
  <r>
    <n v="1161"/>
    <s v="2022-11-23"/>
    <n v="2022"/>
    <s v="Q4"/>
    <x v="10"/>
    <x v="0"/>
    <x v="1"/>
    <x v="1029"/>
    <x v="3"/>
    <n v="44"/>
    <x v="11"/>
    <n v="89.62"/>
    <n v="30.17"/>
    <n v="6.3"/>
    <n v="12.64"/>
    <n v="150.54"/>
    <n v="879"/>
    <n v="1"/>
    <n v="62"/>
  </r>
  <r>
    <n v="1162"/>
    <s v="2022-11-01"/>
    <n v="2022"/>
    <s v="Q4"/>
    <x v="10"/>
    <x v="2"/>
    <x v="0"/>
    <x v="1030"/>
    <x v="4"/>
    <n v="36"/>
    <x v="311"/>
    <n v="80.88"/>
    <n v="8.58"/>
    <n v="11.32"/>
    <n v="1.59"/>
    <n v="221.89"/>
    <n v="848"/>
    <n v="2"/>
    <n v="213"/>
  </r>
  <r>
    <n v="1163"/>
    <s v="2022-11-13"/>
    <n v="2022"/>
    <s v="Q4"/>
    <x v="10"/>
    <x v="6"/>
    <x v="4"/>
    <x v="1031"/>
    <x v="1"/>
    <n v="21"/>
    <x v="415"/>
    <n v="89.37"/>
    <n v="13.08"/>
    <n v="3.2"/>
    <n v="7.57"/>
    <n v="146.99"/>
    <n v="833"/>
    <n v="3"/>
    <n v="235"/>
  </r>
  <r>
    <n v="1164"/>
    <s v="2022-11-04"/>
    <n v="2022"/>
    <s v="Q4"/>
    <x v="10"/>
    <x v="1"/>
    <x v="2"/>
    <x v="1032"/>
    <x v="0"/>
    <n v="24"/>
    <x v="135"/>
    <n v="86.47"/>
    <n v="6.9"/>
    <n v="19"/>
    <n v="6.82"/>
    <n v="173.25"/>
    <n v="747"/>
    <n v="1"/>
    <n v="246"/>
  </r>
  <r>
    <n v="1165"/>
    <s v="2022-11-23"/>
    <n v="2022"/>
    <s v="Q4"/>
    <x v="10"/>
    <x v="2"/>
    <x v="3"/>
    <x v="1033"/>
    <x v="2"/>
    <n v="41"/>
    <x v="276"/>
    <n v="81.78"/>
    <n v="12.02"/>
    <n v="15.93"/>
    <n v="11.36"/>
    <n v="310.49"/>
    <n v="939"/>
    <n v="2"/>
    <n v="105"/>
  </r>
  <r>
    <n v="1166"/>
    <s v="2022-11-25"/>
    <n v="2022"/>
    <s v="Q4"/>
    <x v="10"/>
    <x v="6"/>
    <x v="1"/>
    <x v="1034"/>
    <x v="4"/>
    <n v="20"/>
    <x v="5"/>
    <n v="81.11"/>
    <n v="32.549999999999997"/>
    <n v="5.1100000000000003"/>
    <n v="13.33"/>
    <n v="239.75"/>
    <n v="599"/>
    <n v="5"/>
    <n v="183"/>
  </r>
  <r>
    <n v="1167"/>
    <s v="2022-11-14"/>
    <n v="2022"/>
    <s v="Q4"/>
    <x v="10"/>
    <x v="0"/>
    <x v="4"/>
    <x v="1035"/>
    <x v="3"/>
    <n v="21"/>
    <x v="293"/>
    <n v="93.74"/>
    <n v="5.96"/>
    <n v="21.9"/>
    <n v="14.44"/>
    <n v="500.3"/>
    <n v="868"/>
    <n v="1"/>
    <n v="188"/>
  </r>
  <r>
    <n v="1168"/>
    <s v="2022-11-27"/>
    <n v="2022"/>
    <s v="Q4"/>
    <x v="10"/>
    <x v="5"/>
    <x v="4"/>
    <x v="1036"/>
    <x v="4"/>
    <n v="2"/>
    <x v="284"/>
    <n v="84.31"/>
    <n v="17.68"/>
    <n v="14.91"/>
    <n v="12.78"/>
    <n v="445.36"/>
    <n v="709"/>
    <n v="3"/>
    <n v="153"/>
  </r>
  <r>
    <n v="1169"/>
    <s v="2022-11-18"/>
    <n v="2022"/>
    <s v="Q4"/>
    <x v="10"/>
    <x v="4"/>
    <x v="1"/>
    <x v="1037"/>
    <x v="1"/>
    <n v="30"/>
    <x v="141"/>
    <n v="92.87"/>
    <n v="19.84"/>
    <n v="16.3"/>
    <n v="1.36"/>
    <n v="526.80999999999995"/>
    <n v="228"/>
    <n v="5"/>
    <n v="229"/>
  </r>
  <r>
    <n v="1170"/>
    <s v="2022-11-23"/>
    <n v="2022"/>
    <s v="Q4"/>
    <x v="10"/>
    <x v="2"/>
    <x v="4"/>
    <x v="921"/>
    <x v="4"/>
    <n v="10"/>
    <x v="192"/>
    <n v="94.4"/>
    <n v="20.53"/>
    <n v="11.29"/>
    <n v="11.79"/>
    <n v="162.21"/>
    <n v="399"/>
    <n v="5"/>
    <n v="204"/>
  </r>
  <r>
    <n v="1171"/>
    <s v="2022-11-11"/>
    <n v="2022"/>
    <s v="Q4"/>
    <x v="10"/>
    <x v="4"/>
    <x v="0"/>
    <x v="1038"/>
    <x v="4"/>
    <n v="17"/>
    <x v="61"/>
    <n v="84.62"/>
    <n v="34.04"/>
    <n v="5.31"/>
    <n v="1.0900000000000001"/>
    <n v="564.9"/>
    <n v="601"/>
    <n v="3"/>
    <n v="110"/>
  </r>
  <r>
    <n v="1172"/>
    <s v="2022-11-08"/>
    <n v="2022"/>
    <s v="Q4"/>
    <x v="10"/>
    <x v="0"/>
    <x v="2"/>
    <x v="1039"/>
    <x v="0"/>
    <n v="38"/>
    <x v="136"/>
    <n v="78.73"/>
    <n v="22.71"/>
    <n v="15.15"/>
    <n v="13.17"/>
    <n v="496.25"/>
    <n v="727"/>
    <n v="2"/>
    <n v="206"/>
  </r>
  <r>
    <n v="1173"/>
    <s v="2022-11-20"/>
    <n v="2022"/>
    <s v="Q4"/>
    <x v="10"/>
    <x v="6"/>
    <x v="1"/>
    <x v="807"/>
    <x v="0"/>
    <n v="18"/>
    <x v="27"/>
    <n v="81.819999999999993"/>
    <n v="8.24"/>
    <n v="17.14"/>
    <n v="5.05"/>
    <n v="428.32"/>
    <n v="1035"/>
    <n v="2"/>
    <n v="71"/>
  </r>
  <r>
    <n v="1174"/>
    <s v="2022-11-04"/>
    <n v="2022"/>
    <s v="Q4"/>
    <x v="10"/>
    <x v="5"/>
    <x v="1"/>
    <x v="1040"/>
    <x v="3"/>
    <n v="19"/>
    <x v="315"/>
    <n v="81.069999999999993"/>
    <n v="30.25"/>
    <n v="11.08"/>
    <n v="15.15"/>
    <n v="544.42999999999995"/>
    <n v="198"/>
    <n v="3"/>
    <n v="91"/>
  </r>
  <r>
    <n v="1175"/>
    <s v="2022-10-31"/>
    <n v="2022"/>
    <s v="Q4"/>
    <x v="10"/>
    <x v="1"/>
    <x v="2"/>
    <x v="1041"/>
    <x v="4"/>
    <n v="31"/>
    <x v="154"/>
    <n v="77.78"/>
    <n v="21.4"/>
    <n v="6.27"/>
    <n v="13.38"/>
    <n v="438.28"/>
    <n v="624"/>
    <n v="3"/>
    <n v="160"/>
  </r>
  <r>
    <n v="1176"/>
    <s v="2022-11-20"/>
    <n v="2022"/>
    <s v="Q4"/>
    <x v="10"/>
    <x v="2"/>
    <x v="0"/>
    <x v="1042"/>
    <x v="4"/>
    <n v="48"/>
    <x v="304"/>
    <n v="91.2"/>
    <n v="12.99"/>
    <n v="14.28"/>
    <n v="7.59"/>
    <n v="317.41000000000003"/>
    <n v="1003"/>
    <n v="1"/>
    <n v="133"/>
  </r>
  <r>
    <n v="1177"/>
    <s v="2022-11-26"/>
    <n v="2022"/>
    <s v="Q4"/>
    <x v="10"/>
    <x v="3"/>
    <x v="0"/>
    <x v="1043"/>
    <x v="1"/>
    <n v="31"/>
    <x v="85"/>
    <n v="93.36"/>
    <n v="9.2100000000000009"/>
    <n v="6.77"/>
    <n v="10.17"/>
    <n v="495.53"/>
    <n v="236"/>
    <n v="1"/>
    <n v="183"/>
  </r>
  <r>
    <n v="1178"/>
    <s v="2022-11-03"/>
    <n v="2022"/>
    <s v="Q4"/>
    <x v="10"/>
    <x v="6"/>
    <x v="1"/>
    <x v="1044"/>
    <x v="2"/>
    <n v="48"/>
    <x v="150"/>
    <n v="79.5"/>
    <n v="13.39"/>
    <n v="12.19"/>
    <n v="15.31"/>
    <n v="442.43"/>
    <n v="249"/>
    <n v="2"/>
    <n v="85"/>
  </r>
  <r>
    <n v="1179"/>
    <s v="2022-11-10"/>
    <n v="2022"/>
    <s v="Q4"/>
    <x v="10"/>
    <x v="0"/>
    <x v="1"/>
    <x v="1045"/>
    <x v="1"/>
    <n v="36"/>
    <x v="131"/>
    <n v="91.46"/>
    <n v="14.34"/>
    <n v="9.61"/>
    <n v="7.69"/>
    <n v="292.69"/>
    <n v="665"/>
    <n v="2"/>
    <n v="167"/>
  </r>
  <r>
    <n v="1180"/>
    <s v="2022-11-07"/>
    <n v="2022"/>
    <s v="Q4"/>
    <x v="10"/>
    <x v="4"/>
    <x v="3"/>
    <x v="1046"/>
    <x v="2"/>
    <n v="41"/>
    <x v="164"/>
    <n v="94.04"/>
    <n v="29.83"/>
    <n v="21.87"/>
    <n v="7.16"/>
    <n v="527.66"/>
    <n v="340"/>
    <n v="2"/>
    <n v="109"/>
  </r>
  <r>
    <n v="1181"/>
    <s v="2022-11-15"/>
    <n v="2022"/>
    <s v="Q4"/>
    <x v="10"/>
    <x v="2"/>
    <x v="1"/>
    <x v="1047"/>
    <x v="4"/>
    <n v="38"/>
    <x v="455"/>
    <n v="83.2"/>
    <n v="30.12"/>
    <n v="20.18"/>
    <n v="10.9"/>
    <n v="275.7"/>
    <n v="1075"/>
    <n v="2"/>
    <n v="150"/>
  </r>
  <r>
    <n v="1182"/>
    <s v="2022-11-11"/>
    <n v="2022"/>
    <s v="Q4"/>
    <x v="10"/>
    <x v="0"/>
    <x v="1"/>
    <x v="1048"/>
    <x v="0"/>
    <n v="20"/>
    <x v="225"/>
    <n v="87.29"/>
    <n v="17.03"/>
    <n v="14.75"/>
    <n v="12.08"/>
    <n v="483.08"/>
    <n v="235"/>
    <n v="2"/>
    <n v="209"/>
  </r>
  <r>
    <n v="1183"/>
    <s v="2022-11-01"/>
    <n v="2022"/>
    <s v="Q4"/>
    <x v="10"/>
    <x v="7"/>
    <x v="4"/>
    <x v="1049"/>
    <x v="0"/>
    <n v="26"/>
    <x v="456"/>
    <n v="87.02"/>
    <n v="21.07"/>
    <n v="18.62"/>
    <n v="1.57"/>
    <n v="391.56"/>
    <n v="597"/>
    <n v="2"/>
    <n v="98"/>
  </r>
  <r>
    <n v="1184"/>
    <s v="2022-11-07"/>
    <n v="2022"/>
    <s v="Q4"/>
    <x v="10"/>
    <x v="0"/>
    <x v="2"/>
    <x v="1050"/>
    <x v="4"/>
    <n v="33"/>
    <x v="162"/>
    <n v="82.47"/>
    <n v="18.66"/>
    <n v="13.31"/>
    <n v="7.74"/>
    <n v="540.1"/>
    <n v="299"/>
    <n v="3"/>
    <n v="87"/>
  </r>
  <r>
    <n v="1185"/>
    <s v="2022-11-10"/>
    <n v="2022"/>
    <s v="Q4"/>
    <x v="10"/>
    <x v="0"/>
    <x v="3"/>
    <x v="1051"/>
    <x v="1"/>
    <n v="11"/>
    <x v="53"/>
    <n v="92.45"/>
    <n v="21.48"/>
    <n v="3.45"/>
    <n v="8.6199999999999992"/>
    <n v="139.38999999999999"/>
    <n v="1088"/>
    <n v="2"/>
    <n v="76"/>
  </r>
  <r>
    <n v="1186"/>
    <s v="2022-11-06"/>
    <n v="2022"/>
    <s v="Q4"/>
    <x v="10"/>
    <x v="4"/>
    <x v="2"/>
    <x v="1052"/>
    <x v="0"/>
    <n v="48"/>
    <x v="303"/>
    <n v="92.03"/>
    <n v="14.21"/>
    <n v="7.81"/>
    <n v="9.9499999999999993"/>
    <n v="381.83"/>
    <n v="204"/>
    <n v="4"/>
    <n v="131"/>
  </r>
  <r>
    <n v="1187"/>
    <s v="2022-11-18"/>
    <n v="2022"/>
    <s v="Q4"/>
    <x v="10"/>
    <x v="3"/>
    <x v="4"/>
    <x v="1053"/>
    <x v="4"/>
    <n v="34"/>
    <x v="457"/>
    <n v="76.959999999999994"/>
    <n v="21.79"/>
    <n v="3.89"/>
    <n v="14.38"/>
    <n v="260.07"/>
    <n v="1086"/>
    <n v="5"/>
    <n v="82"/>
  </r>
  <r>
    <n v="1188"/>
    <s v="2022-11-12"/>
    <n v="2022"/>
    <s v="Q4"/>
    <x v="10"/>
    <x v="0"/>
    <x v="2"/>
    <x v="1054"/>
    <x v="0"/>
    <n v="8"/>
    <x v="458"/>
    <n v="88.09"/>
    <n v="12.56"/>
    <n v="2.09"/>
    <n v="2.17"/>
    <n v="117.81"/>
    <n v="357"/>
    <n v="4"/>
    <n v="109"/>
  </r>
  <r>
    <n v="1189"/>
    <s v="2022-11-10"/>
    <n v="2022"/>
    <s v="Q4"/>
    <x v="10"/>
    <x v="1"/>
    <x v="2"/>
    <x v="1055"/>
    <x v="3"/>
    <n v="7"/>
    <x v="330"/>
    <n v="85.53"/>
    <n v="31.69"/>
    <n v="14.49"/>
    <n v="9.9"/>
    <n v="468.71"/>
    <n v="209"/>
    <n v="2"/>
    <n v="192"/>
  </r>
  <r>
    <n v="1190"/>
    <s v="2022-11-20"/>
    <n v="2022"/>
    <s v="Q4"/>
    <x v="10"/>
    <x v="5"/>
    <x v="3"/>
    <x v="1056"/>
    <x v="1"/>
    <n v="12"/>
    <x v="318"/>
    <n v="77.260000000000005"/>
    <n v="7.23"/>
    <n v="18.05"/>
    <n v="15.59"/>
    <n v="318.01"/>
    <n v="745"/>
    <n v="1"/>
    <n v="155"/>
  </r>
  <r>
    <n v="1191"/>
    <s v="2022-12-17"/>
    <n v="2022"/>
    <s v="Q4"/>
    <x v="11"/>
    <x v="6"/>
    <x v="1"/>
    <x v="1057"/>
    <x v="2"/>
    <n v="45"/>
    <x v="248"/>
    <n v="92.62"/>
    <n v="10.28"/>
    <n v="6.79"/>
    <n v="7.76"/>
    <n v="187.24"/>
    <n v="661"/>
    <n v="3"/>
    <n v="139"/>
  </r>
  <r>
    <n v="1192"/>
    <s v="2022-12-12"/>
    <n v="2022"/>
    <s v="Q4"/>
    <x v="11"/>
    <x v="4"/>
    <x v="3"/>
    <x v="1058"/>
    <x v="1"/>
    <n v="27"/>
    <x v="56"/>
    <n v="79.739999999999995"/>
    <n v="7.93"/>
    <n v="9.11"/>
    <n v="13.4"/>
    <n v="429.15"/>
    <n v="553"/>
    <n v="5"/>
    <n v="62"/>
  </r>
  <r>
    <n v="1193"/>
    <s v="2022-12-13"/>
    <n v="2022"/>
    <s v="Q4"/>
    <x v="11"/>
    <x v="3"/>
    <x v="1"/>
    <x v="1059"/>
    <x v="3"/>
    <n v="21"/>
    <x v="107"/>
    <n v="81.77"/>
    <n v="24.3"/>
    <n v="19.190000000000001"/>
    <n v="3.66"/>
    <n v="178.1"/>
    <n v="820"/>
    <n v="1"/>
    <n v="233"/>
  </r>
  <r>
    <n v="1194"/>
    <s v="2022-12-20"/>
    <n v="2022"/>
    <s v="Q4"/>
    <x v="11"/>
    <x v="4"/>
    <x v="3"/>
    <x v="1060"/>
    <x v="2"/>
    <n v="36"/>
    <x v="248"/>
    <n v="81.81"/>
    <n v="17.350000000000001"/>
    <n v="15.49"/>
    <n v="14.38"/>
    <n v="424.27"/>
    <n v="678"/>
    <n v="1"/>
    <n v="123"/>
  </r>
  <r>
    <n v="1195"/>
    <s v="2022-12-06"/>
    <n v="2022"/>
    <s v="Q4"/>
    <x v="11"/>
    <x v="4"/>
    <x v="3"/>
    <x v="1061"/>
    <x v="2"/>
    <n v="49"/>
    <x v="315"/>
    <n v="75.06"/>
    <n v="6.11"/>
    <n v="14.47"/>
    <n v="3.2"/>
    <n v="533.92999999999995"/>
    <n v="147"/>
    <n v="4"/>
    <n v="145"/>
  </r>
  <r>
    <n v="1196"/>
    <s v="2022-12-12"/>
    <n v="2022"/>
    <s v="Q4"/>
    <x v="11"/>
    <x v="5"/>
    <x v="3"/>
    <x v="1062"/>
    <x v="0"/>
    <n v="46"/>
    <x v="314"/>
    <n v="75.98"/>
    <n v="23.02"/>
    <n v="9.9499999999999993"/>
    <n v="11.7"/>
    <n v="103.36"/>
    <n v="1006"/>
    <n v="4"/>
    <n v="62"/>
  </r>
  <r>
    <n v="1197"/>
    <s v="2022-11-30"/>
    <n v="2022"/>
    <s v="Q4"/>
    <x v="11"/>
    <x v="7"/>
    <x v="0"/>
    <x v="782"/>
    <x v="4"/>
    <n v="37"/>
    <x v="426"/>
    <n v="93.81"/>
    <n v="27.49"/>
    <n v="7.48"/>
    <n v="7.03"/>
    <n v="315.83999999999997"/>
    <n v="198"/>
    <n v="4"/>
    <n v="237"/>
  </r>
  <r>
    <n v="1198"/>
    <s v="2022-12-24"/>
    <n v="2022"/>
    <s v="Q4"/>
    <x v="11"/>
    <x v="5"/>
    <x v="4"/>
    <x v="1063"/>
    <x v="3"/>
    <n v="35"/>
    <x v="372"/>
    <n v="85.38"/>
    <n v="34.51"/>
    <n v="9.7200000000000006"/>
    <n v="5.08"/>
    <n v="145.63999999999999"/>
    <n v="367"/>
    <n v="1"/>
    <n v="191"/>
  </r>
  <r>
    <n v="1199"/>
    <s v="2022-12-27"/>
    <n v="2022"/>
    <s v="Q4"/>
    <x v="11"/>
    <x v="4"/>
    <x v="3"/>
    <x v="1064"/>
    <x v="0"/>
    <n v="32"/>
    <x v="152"/>
    <n v="80.73"/>
    <n v="14.88"/>
    <n v="4.16"/>
    <n v="10.119999999999999"/>
    <n v="575.05999999999995"/>
    <n v="897"/>
    <n v="1"/>
    <n v="215"/>
  </r>
  <r>
    <n v="1200"/>
    <s v="2022-12-09"/>
    <n v="2022"/>
    <s v="Q4"/>
    <x v="11"/>
    <x v="4"/>
    <x v="1"/>
    <x v="1065"/>
    <x v="4"/>
    <n v="7"/>
    <x v="281"/>
    <n v="91.91"/>
    <n v="32.450000000000003"/>
    <n v="9.11"/>
    <n v="11.77"/>
    <n v="108.82"/>
    <n v="123"/>
    <n v="1"/>
    <n v="68"/>
  </r>
  <r>
    <n v="1201"/>
    <s v="2022-11-30"/>
    <n v="2022"/>
    <s v="Q4"/>
    <x v="11"/>
    <x v="7"/>
    <x v="3"/>
    <x v="1066"/>
    <x v="2"/>
    <n v="2"/>
    <x v="459"/>
    <n v="78.260000000000005"/>
    <n v="19.12"/>
    <n v="15.06"/>
    <n v="6.66"/>
    <n v="360.1"/>
    <n v="1026"/>
    <n v="1"/>
    <n v="158"/>
  </r>
  <r>
    <n v="1202"/>
    <s v="2022-12-27"/>
    <n v="2022"/>
    <s v="Q4"/>
    <x v="11"/>
    <x v="7"/>
    <x v="4"/>
    <x v="1067"/>
    <x v="3"/>
    <n v="42"/>
    <x v="121"/>
    <n v="94.36"/>
    <n v="11.71"/>
    <n v="17.25"/>
    <n v="10.06"/>
    <n v="503.97"/>
    <n v="672"/>
    <n v="1"/>
    <n v="83"/>
  </r>
  <r>
    <n v="1203"/>
    <s v="2022-12-19"/>
    <n v="2022"/>
    <s v="Q4"/>
    <x v="11"/>
    <x v="1"/>
    <x v="4"/>
    <x v="1068"/>
    <x v="1"/>
    <n v="29"/>
    <x v="372"/>
    <n v="86.58"/>
    <n v="14.68"/>
    <n v="12"/>
    <n v="11.13"/>
    <n v="580.32000000000005"/>
    <n v="512"/>
    <n v="3"/>
    <n v="148"/>
  </r>
  <r>
    <n v="1204"/>
    <s v="2022-12-04"/>
    <n v="2022"/>
    <s v="Q4"/>
    <x v="11"/>
    <x v="3"/>
    <x v="2"/>
    <x v="1069"/>
    <x v="0"/>
    <n v="27"/>
    <x v="225"/>
    <n v="81.680000000000007"/>
    <n v="30.66"/>
    <n v="9.86"/>
    <n v="6.25"/>
    <n v="356.55"/>
    <n v="533"/>
    <n v="3"/>
    <n v="55"/>
  </r>
  <r>
    <n v="1205"/>
    <s v="2022-12-03"/>
    <n v="2022"/>
    <s v="Q4"/>
    <x v="11"/>
    <x v="2"/>
    <x v="0"/>
    <x v="1070"/>
    <x v="1"/>
    <n v="21"/>
    <x v="395"/>
    <n v="89"/>
    <n v="29.84"/>
    <n v="12.58"/>
    <n v="1.46"/>
    <n v="594.91999999999996"/>
    <n v="955"/>
    <n v="1"/>
    <n v="147"/>
  </r>
  <r>
    <n v="1206"/>
    <s v="2022-12-24"/>
    <n v="2022"/>
    <s v="Q4"/>
    <x v="11"/>
    <x v="1"/>
    <x v="0"/>
    <x v="1071"/>
    <x v="4"/>
    <n v="2"/>
    <x v="350"/>
    <n v="83.65"/>
    <n v="28.68"/>
    <n v="16.46"/>
    <n v="2.4300000000000002"/>
    <n v="178.03"/>
    <n v="264"/>
    <n v="2"/>
    <n v="109"/>
  </r>
  <r>
    <n v="1207"/>
    <s v="2022-12-07"/>
    <n v="2022"/>
    <s v="Q4"/>
    <x v="11"/>
    <x v="4"/>
    <x v="2"/>
    <x v="1072"/>
    <x v="2"/>
    <n v="17"/>
    <x v="426"/>
    <n v="88.31"/>
    <n v="13.31"/>
    <n v="11.73"/>
    <n v="14.85"/>
    <n v="307.86"/>
    <n v="747"/>
    <n v="2"/>
    <n v="200"/>
  </r>
  <r>
    <n v="1208"/>
    <s v="2022-12-23"/>
    <n v="2022"/>
    <s v="Q4"/>
    <x v="11"/>
    <x v="3"/>
    <x v="4"/>
    <x v="1073"/>
    <x v="1"/>
    <n v="20"/>
    <x v="330"/>
    <n v="93.05"/>
    <n v="34.42"/>
    <n v="16.07"/>
    <n v="5.15"/>
    <n v="508.27"/>
    <n v="234"/>
    <n v="1"/>
    <n v="202"/>
  </r>
  <r>
    <n v="1209"/>
    <s v="2022-12-19"/>
    <n v="2022"/>
    <s v="Q4"/>
    <x v="11"/>
    <x v="4"/>
    <x v="2"/>
    <x v="1074"/>
    <x v="1"/>
    <n v="33"/>
    <x v="139"/>
    <n v="94.97"/>
    <n v="33.78"/>
    <n v="21.06"/>
    <n v="7.83"/>
    <n v="576.72"/>
    <n v="1072"/>
    <n v="5"/>
    <n v="56"/>
  </r>
  <r>
    <n v="1210"/>
    <s v="2022-11-30"/>
    <n v="2022"/>
    <s v="Q4"/>
    <x v="11"/>
    <x v="2"/>
    <x v="2"/>
    <x v="1075"/>
    <x v="3"/>
    <n v="15"/>
    <x v="292"/>
    <n v="84.14"/>
    <n v="24.01"/>
    <n v="10.36"/>
    <n v="15.25"/>
    <n v="540.09"/>
    <n v="760"/>
    <n v="3"/>
    <n v="92"/>
  </r>
  <r>
    <n v="1211"/>
    <s v="2022-12-05"/>
    <n v="2022"/>
    <s v="Q4"/>
    <x v="11"/>
    <x v="1"/>
    <x v="1"/>
    <x v="1076"/>
    <x v="3"/>
    <n v="36"/>
    <x v="110"/>
    <n v="91.57"/>
    <n v="32.159999999999997"/>
    <n v="6.25"/>
    <n v="12.86"/>
    <n v="287.05"/>
    <n v="166"/>
    <n v="2"/>
    <n v="69"/>
  </r>
  <r>
    <n v="1212"/>
    <s v="2022-12-11"/>
    <n v="2022"/>
    <s v="Q4"/>
    <x v="11"/>
    <x v="2"/>
    <x v="1"/>
    <x v="1077"/>
    <x v="3"/>
    <n v="17"/>
    <x v="46"/>
    <n v="94.81"/>
    <n v="17.75"/>
    <n v="10.76"/>
    <n v="10.49"/>
    <n v="583.14"/>
    <n v="1072"/>
    <n v="3"/>
    <n v="129"/>
  </r>
  <r>
    <n v="1213"/>
    <s v="2022-12-08"/>
    <n v="2022"/>
    <s v="Q4"/>
    <x v="11"/>
    <x v="7"/>
    <x v="0"/>
    <x v="1078"/>
    <x v="4"/>
    <n v="27"/>
    <x v="173"/>
    <n v="89.78"/>
    <n v="23.41"/>
    <n v="10.56"/>
    <n v="12.53"/>
    <n v="223.35"/>
    <n v="168"/>
    <n v="5"/>
    <n v="139"/>
  </r>
  <r>
    <n v="1214"/>
    <s v="2022-12-26"/>
    <n v="2022"/>
    <s v="Q4"/>
    <x v="11"/>
    <x v="7"/>
    <x v="1"/>
    <x v="1079"/>
    <x v="4"/>
    <n v="1"/>
    <x v="300"/>
    <n v="91.15"/>
    <n v="13.48"/>
    <n v="17.489999999999998"/>
    <n v="9.7899999999999991"/>
    <n v="251.34"/>
    <n v="541"/>
    <n v="5"/>
    <n v="144"/>
  </r>
  <r>
    <n v="1215"/>
    <s v="2022-12-03"/>
    <n v="2022"/>
    <s v="Q4"/>
    <x v="11"/>
    <x v="0"/>
    <x v="0"/>
    <x v="1080"/>
    <x v="1"/>
    <n v="4"/>
    <x v="189"/>
    <n v="88.04"/>
    <n v="24.09"/>
    <n v="8.69"/>
    <n v="12.11"/>
    <n v="402.49"/>
    <n v="914"/>
    <n v="3"/>
    <n v="133"/>
  </r>
  <r>
    <n v="1216"/>
    <s v="2022-12-04"/>
    <n v="2022"/>
    <s v="Q4"/>
    <x v="11"/>
    <x v="0"/>
    <x v="2"/>
    <x v="1081"/>
    <x v="4"/>
    <n v="45"/>
    <x v="191"/>
    <n v="90.32"/>
    <n v="27.67"/>
    <n v="8.1300000000000008"/>
    <n v="6.26"/>
    <n v="427.62"/>
    <n v="300"/>
    <n v="4"/>
    <n v="66"/>
  </r>
  <r>
    <n v="1217"/>
    <s v="2022-12-02"/>
    <n v="2022"/>
    <s v="Q4"/>
    <x v="11"/>
    <x v="5"/>
    <x v="2"/>
    <x v="1082"/>
    <x v="2"/>
    <n v="5"/>
    <x v="113"/>
    <n v="77.22"/>
    <n v="26.79"/>
    <n v="21.1"/>
    <n v="9.4700000000000006"/>
    <n v="391.55"/>
    <n v="207"/>
    <n v="3"/>
    <n v="114"/>
  </r>
  <r>
    <n v="1218"/>
    <s v="2022-12-16"/>
    <n v="2022"/>
    <s v="Q4"/>
    <x v="11"/>
    <x v="5"/>
    <x v="1"/>
    <x v="1083"/>
    <x v="2"/>
    <n v="14"/>
    <x v="369"/>
    <n v="93.64"/>
    <n v="8.26"/>
    <n v="13.86"/>
    <n v="5.45"/>
    <n v="594.62"/>
    <n v="715"/>
    <n v="3"/>
    <n v="79"/>
  </r>
  <r>
    <n v="1219"/>
    <s v="2022-12-11"/>
    <n v="2022"/>
    <s v="Q4"/>
    <x v="11"/>
    <x v="3"/>
    <x v="1"/>
    <x v="1084"/>
    <x v="1"/>
    <n v="34"/>
    <x v="7"/>
    <n v="87.88"/>
    <n v="13.87"/>
    <n v="5.75"/>
    <n v="8.32"/>
    <n v="451.21"/>
    <n v="613"/>
    <n v="5"/>
    <n v="126"/>
  </r>
  <r>
    <n v="1220"/>
    <s v="2022-12-01"/>
    <n v="2022"/>
    <s v="Q4"/>
    <x v="11"/>
    <x v="4"/>
    <x v="3"/>
    <x v="1085"/>
    <x v="1"/>
    <n v="6"/>
    <x v="255"/>
    <n v="76.47"/>
    <n v="25.33"/>
    <n v="21.13"/>
    <n v="8.09"/>
    <n v="203.84"/>
    <n v="233"/>
    <n v="3"/>
    <n v="167"/>
  </r>
  <r>
    <n v="1221"/>
    <s v="2022-12-26"/>
    <n v="2022"/>
    <s v="Q4"/>
    <x v="11"/>
    <x v="2"/>
    <x v="2"/>
    <x v="98"/>
    <x v="1"/>
    <n v="39"/>
    <x v="109"/>
    <n v="78.239999999999995"/>
    <n v="14.51"/>
    <n v="19"/>
    <n v="3.33"/>
    <n v="322.42"/>
    <n v="355"/>
    <n v="2"/>
    <n v="207"/>
  </r>
  <r>
    <n v="1222"/>
    <s v="2022-12-18"/>
    <n v="2022"/>
    <s v="Q4"/>
    <x v="11"/>
    <x v="5"/>
    <x v="0"/>
    <x v="1057"/>
    <x v="3"/>
    <n v="9"/>
    <x v="317"/>
    <n v="91.32"/>
    <n v="6.16"/>
    <n v="11.11"/>
    <n v="9.85"/>
    <n v="545.61"/>
    <n v="637"/>
    <n v="4"/>
    <n v="94"/>
  </r>
  <r>
    <n v="1223"/>
    <s v="2022-12-08"/>
    <n v="2022"/>
    <s v="Q4"/>
    <x v="11"/>
    <x v="1"/>
    <x v="2"/>
    <x v="1086"/>
    <x v="0"/>
    <n v="3"/>
    <x v="104"/>
    <n v="82.71"/>
    <n v="18.190000000000001"/>
    <n v="7.01"/>
    <n v="13.36"/>
    <n v="591.87"/>
    <n v="114"/>
    <n v="1"/>
    <n v="171"/>
  </r>
  <r>
    <n v="1224"/>
    <s v="2022-12-20"/>
    <n v="2022"/>
    <s v="Q4"/>
    <x v="11"/>
    <x v="1"/>
    <x v="4"/>
    <x v="1087"/>
    <x v="0"/>
    <n v="27"/>
    <x v="122"/>
    <n v="82.98"/>
    <n v="26.77"/>
    <n v="3.78"/>
    <n v="2.99"/>
    <n v="215.5"/>
    <n v="673"/>
    <n v="3"/>
    <n v="240"/>
  </r>
  <r>
    <n v="1225"/>
    <s v="2023-01-24"/>
    <n v="2023"/>
    <s v="Q1"/>
    <x v="0"/>
    <x v="7"/>
    <x v="2"/>
    <x v="1088"/>
    <x v="4"/>
    <n v="9"/>
    <x v="74"/>
    <n v="85.5"/>
    <n v="16.82"/>
    <n v="20.73"/>
    <n v="2.13"/>
    <n v="412.96"/>
    <n v="301"/>
    <n v="5"/>
    <n v="75"/>
  </r>
  <r>
    <n v="1226"/>
    <s v="2023-01-12"/>
    <n v="2023"/>
    <s v="Q1"/>
    <x v="0"/>
    <x v="3"/>
    <x v="3"/>
    <x v="1089"/>
    <x v="4"/>
    <n v="25"/>
    <x v="135"/>
    <n v="93.08"/>
    <n v="28.43"/>
    <n v="17.170000000000002"/>
    <n v="6.82"/>
    <n v="240.94"/>
    <n v="146"/>
    <n v="3"/>
    <n v="80"/>
  </r>
  <r>
    <n v="1227"/>
    <s v="2023-01-15"/>
    <n v="2023"/>
    <s v="Q1"/>
    <x v="0"/>
    <x v="1"/>
    <x v="0"/>
    <x v="1090"/>
    <x v="2"/>
    <n v="28"/>
    <x v="460"/>
    <n v="88.98"/>
    <n v="23.2"/>
    <n v="13.63"/>
    <n v="14.11"/>
    <n v="387.48"/>
    <n v="612"/>
    <n v="4"/>
    <n v="224"/>
  </r>
  <r>
    <n v="1228"/>
    <s v="2023-01-15"/>
    <n v="2023"/>
    <s v="Q1"/>
    <x v="0"/>
    <x v="2"/>
    <x v="0"/>
    <x v="1091"/>
    <x v="2"/>
    <n v="49"/>
    <x v="92"/>
    <n v="80.400000000000006"/>
    <n v="21.15"/>
    <n v="19.82"/>
    <n v="12.89"/>
    <n v="503.83"/>
    <n v="548"/>
    <n v="2"/>
    <n v="127"/>
  </r>
  <r>
    <n v="1229"/>
    <s v="2023-01-12"/>
    <n v="2023"/>
    <s v="Q1"/>
    <x v="0"/>
    <x v="4"/>
    <x v="1"/>
    <x v="653"/>
    <x v="4"/>
    <n v="9"/>
    <x v="50"/>
    <n v="90.35"/>
    <n v="25.33"/>
    <n v="18.43"/>
    <n v="15.53"/>
    <n v="450.64"/>
    <n v="705"/>
    <n v="3"/>
    <n v="225"/>
  </r>
  <r>
    <n v="1230"/>
    <s v="2023-01-07"/>
    <n v="2023"/>
    <s v="Q1"/>
    <x v="0"/>
    <x v="3"/>
    <x v="1"/>
    <x v="1092"/>
    <x v="1"/>
    <n v="1"/>
    <x v="238"/>
    <n v="82.74"/>
    <n v="31.9"/>
    <n v="20.66"/>
    <n v="10.199999999999999"/>
    <n v="539.35"/>
    <n v="961"/>
    <n v="5"/>
    <n v="144"/>
  </r>
  <r>
    <n v="1231"/>
    <s v="2023-01-20"/>
    <n v="2023"/>
    <s v="Q1"/>
    <x v="0"/>
    <x v="3"/>
    <x v="2"/>
    <x v="1093"/>
    <x v="4"/>
    <n v="24"/>
    <x v="2"/>
    <n v="79.180000000000007"/>
    <n v="34.700000000000003"/>
    <n v="5.94"/>
    <n v="12.33"/>
    <n v="386.1"/>
    <n v="798"/>
    <n v="2"/>
    <n v="156"/>
  </r>
  <r>
    <n v="1232"/>
    <s v="2023-01-15"/>
    <n v="2023"/>
    <s v="Q1"/>
    <x v="0"/>
    <x v="2"/>
    <x v="0"/>
    <x v="1094"/>
    <x v="1"/>
    <n v="9"/>
    <x v="269"/>
    <n v="93.31"/>
    <n v="10.49"/>
    <n v="13.92"/>
    <n v="4.41"/>
    <n v="568.29"/>
    <n v="994"/>
    <n v="5"/>
    <n v="54"/>
  </r>
  <r>
    <n v="1233"/>
    <s v="2023-01-22"/>
    <n v="2023"/>
    <s v="Q1"/>
    <x v="0"/>
    <x v="7"/>
    <x v="3"/>
    <x v="370"/>
    <x v="3"/>
    <n v="6"/>
    <x v="302"/>
    <n v="87.28"/>
    <n v="5.28"/>
    <n v="14.82"/>
    <n v="3.01"/>
    <n v="129.13"/>
    <n v="755"/>
    <n v="5"/>
    <n v="86"/>
  </r>
  <r>
    <n v="1234"/>
    <s v="2023-01-01"/>
    <n v="2023"/>
    <s v="Q1"/>
    <x v="0"/>
    <x v="0"/>
    <x v="0"/>
    <x v="1095"/>
    <x v="3"/>
    <n v="8"/>
    <x v="83"/>
    <n v="85.94"/>
    <n v="12.71"/>
    <n v="15.68"/>
    <n v="11.24"/>
    <n v="582.48"/>
    <n v="1015"/>
    <n v="1"/>
    <n v="153"/>
  </r>
  <r>
    <n v="1235"/>
    <s v="2022-12-31"/>
    <n v="2023"/>
    <s v="Q1"/>
    <x v="0"/>
    <x v="0"/>
    <x v="0"/>
    <x v="1049"/>
    <x v="2"/>
    <n v="10"/>
    <x v="221"/>
    <n v="83.8"/>
    <n v="19.649999999999999"/>
    <n v="20.99"/>
    <n v="5.36"/>
    <n v="373.34"/>
    <n v="466"/>
    <n v="1"/>
    <n v="79"/>
  </r>
  <r>
    <n v="1236"/>
    <s v="2023-01-11"/>
    <n v="2023"/>
    <s v="Q1"/>
    <x v="0"/>
    <x v="1"/>
    <x v="2"/>
    <x v="1096"/>
    <x v="3"/>
    <n v="20"/>
    <x v="127"/>
    <n v="76.489999999999995"/>
    <n v="31.3"/>
    <n v="4.5599999999999996"/>
    <n v="15.35"/>
    <n v="259.24"/>
    <n v="355"/>
    <n v="3"/>
    <n v="186"/>
  </r>
  <r>
    <n v="1237"/>
    <s v="2023-01-03"/>
    <n v="2023"/>
    <s v="Q1"/>
    <x v="0"/>
    <x v="4"/>
    <x v="0"/>
    <x v="1097"/>
    <x v="3"/>
    <n v="1"/>
    <x v="229"/>
    <n v="83.1"/>
    <n v="5.19"/>
    <n v="10.29"/>
    <n v="13.12"/>
    <n v="271.7"/>
    <n v="793"/>
    <n v="4"/>
    <n v="177"/>
  </r>
  <r>
    <n v="1238"/>
    <s v="2023-01-04"/>
    <n v="2023"/>
    <s v="Q1"/>
    <x v="0"/>
    <x v="6"/>
    <x v="1"/>
    <x v="1098"/>
    <x v="3"/>
    <n v="12"/>
    <x v="254"/>
    <n v="85.95"/>
    <n v="26.7"/>
    <n v="8.4"/>
    <n v="10.01"/>
    <n v="519.97"/>
    <n v="361"/>
    <n v="4"/>
    <n v="126"/>
  </r>
  <r>
    <n v="1239"/>
    <s v="2023-01-05"/>
    <n v="2023"/>
    <s v="Q1"/>
    <x v="0"/>
    <x v="2"/>
    <x v="4"/>
    <x v="1099"/>
    <x v="4"/>
    <n v="31"/>
    <x v="461"/>
    <n v="79.239999999999995"/>
    <n v="22.57"/>
    <n v="19.47"/>
    <n v="10.25"/>
    <n v="285.94"/>
    <n v="998"/>
    <n v="3"/>
    <n v="207"/>
  </r>
  <r>
    <n v="1240"/>
    <s v="2023-01-15"/>
    <n v="2023"/>
    <s v="Q1"/>
    <x v="0"/>
    <x v="6"/>
    <x v="0"/>
    <x v="1100"/>
    <x v="1"/>
    <n v="22"/>
    <x v="374"/>
    <n v="93.69"/>
    <n v="29.13"/>
    <n v="12.7"/>
    <n v="13.74"/>
    <n v="591.07000000000005"/>
    <n v="607"/>
    <n v="2"/>
    <n v="138"/>
  </r>
  <r>
    <n v="1241"/>
    <s v="2023-01-08"/>
    <n v="2023"/>
    <s v="Q1"/>
    <x v="0"/>
    <x v="0"/>
    <x v="3"/>
    <x v="1101"/>
    <x v="3"/>
    <n v="8"/>
    <x v="343"/>
    <n v="77.12"/>
    <n v="12.26"/>
    <n v="21.54"/>
    <n v="5.53"/>
    <n v="185.76"/>
    <n v="656"/>
    <n v="3"/>
    <n v="123"/>
  </r>
  <r>
    <n v="1242"/>
    <s v="2023-01-23"/>
    <n v="2023"/>
    <s v="Q1"/>
    <x v="0"/>
    <x v="7"/>
    <x v="0"/>
    <x v="214"/>
    <x v="2"/>
    <n v="25"/>
    <x v="24"/>
    <n v="80.069999999999993"/>
    <n v="22.68"/>
    <n v="14.5"/>
    <n v="8.4700000000000006"/>
    <n v="488.29"/>
    <n v="751"/>
    <n v="1"/>
    <n v="93"/>
  </r>
  <r>
    <n v="1243"/>
    <s v="2023-01-13"/>
    <n v="2023"/>
    <s v="Q1"/>
    <x v="0"/>
    <x v="1"/>
    <x v="0"/>
    <x v="1102"/>
    <x v="0"/>
    <n v="37"/>
    <x v="267"/>
    <n v="78.39"/>
    <n v="6.91"/>
    <n v="9.82"/>
    <n v="11.94"/>
    <n v="522.13"/>
    <n v="1011"/>
    <n v="4"/>
    <n v="157"/>
  </r>
  <r>
    <n v="1244"/>
    <s v="2023-01-14"/>
    <n v="2023"/>
    <s v="Q1"/>
    <x v="0"/>
    <x v="5"/>
    <x v="3"/>
    <x v="1103"/>
    <x v="1"/>
    <n v="25"/>
    <x v="53"/>
    <n v="87.75"/>
    <n v="28.73"/>
    <n v="3.66"/>
    <n v="13.14"/>
    <n v="218.88"/>
    <n v="221"/>
    <n v="4"/>
    <n v="173"/>
  </r>
  <r>
    <n v="1245"/>
    <s v="2023-01-06"/>
    <n v="2023"/>
    <s v="Q1"/>
    <x v="0"/>
    <x v="0"/>
    <x v="0"/>
    <x v="1104"/>
    <x v="0"/>
    <n v="35"/>
    <x v="270"/>
    <n v="76.150000000000006"/>
    <n v="14.37"/>
    <n v="15.59"/>
    <n v="9.2100000000000009"/>
    <n v="343.82"/>
    <n v="479"/>
    <n v="4"/>
    <n v="57"/>
  </r>
  <r>
    <n v="1246"/>
    <s v="2023-01-20"/>
    <n v="2023"/>
    <s v="Q1"/>
    <x v="0"/>
    <x v="7"/>
    <x v="3"/>
    <x v="1105"/>
    <x v="3"/>
    <n v="15"/>
    <x v="363"/>
    <n v="82.01"/>
    <n v="24.22"/>
    <n v="10.53"/>
    <n v="5.0599999999999996"/>
    <n v="127.25"/>
    <n v="491"/>
    <n v="5"/>
    <n v="50"/>
  </r>
  <r>
    <n v="1247"/>
    <s v="2023-01-18"/>
    <n v="2023"/>
    <s v="Q1"/>
    <x v="0"/>
    <x v="4"/>
    <x v="0"/>
    <x v="1106"/>
    <x v="0"/>
    <n v="23"/>
    <x v="232"/>
    <n v="92.57"/>
    <n v="21.5"/>
    <n v="17.420000000000002"/>
    <n v="13.47"/>
    <n v="291.07"/>
    <n v="585"/>
    <n v="1"/>
    <n v="113"/>
  </r>
  <r>
    <n v="1248"/>
    <s v="2023-01-15"/>
    <n v="2023"/>
    <s v="Q1"/>
    <x v="0"/>
    <x v="5"/>
    <x v="4"/>
    <x v="1107"/>
    <x v="4"/>
    <n v="13"/>
    <x v="271"/>
    <n v="92.76"/>
    <n v="8.98"/>
    <n v="11.84"/>
    <n v="4.3899999999999997"/>
    <n v="210.81"/>
    <n v="475"/>
    <n v="2"/>
    <n v="112"/>
  </r>
  <r>
    <n v="1249"/>
    <s v="2023-01-20"/>
    <n v="2023"/>
    <s v="Q1"/>
    <x v="0"/>
    <x v="5"/>
    <x v="3"/>
    <x v="504"/>
    <x v="4"/>
    <n v="23"/>
    <x v="125"/>
    <n v="89.96"/>
    <n v="13.44"/>
    <n v="5.9"/>
    <n v="15.21"/>
    <n v="531.27"/>
    <n v="1007"/>
    <n v="1"/>
    <n v="141"/>
  </r>
  <r>
    <n v="1250"/>
    <s v="2023-01-21"/>
    <n v="2023"/>
    <s v="Q1"/>
    <x v="0"/>
    <x v="2"/>
    <x v="3"/>
    <x v="1108"/>
    <x v="0"/>
    <n v="20"/>
    <x v="68"/>
    <n v="93.73"/>
    <n v="18.55"/>
    <n v="15.12"/>
    <n v="15.63"/>
    <n v="454.03"/>
    <n v="256"/>
    <n v="1"/>
    <n v="220"/>
  </r>
  <r>
    <n v="1251"/>
    <s v="2023-01-18"/>
    <n v="2023"/>
    <s v="Q1"/>
    <x v="0"/>
    <x v="6"/>
    <x v="3"/>
    <x v="1109"/>
    <x v="2"/>
    <n v="47"/>
    <x v="384"/>
    <n v="85.44"/>
    <n v="11.45"/>
    <n v="16.05"/>
    <n v="4.67"/>
    <n v="368.44"/>
    <n v="192"/>
    <n v="3"/>
    <n v="203"/>
  </r>
  <r>
    <n v="1252"/>
    <s v="2023-01-14"/>
    <n v="2023"/>
    <s v="Q1"/>
    <x v="0"/>
    <x v="3"/>
    <x v="3"/>
    <x v="754"/>
    <x v="4"/>
    <n v="22"/>
    <x v="222"/>
    <n v="76.48"/>
    <n v="8.0500000000000007"/>
    <n v="3.99"/>
    <n v="9.9"/>
    <n v="291.27999999999997"/>
    <n v="322"/>
    <n v="4"/>
    <n v="239"/>
  </r>
  <r>
    <n v="1253"/>
    <s v="2023-01-27"/>
    <n v="2023"/>
    <s v="Q1"/>
    <x v="0"/>
    <x v="7"/>
    <x v="3"/>
    <x v="773"/>
    <x v="0"/>
    <n v="10"/>
    <x v="178"/>
    <n v="80.349999999999994"/>
    <n v="13.32"/>
    <n v="6.81"/>
    <n v="3.2"/>
    <n v="195.31"/>
    <n v="151"/>
    <n v="1"/>
    <n v="171"/>
  </r>
  <r>
    <n v="1254"/>
    <s v="2023-01-26"/>
    <n v="2023"/>
    <s v="Q1"/>
    <x v="0"/>
    <x v="3"/>
    <x v="1"/>
    <x v="1110"/>
    <x v="1"/>
    <n v="16"/>
    <x v="132"/>
    <n v="85.53"/>
    <n v="34.19"/>
    <n v="5.3"/>
    <n v="10.93"/>
    <n v="436.41"/>
    <n v="956"/>
    <n v="3"/>
    <n v="201"/>
  </r>
  <r>
    <n v="1255"/>
    <s v="2023-01-02"/>
    <n v="2023"/>
    <s v="Q1"/>
    <x v="0"/>
    <x v="2"/>
    <x v="1"/>
    <x v="1111"/>
    <x v="2"/>
    <n v="19"/>
    <x v="435"/>
    <n v="83.1"/>
    <n v="20.52"/>
    <n v="5.27"/>
    <n v="8.31"/>
    <n v="273.45999999999998"/>
    <n v="296"/>
    <n v="3"/>
    <n v="188"/>
  </r>
  <r>
    <n v="1256"/>
    <s v="2023-01-20"/>
    <n v="2023"/>
    <s v="Q1"/>
    <x v="0"/>
    <x v="4"/>
    <x v="1"/>
    <x v="1112"/>
    <x v="1"/>
    <n v="44"/>
    <x v="276"/>
    <n v="77.989999999999995"/>
    <n v="34.11"/>
    <n v="10"/>
    <n v="11.23"/>
    <n v="599.86"/>
    <n v="261"/>
    <n v="3"/>
    <n v="238"/>
  </r>
  <r>
    <n v="1257"/>
    <s v="2023-01-13"/>
    <n v="2023"/>
    <s v="Q1"/>
    <x v="0"/>
    <x v="6"/>
    <x v="2"/>
    <x v="1113"/>
    <x v="2"/>
    <n v="14"/>
    <x v="384"/>
    <n v="79.67"/>
    <n v="10.91"/>
    <n v="9.9600000000000009"/>
    <n v="5.42"/>
    <n v="593.07000000000005"/>
    <n v="547"/>
    <n v="5"/>
    <n v="161"/>
  </r>
  <r>
    <n v="1258"/>
    <s v="2023-01-20"/>
    <n v="2023"/>
    <s v="Q1"/>
    <x v="0"/>
    <x v="7"/>
    <x v="3"/>
    <x v="1114"/>
    <x v="0"/>
    <n v="3"/>
    <x v="225"/>
    <n v="84.79"/>
    <n v="9.6"/>
    <n v="6.46"/>
    <n v="4.4000000000000004"/>
    <n v="110.78"/>
    <n v="998"/>
    <n v="1"/>
    <n v="152"/>
  </r>
  <r>
    <n v="1259"/>
    <s v="2023-02-23"/>
    <n v="2023"/>
    <s v="Q1"/>
    <x v="1"/>
    <x v="2"/>
    <x v="4"/>
    <x v="1115"/>
    <x v="1"/>
    <n v="47"/>
    <x v="197"/>
    <n v="79.41"/>
    <n v="34.54"/>
    <n v="10.33"/>
    <n v="13.06"/>
    <n v="569.79999999999995"/>
    <n v="819"/>
    <n v="5"/>
    <n v="50"/>
  </r>
  <r>
    <n v="1260"/>
    <s v="2023-02-24"/>
    <n v="2023"/>
    <s v="Q1"/>
    <x v="1"/>
    <x v="5"/>
    <x v="2"/>
    <x v="1116"/>
    <x v="3"/>
    <n v="12"/>
    <x v="424"/>
    <n v="77.2"/>
    <n v="6.26"/>
    <n v="18.36"/>
    <n v="7.57"/>
    <n v="302.70999999999998"/>
    <n v="1024"/>
    <n v="5"/>
    <n v="148"/>
  </r>
  <r>
    <n v="1261"/>
    <s v="2023-02-08"/>
    <n v="2023"/>
    <s v="Q1"/>
    <x v="1"/>
    <x v="3"/>
    <x v="3"/>
    <x v="667"/>
    <x v="3"/>
    <n v="44"/>
    <x v="208"/>
    <n v="88.82"/>
    <n v="12.62"/>
    <n v="11.62"/>
    <n v="6.77"/>
    <n v="338.76"/>
    <n v="176"/>
    <n v="1"/>
    <n v="248"/>
  </r>
  <r>
    <n v="1262"/>
    <s v="2023-02-08"/>
    <n v="2023"/>
    <s v="Q1"/>
    <x v="1"/>
    <x v="7"/>
    <x v="3"/>
    <x v="1117"/>
    <x v="0"/>
    <n v="5"/>
    <x v="112"/>
    <n v="82.15"/>
    <n v="26.38"/>
    <n v="19.46"/>
    <n v="13.19"/>
    <n v="344.72"/>
    <n v="147"/>
    <n v="1"/>
    <n v="97"/>
  </r>
  <r>
    <n v="1263"/>
    <s v="2023-02-27"/>
    <n v="2023"/>
    <s v="Q1"/>
    <x v="1"/>
    <x v="1"/>
    <x v="3"/>
    <x v="1118"/>
    <x v="4"/>
    <n v="21"/>
    <x v="51"/>
    <n v="77.12"/>
    <n v="25.95"/>
    <n v="17.329999999999998"/>
    <n v="2.41"/>
    <n v="548.25"/>
    <n v="905"/>
    <n v="3"/>
    <n v="111"/>
  </r>
  <r>
    <n v="1264"/>
    <s v="2023-02-02"/>
    <n v="2023"/>
    <s v="Q1"/>
    <x v="1"/>
    <x v="1"/>
    <x v="1"/>
    <x v="750"/>
    <x v="1"/>
    <n v="47"/>
    <x v="447"/>
    <n v="80.459999999999994"/>
    <n v="16.3"/>
    <n v="11.03"/>
    <n v="1.3"/>
    <n v="223.92"/>
    <n v="358"/>
    <n v="2"/>
    <n v="148"/>
  </r>
  <r>
    <n v="1265"/>
    <s v="2023-02-12"/>
    <n v="2023"/>
    <s v="Q1"/>
    <x v="1"/>
    <x v="1"/>
    <x v="2"/>
    <x v="1119"/>
    <x v="3"/>
    <n v="3"/>
    <x v="251"/>
    <n v="85.82"/>
    <n v="8.7799999999999994"/>
    <n v="18.48"/>
    <n v="1.6"/>
    <n v="284.69"/>
    <n v="924"/>
    <n v="3"/>
    <n v="170"/>
  </r>
  <r>
    <n v="1266"/>
    <s v="2023-01-31"/>
    <n v="2023"/>
    <s v="Q1"/>
    <x v="1"/>
    <x v="1"/>
    <x v="0"/>
    <x v="1120"/>
    <x v="3"/>
    <n v="45"/>
    <x v="327"/>
    <n v="78.11"/>
    <n v="22.81"/>
    <n v="13.02"/>
    <n v="7.26"/>
    <n v="392.11"/>
    <n v="198"/>
    <n v="1"/>
    <n v="231"/>
  </r>
  <r>
    <n v="1267"/>
    <s v="2023-02-12"/>
    <n v="2023"/>
    <s v="Q1"/>
    <x v="1"/>
    <x v="1"/>
    <x v="0"/>
    <x v="1121"/>
    <x v="2"/>
    <n v="18"/>
    <x v="364"/>
    <n v="86.53"/>
    <n v="17.72"/>
    <n v="18"/>
    <n v="9.56"/>
    <n v="489.59"/>
    <n v="283"/>
    <n v="2"/>
    <n v="187"/>
  </r>
  <r>
    <n v="1268"/>
    <s v="2023-02-16"/>
    <n v="2023"/>
    <s v="Q1"/>
    <x v="1"/>
    <x v="5"/>
    <x v="3"/>
    <x v="1122"/>
    <x v="0"/>
    <n v="10"/>
    <x v="112"/>
    <n v="84.92"/>
    <n v="34.979999999999997"/>
    <n v="17.010000000000002"/>
    <n v="2.46"/>
    <n v="138.05000000000001"/>
    <n v="200"/>
    <n v="5"/>
    <n v="204"/>
  </r>
  <r>
    <n v="1269"/>
    <s v="2023-02-07"/>
    <n v="2023"/>
    <s v="Q1"/>
    <x v="1"/>
    <x v="6"/>
    <x v="2"/>
    <x v="1123"/>
    <x v="4"/>
    <n v="33"/>
    <x v="6"/>
    <n v="75.23"/>
    <n v="8.32"/>
    <n v="6.42"/>
    <n v="14.72"/>
    <n v="428.1"/>
    <n v="1053"/>
    <n v="1"/>
    <n v="227"/>
  </r>
  <r>
    <n v="1270"/>
    <s v="2023-02-27"/>
    <n v="2023"/>
    <s v="Q1"/>
    <x v="1"/>
    <x v="5"/>
    <x v="0"/>
    <x v="1064"/>
    <x v="1"/>
    <n v="46"/>
    <x v="351"/>
    <n v="89.89"/>
    <n v="21.43"/>
    <n v="6.51"/>
    <n v="6.57"/>
    <n v="107.19"/>
    <n v="919"/>
    <n v="3"/>
    <n v="183"/>
  </r>
  <r>
    <n v="1271"/>
    <s v="2023-01-31"/>
    <n v="2023"/>
    <s v="Q1"/>
    <x v="1"/>
    <x v="5"/>
    <x v="0"/>
    <x v="1124"/>
    <x v="3"/>
    <n v="10"/>
    <x v="453"/>
    <n v="78.260000000000005"/>
    <n v="19.77"/>
    <n v="7.47"/>
    <n v="10.58"/>
    <n v="278.22000000000003"/>
    <n v="736"/>
    <n v="5"/>
    <n v="193"/>
  </r>
  <r>
    <n v="1272"/>
    <s v="2023-02-23"/>
    <n v="2023"/>
    <s v="Q1"/>
    <x v="1"/>
    <x v="0"/>
    <x v="0"/>
    <x v="1125"/>
    <x v="2"/>
    <n v="5"/>
    <x v="288"/>
    <n v="88.07"/>
    <n v="9.57"/>
    <n v="13.38"/>
    <n v="1.62"/>
    <n v="437.33"/>
    <n v="880"/>
    <n v="5"/>
    <n v="57"/>
  </r>
  <r>
    <n v="1273"/>
    <s v="2023-02-07"/>
    <n v="2023"/>
    <s v="Q1"/>
    <x v="1"/>
    <x v="2"/>
    <x v="4"/>
    <x v="1126"/>
    <x v="3"/>
    <n v="17"/>
    <x v="173"/>
    <n v="87.99"/>
    <n v="8.01"/>
    <n v="7.39"/>
    <n v="15.65"/>
    <n v="189.82"/>
    <n v="896"/>
    <n v="1"/>
    <n v="215"/>
  </r>
  <r>
    <n v="1274"/>
    <s v="2023-02-05"/>
    <n v="2023"/>
    <s v="Q1"/>
    <x v="1"/>
    <x v="1"/>
    <x v="3"/>
    <x v="1127"/>
    <x v="1"/>
    <n v="38"/>
    <x v="303"/>
    <n v="83.34"/>
    <n v="31.62"/>
    <n v="16.41"/>
    <n v="7.93"/>
    <n v="431.94"/>
    <n v="916"/>
    <n v="5"/>
    <n v="127"/>
  </r>
  <r>
    <n v="1275"/>
    <s v="2023-02-20"/>
    <n v="2023"/>
    <s v="Q1"/>
    <x v="1"/>
    <x v="3"/>
    <x v="4"/>
    <x v="239"/>
    <x v="3"/>
    <n v="12"/>
    <x v="132"/>
    <n v="88.09"/>
    <n v="21.96"/>
    <n v="8.27"/>
    <n v="13.45"/>
    <n v="223.79"/>
    <n v="652"/>
    <n v="5"/>
    <n v="209"/>
  </r>
  <r>
    <n v="1276"/>
    <s v="2023-02-06"/>
    <n v="2023"/>
    <s v="Q1"/>
    <x v="1"/>
    <x v="2"/>
    <x v="4"/>
    <x v="1128"/>
    <x v="4"/>
    <n v="22"/>
    <x v="156"/>
    <n v="91.79"/>
    <n v="28.72"/>
    <n v="6.1"/>
    <n v="9.1"/>
    <n v="359.27"/>
    <n v="710"/>
    <n v="5"/>
    <n v="128"/>
  </r>
  <r>
    <n v="1277"/>
    <s v="2023-02-01"/>
    <n v="2023"/>
    <s v="Q1"/>
    <x v="1"/>
    <x v="7"/>
    <x v="0"/>
    <x v="1129"/>
    <x v="3"/>
    <n v="49"/>
    <x v="290"/>
    <n v="85.08"/>
    <n v="25.1"/>
    <n v="6.48"/>
    <n v="8.58"/>
    <n v="269.39999999999998"/>
    <n v="705"/>
    <n v="2"/>
    <n v="185"/>
  </r>
  <r>
    <n v="1278"/>
    <s v="2023-02-06"/>
    <n v="2023"/>
    <s v="Q1"/>
    <x v="1"/>
    <x v="3"/>
    <x v="3"/>
    <x v="1130"/>
    <x v="4"/>
    <n v="49"/>
    <x v="462"/>
    <n v="91.52"/>
    <n v="10.08"/>
    <n v="6.93"/>
    <n v="5.63"/>
    <n v="551.79999999999995"/>
    <n v="702"/>
    <n v="3"/>
    <n v="63"/>
  </r>
  <r>
    <n v="1279"/>
    <s v="2023-02-05"/>
    <n v="2023"/>
    <s v="Q1"/>
    <x v="1"/>
    <x v="0"/>
    <x v="2"/>
    <x v="625"/>
    <x v="0"/>
    <n v="19"/>
    <x v="340"/>
    <n v="90.39"/>
    <n v="17.7"/>
    <n v="8.18"/>
    <n v="2.94"/>
    <n v="276.08999999999997"/>
    <n v="176"/>
    <n v="1"/>
    <n v="100"/>
  </r>
  <r>
    <n v="1280"/>
    <s v="2023-02-20"/>
    <n v="2023"/>
    <s v="Q1"/>
    <x v="1"/>
    <x v="1"/>
    <x v="0"/>
    <x v="1131"/>
    <x v="4"/>
    <n v="36"/>
    <x v="450"/>
    <n v="90.35"/>
    <n v="9.44"/>
    <n v="16.87"/>
    <n v="6.5"/>
    <n v="528.66"/>
    <n v="469"/>
    <n v="1"/>
    <n v="232"/>
  </r>
  <r>
    <n v="1281"/>
    <s v="2023-02-11"/>
    <n v="2023"/>
    <s v="Q1"/>
    <x v="1"/>
    <x v="6"/>
    <x v="2"/>
    <x v="1132"/>
    <x v="0"/>
    <n v="3"/>
    <x v="149"/>
    <n v="87.55"/>
    <n v="11.89"/>
    <n v="10.14"/>
    <n v="5.45"/>
    <n v="546"/>
    <n v="933"/>
    <n v="5"/>
    <n v="59"/>
  </r>
  <r>
    <n v="1282"/>
    <s v="2023-02-10"/>
    <n v="2023"/>
    <s v="Q1"/>
    <x v="1"/>
    <x v="3"/>
    <x v="0"/>
    <x v="1133"/>
    <x v="0"/>
    <n v="6"/>
    <x v="225"/>
    <n v="82.61"/>
    <n v="23.1"/>
    <n v="8.42"/>
    <n v="7.14"/>
    <n v="219.23"/>
    <n v="805"/>
    <n v="2"/>
    <n v="171"/>
  </r>
  <r>
    <n v="1283"/>
    <s v="2023-02-14"/>
    <n v="2023"/>
    <s v="Q1"/>
    <x v="1"/>
    <x v="5"/>
    <x v="1"/>
    <x v="243"/>
    <x v="3"/>
    <n v="6"/>
    <x v="205"/>
    <n v="77.150000000000006"/>
    <n v="16.25"/>
    <n v="21.33"/>
    <n v="6"/>
    <n v="396.87"/>
    <n v="520"/>
    <n v="3"/>
    <n v="154"/>
  </r>
  <r>
    <n v="1284"/>
    <s v="2023-02-22"/>
    <n v="2023"/>
    <s v="Q1"/>
    <x v="1"/>
    <x v="5"/>
    <x v="2"/>
    <x v="1134"/>
    <x v="3"/>
    <n v="10"/>
    <x v="268"/>
    <n v="85.51"/>
    <n v="19.350000000000001"/>
    <n v="21.39"/>
    <n v="12.27"/>
    <n v="597.96"/>
    <n v="752"/>
    <n v="4"/>
    <n v="52"/>
  </r>
  <r>
    <n v="1285"/>
    <s v="2023-02-18"/>
    <n v="2023"/>
    <s v="Q1"/>
    <x v="1"/>
    <x v="5"/>
    <x v="1"/>
    <x v="1135"/>
    <x v="0"/>
    <n v="36"/>
    <x v="41"/>
    <n v="92.93"/>
    <n v="13.74"/>
    <n v="20.77"/>
    <n v="9.16"/>
    <n v="256.62"/>
    <n v="225"/>
    <n v="5"/>
    <n v="69"/>
  </r>
  <r>
    <n v="1286"/>
    <s v="2023-02-27"/>
    <n v="2023"/>
    <s v="Q1"/>
    <x v="1"/>
    <x v="5"/>
    <x v="4"/>
    <x v="259"/>
    <x v="4"/>
    <n v="45"/>
    <x v="70"/>
    <n v="88.81"/>
    <n v="28.03"/>
    <n v="15.45"/>
    <n v="6.05"/>
    <n v="574.66"/>
    <n v="446"/>
    <n v="2"/>
    <n v="220"/>
  </r>
  <r>
    <n v="1287"/>
    <s v="2023-02-22"/>
    <n v="2023"/>
    <s v="Q1"/>
    <x v="1"/>
    <x v="3"/>
    <x v="2"/>
    <x v="1136"/>
    <x v="3"/>
    <n v="1"/>
    <x v="8"/>
    <n v="77.680000000000007"/>
    <n v="26.72"/>
    <n v="20.83"/>
    <n v="12.43"/>
    <n v="519.82000000000005"/>
    <n v="433"/>
    <n v="4"/>
    <n v="214"/>
  </r>
  <r>
    <n v="1288"/>
    <s v="2023-02-10"/>
    <n v="2023"/>
    <s v="Q1"/>
    <x v="1"/>
    <x v="2"/>
    <x v="2"/>
    <x v="1137"/>
    <x v="1"/>
    <n v="48"/>
    <x v="92"/>
    <n v="79.7"/>
    <n v="8.08"/>
    <n v="14.15"/>
    <n v="6.85"/>
    <n v="426.25"/>
    <n v="290"/>
    <n v="3"/>
    <n v="188"/>
  </r>
  <r>
    <n v="1289"/>
    <s v="2023-02-05"/>
    <n v="2023"/>
    <s v="Q1"/>
    <x v="1"/>
    <x v="0"/>
    <x v="1"/>
    <x v="1138"/>
    <x v="1"/>
    <n v="49"/>
    <x v="14"/>
    <n v="76.930000000000007"/>
    <n v="7.21"/>
    <n v="8.0500000000000007"/>
    <n v="15.81"/>
    <n v="263.05"/>
    <n v="1097"/>
    <n v="1"/>
    <n v="102"/>
  </r>
  <r>
    <n v="1290"/>
    <s v="2023-02-27"/>
    <n v="2023"/>
    <s v="Q1"/>
    <x v="1"/>
    <x v="4"/>
    <x v="0"/>
    <x v="1139"/>
    <x v="4"/>
    <n v="10"/>
    <x v="310"/>
    <n v="83.36"/>
    <n v="5.79"/>
    <n v="19.329999999999998"/>
    <n v="7.95"/>
    <n v="191.33"/>
    <n v="809"/>
    <n v="5"/>
    <n v="177"/>
  </r>
  <r>
    <n v="1291"/>
    <s v="2023-02-20"/>
    <n v="2023"/>
    <s v="Q1"/>
    <x v="1"/>
    <x v="6"/>
    <x v="3"/>
    <x v="1140"/>
    <x v="3"/>
    <n v="37"/>
    <x v="158"/>
    <n v="87.5"/>
    <n v="5.17"/>
    <n v="6.21"/>
    <n v="7.86"/>
    <n v="127.55"/>
    <n v="1097"/>
    <n v="4"/>
    <n v="223"/>
  </r>
  <r>
    <n v="1292"/>
    <s v="2023-02-09"/>
    <n v="2023"/>
    <s v="Q1"/>
    <x v="1"/>
    <x v="0"/>
    <x v="3"/>
    <x v="1141"/>
    <x v="2"/>
    <n v="49"/>
    <x v="226"/>
    <n v="91.7"/>
    <n v="12.64"/>
    <n v="18.420000000000002"/>
    <n v="10.75"/>
    <n v="543.79"/>
    <n v="103"/>
    <n v="5"/>
    <n v="207"/>
  </r>
  <r>
    <n v="1293"/>
    <s v="2023-03-20"/>
    <n v="2023"/>
    <s v="Q1"/>
    <x v="2"/>
    <x v="1"/>
    <x v="2"/>
    <x v="1142"/>
    <x v="0"/>
    <n v="7"/>
    <x v="262"/>
    <n v="85.28"/>
    <n v="32.799999999999997"/>
    <n v="5.24"/>
    <n v="13.43"/>
    <n v="296.70999999999998"/>
    <n v="329"/>
    <n v="5"/>
    <n v="82"/>
  </r>
  <r>
    <n v="1294"/>
    <s v="2023-03-24"/>
    <n v="2023"/>
    <s v="Q1"/>
    <x v="2"/>
    <x v="5"/>
    <x v="4"/>
    <x v="536"/>
    <x v="3"/>
    <n v="23"/>
    <x v="317"/>
    <n v="82.82"/>
    <n v="5.61"/>
    <n v="21.95"/>
    <n v="15.81"/>
    <n v="283.87"/>
    <n v="1028"/>
    <n v="2"/>
    <n v="127"/>
  </r>
  <r>
    <n v="1295"/>
    <s v="2023-03-05"/>
    <n v="2023"/>
    <s v="Q1"/>
    <x v="2"/>
    <x v="0"/>
    <x v="4"/>
    <x v="1143"/>
    <x v="1"/>
    <n v="8"/>
    <x v="258"/>
    <n v="92.79"/>
    <n v="13.03"/>
    <n v="14.66"/>
    <n v="3.15"/>
    <n v="247.14"/>
    <n v="741"/>
    <n v="5"/>
    <n v="222"/>
  </r>
  <r>
    <n v="1296"/>
    <s v="2023-03-27"/>
    <n v="2023"/>
    <s v="Q1"/>
    <x v="2"/>
    <x v="6"/>
    <x v="1"/>
    <x v="1144"/>
    <x v="3"/>
    <n v="30"/>
    <x v="233"/>
    <n v="89.92"/>
    <n v="11.53"/>
    <n v="17.91"/>
    <n v="8.75"/>
    <n v="238.96"/>
    <n v="819"/>
    <n v="1"/>
    <n v="78"/>
  </r>
  <r>
    <n v="1297"/>
    <s v="2023-03-24"/>
    <n v="2023"/>
    <s v="Q1"/>
    <x v="2"/>
    <x v="0"/>
    <x v="3"/>
    <x v="1145"/>
    <x v="2"/>
    <n v="46"/>
    <x v="20"/>
    <n v="93.62"/>
    <n v="26.72"/>
    <n v="3.76"/>
    <n v="11.81"/>
    <n v="497.72"/>
    <n v="618"/>
    <n v="1"/>
    <n v="197"/>
  </r>
  <r>
    <n v="1298"/>
    <s v="2023-03-08"/>
    <n v="2023"/>
    <s v="Q1"/>
    <x v="2"/>
    <x v="1"/>
    <x v="2"/>
    <x v="1146"/>
    <x v="4"/>
    <n v="43"/>
    <x v="376"/>
    <n v="78.22"/>
    <n v="16.34"/>
    <n v="19.739999999999998"/>
    <n v="8.08"/>
    <n v="266.11"/>
    <n v="672"/>
    <n v="4"/>
    <n v="194"/>
  </r>
  <r>
    <n v="1299"/>
    <s v="2023-03-12"/>
    <n v="2023"/>
    <s v="Q1"/>
    <x v="2"/>
    <x v="2"/>
    <x v="0"/>
    <x v="1147"/>
    <x v="1"/>
    <n v="41"/>
    <x v="155"/>
    <n v="91.19"/>
    <n v="25.83"/>
    <n v="19.48"/>
    <n v="8.27"/>
    <n v="144.52000000000001"/>
    <n v="701"/>
    <n v="4"/>
    <n v="116"/>
  </r>
  <r>
    <n v="1300"/>
    <s v="2023-03-11"/>
    <n v="2023"/>
    <s v="Q1"/>
    <x v="2"/>
    <x v="0"/>
    <x v="4"/>
    <x v="1148"/>
    <x v="0"/>
    <n v="39"/>
    <x v="307"/>
    <n v="94.08"/>
    <n v="26.9"/>
    <n v="4.38"/>
    <n v="10.81"/>
    <n v="388.67"/>
    <n v="392"/>
    <n v="4"/>
    <n v="246"/>
  </r>
  <r>
    <n v="1301"/>
    <s v="2023-03-25"/>
    <n v="2023"/>
    <s v="Q1"/>
    <x v="2"/>
    <x v="2"/>
    <x v="3"/>
    <x v="1149"/>
    <x v="1"/>
    <n v="11"/>
    <x v="147"/>
    <n v="85.8"/>
    <n v="14.43"/>
    <n v="6.78"/>
    <n v="9.57"/>
    <n v="368.69"/>
    <n v="710"/>
    <n v="5"/>
    <n v="212"/>
  </r>
  <r>
    <n v="1302"/>
    <s v="2023-03-07"/>
    <n v="2023"/>
    <s v="Q1"/>
    <x v="2"/>
    <x v="3"/>
    <x v="3"/>
    <x v="840"/>
    <x v="3"/>
    <n v="2"/>
    <x v="398"/>
    <n v="86.39"/>
    <n v="9.18"/>
    <n v="2.35"/>
    <n v="9.5"/>
    <n v="488.39"/>
    <n v="149"/>
    <n v="1"/>
    <n v="156"/>
  </r>
  <r>
    <n v="1303"/>
    <s v="2023-03-17"/>
    <n v="2023"/>
    <s v="Q1"/>
    <x v="2"/>
    <x v="6"/>
    <x v="0"/>
    <x v="1150"/>
    <x v="3"/>
    <n v="49"/>
    <x v="343"/>
    <n v="79.989999999999995"/>
    <n v="26.14"/>
    <n v="5.15"/>
    <n v="11.3"/>
    <n v="281.04000000000002"/>
    <n v="558"/>
    <n v="5"/>
    <n v="66"/>
  </r>
  <r>
    <n v="1304"/>
    <s v="2023-03-02"/>
    <n v="2023"/>
    <s v="Q1"/>
    <x v="2"/>
    <x v="4"/>
    <x v="3"/>
    <x v="1151"/>
    <x v="2"/>
    <n v="32"/>
    <x v="71"/>
    <n v="86.23"/>
    <n v="23.33"/>
    <n v="12.89"/>
    <n v="12.33"/>
    <n v="219.85"/>
    <n v="342"/>
    <n v="2"/>
    <n v="87"/>
  </r>
  <r>
    <n v="1305"/>
    <s v="2023-03-20"/>
    <n v="2023"/>
    <s v="Q1"/>
    <x v="2"/>
    <x v="0"/>
    <x v="0"/>
    <x v="276"/>
    <x v="4"/>
    <n v="31"/>
    <x v="127"/>
    <n v="82.36"/>
    <n v="23.5"/>
    <n v="19.350000000000001"/>
    <n v="8.6999999999999993"/>
    <n v="495.86"/>
    <n v="219"/>
    <n v="5"/>
    <n v="99"/>
  </r>
  <r>
    <n v="1306"/>
    <s v="2023-03-06"/>
    <n v="2023"/>
    <s v="Q1"/>
    <x v="2"/>
    <x v="0"/>
    <x v="1"/>
    <x v="1152"/>
    <x v="2"/>
    <n v="43"/>
    <x v="235"/>
    <n v="75.790000000000006"/>
    <n v="10.54"/>
    <n v="6.56"/>
    <n v="1.51"/>
    <n v="195"/>
    <n v="507"/>
    <n v="5"/>
    <n v="217"/>
  </r>
  <r>
    <n v="1307"/>
    <s v="2023-03-14"/>
    <n v="2023"/>
    <s v="Q1"/>
    <x v="2"/>
    <x v="2"/>
    <x v="0"/>
    <x v="1153"/>
    <x v="4"/>
    <n v="19"/>
    <x v="461"/>
    <n v="75.72"/>
    <n v="19.73"/>
    <n v="14.46"/>
    <n v="11.93"/>
    <n v="437.52"/>
    <n v="809"/>
    <n v="1"/>
    <n v="56"/>
  </r>
  <r>
    <n v="1308"/>
    <s v="2023-03-13"/>
    <n v="2023"/>
    <s v="Q1"/>
    <x v="2"/>
    <x v="2"/>
    <x v="1"/>
    <x v="1154"/>
    <x v="4"/>
    <n v="28"/>
    <x v="325"/>
    <n v="90.54"/>
    <n v="8.5"/>
    <n v="18.239999999999998"/>
    <n v="7.93"/>
    <n v="223.24"/>
    <n v="1096"/>
    <n v="5"/>
    <n v="184"/>
  </r>
  <r>
    <n v="1309"/>
    <s v="2023-03-15"/>
    <n v="2023"/>
    <s v="Q1"/>
    <x v="2"/>
    <x v="1"/>
    <x v="1"/>
    <x v="1155"/>
    <x v="0"/>
    <n v="16"/>
    <x v="27"/>
    <n v="85.06"/>
    <n v="12.25"/>
    <n v="18.170000000000002"/>
    <n v="6.65"/>
    <n v="229.59"/>
    <n v="388"/>
    <n v="4"/>
    <n v="110"/>
  </r>
  <r>
    <n v="1310"/>
    <s v="2023-03-05"/>
    <n v="2023"/>
    <s v="Q1"/>
    <x v="2"/>
    <x v="6"/>
    <x v="1"/>
    <x v="1156"/>
    <x v="2"/>
    <n v="39"/>
    <x v="208"/>
    <n v="83.29"/>
    <n v="28.43"/>
    <n v="13.16"/>
    <n v="12.97"/>
    <n v="376.83"/>
    <n v="1002"/>
    <n v="4"/>
    <n v="142"/>
  </r>
  <r>
    <n v="1311"/>
    <s v="2023-03-02"/>
    <n v="2023"/>
    <s v="Q1"/>
    <x v="2"/>
    <x v="5"/>
    <x v="0"/>
    <x v="203"/>
    <x v="0"/>
    <n v="10"/>
    <x v="64"/>
    <n v="82.47"/>
    <n v="15.97"/>
    <n v="10.7"/>
    <n v="1.73"/>
    <n v="140.82"/>
    <n v="434"/>
    <n v="5"/>
    <n v="159"/>
  </r>
  <r>
    <n v="1312"/>
    <s v="2023-02-28"/>
    <n v="2023"/>
    <s v="Q1"/>
    <x v="2"/>
    <x v="3"/>
    <x v="3"/>
    <x v="1157"/>
    <x v="3"/>
    <n v="42"/>
    <x v="17"/>
    <n v="86.23"/>
    <n v="23.47"/>
    <n v="2.1"/>
    <n v="9.18"/>
    <n v="479.95"/>
    <n v="932"/>
    <n v="4"/>
    <n v="87"/>
  </r>
  <r>
    <n v="1313"/>
    <s v="2023-03-16"/>
    <n v="2023"/>
    <s v="Q1"/>
    <x v="2"/>
    <x v="5"/>
    <x v="2"/>
    <x v="953"/>
    <x v="4"/>
    <n v="43"/>
    <x v="140"/>
    <n v="93.3"/>
    <n v="26.23"/>
    <n v="15.06"/>
    <n v="12.08"/>
    <n v="257.32"/>
    <n v="970"/>
    <n v="2"/>
    <n v="192"/>
  </r>
  <r>
    <n v="1314"/>
    <s v="2023-03-11"/>
    <n v="2023"/>
    <s v="Q1"/>
    <x v="2"/>
    <x v="0"/>
    <x v="2"/>
    <x v="1158"/>
    <x v="0"/>
    <n v="10"/>
    <x v="173"/>
    <n v="76.72"/>
    <n v="28.77"/>
    <n v="15.79"/>
    <n v="13.2"/>
    <n v="462.35"/>
    <n v="781"/>
    <n v="4"/>
    <n v="186"/>
  </r>
  <r>
    <n v="1315"/>
    <s v="2023-03-11"/>
    <n v="2023"/>
    <s v="Q1"/>
    <x v="2"/>
    <x v="0"/>
    <x v="1"/>
    <x v="1159"/>
    <x v="2"/>
    <n v="23"/>
    <x v="38"/>
    <n v="79.45"/>
    <n v="18.23"/>
    <n v="20.29"/>
    <n v="6.82"/>
    <n v="249.28"/>
    <n v="737"/>
    <n v="2"/>
    <n v="190"/>
  </r>
  <r>
    <n v="1316"/>
    <s v="2023-03-22"/>
    <n v="2023"/>
    <s v="Q1"/>
    <x v="2"/>
    <x v="6"/>
    <x v="2"/>
    <x v="1160"/>
    <x v="4"/>
    <n v="6"/>
    <x v="342"/>
    <n v="79.48"/>
    <n v="12.02"/>
    <n v="4.96"/>
    <n v="1.32"/>
    <n v="368.59"/>
    <n v="529"/>
    <n v="3"/>
    <n v="120"/>
  </r>
  <r>
    <n v="1317"/>
    <s v="2023-03-23"/>
    <n v="2023"/>
    <s v="Q1"/>
    <x v="2"/>
    <x v="2"/>
    <x v="0"/>
    <x v="1161"/>
    <x v="4"/>
    <n v="44"/>
    <x v="126"/>
    <n v="77.78"/>
    <n v="15.6"/>
    <n v="2.34"/>
    <n v="15.02"/>
    <n v="484.67"/>
    <n v="987"/>
    <n v="5"/>
    <n v="134"/>
  </r>
  <r>
    <n v="1318"/>
    <s v="2023-03-24"/>
    <n v="2023"/>
    <s v="Q1"/>
    <x v="2"/>
    <x v="6"/>
    <x v="4"/>
    <x v="1162"/>
    <x v="2"/>
    <n v="34"/>
    <x v="463"/>
    <n v="81.36"/>
    <n v="5.87"/>
    <n v="10.08"/>
    <n v="3.65"/>
    <n v="350.48"/>
    <n v="747"/>
    <n v="4"/>
    <n v="243"/>
  </r>
  <r>
    <n v="1319"/>
    <s v="2023-03-26"/>
    <n v="2023"/>
    <s v="Q1"/>
    <x v="2"/>
    <x v="6"/>
    <x v="2"/>
    <x v="1163"/>
    <x v="2"/>
    <n v="30"/>
    <x v="15"/>
    <n v="83.39"/>
    <n v="10.63"/>
    <n v="18.03"/>
    <n v="2.93"/>
    <n v="519.79"/>
    <n v="805"/>
    <n v="1"/>
    <n v="83"/>
  </r>
  <r>
    <n v="1320"/>
    <s v="2023-03-10"/>
    <n v="2023"/>
    <s v="Q1"/>
    <x v="2"/>
    <x v="6"/>
    <x v="4"/>
    <x v="888"/>
    <x v="3"/>
    <n v="28"/>
    <x v="158"/>
    <n v="78.400000000000006"/>
    <n v="34.72"/>
    <n v="8.84"/>
    <n v="1.37"/>
    <n v="223.73"/>
    <n v="382"/>
    <n v="1"/>
    <n v="71"/>
  </r>
  <r>
    <n v="1321"/>
    <s v="2023-03-02"/>
    <n v="2023"/>
    <s v="Q1"/>
    <x v="2"/>
    <x v="1"/>
    <x v="1"/>
    <x v="1164"/>
    <x v="2"/>
    <n v="3"/>
    <x v="331"/>
    <n v="93.11"/>
    <n v="5.3"/>
    <n v="6.84"/>
    <n v="13.03"/>
    <n v="360.49"/>
    <n v="181"/>
    <n v="4"/>
    <n v="120"/>
  </r>
  <r>
    <n v="1322"/>
    <s v="2023-03-01"/>
    <n v="2023"/>
    <s v="Q1"/>
    <x v="2"/>
    <x v="3"/>
    <x v="4"/>
    <x v="1165"/>
    <x v="1"/>
    <n v="29"/>
    <x v="333"/>
    <n v="78"/>
    <n v="26.18"/>
    <n v="19.7"/>
    <n v="6.89"/>
    <n v="429.22"/>
    <n v="186"/>
    <n v="4"/>
    <n v="106"/>
  </r>
  <r>
    <n v="1323"/>
    <s v="2023-03-09"/>
    <n v="2023"/>
    <s v="Q1"/>
    <x v="2"/>
    <x v="3"/>
    <x v="1"/>
    <x v="933"/>
    <x v="0"/>
    <n v="42"/>
    <x v="375"/>
    <n v="87.39"/>
    <n v="13.53"/>
    <n v="13.59"/>
    <n v="6.5"/>
    <n v="275.3"/>
    <n v="303"/>
    <n v="2"/>
    <n v="51"/>
  </r>
  <r>
    <n v="1324"/>
    <s v="2023-03-04"/>
    <n v="2023"/>
    <s v="Q1"/>
    <x v="2"/>
    <x v="3"/>
    <x v="1"/>
    <x v="1166"/>
    <x v="1"/>
    <n v="30"/>
    <x v="464"/>
    <n v="90.18"/>
    <n v="5.0599999999999996"/>
    <n v="19.48"/>
    <n v="7.34"/>
    <n v="550.92999999999995"/>
    <n v="432"/>
    <n v="1"/>
    <n v="95"/>
  </r>
  <r>
    <n v="1325"/>
    <s v="2023-03-15"/>
    <n v="2023"/>
    <s v="Q1"/>
    <x v="2"/>
    <x v="7"/>
    <x v="4"/>
    <x v="1167"/>
    <x v="4"/>
    <n v="50"/>
    <x v="76"/>
    <n v="93.26"/>
    <n v="15.26"/>
    <n v="19.04"/>
    <n v="15.96"/>
    <n v="272.83999999999997"/>
    <n v="464"/>
    <n v="3"/>
    <n v="117"/>
  </r>
  <r>
    <n v="1326"/>
    <s v="2023-03-25"/>
    <n v="2023"/>
    <s v="Q1"/>
    <x v="2"/>
    <x v="2"/>
    <x v="0"/>
    <x v="1168"/>
    <x v="3"/>
    <n v="7"/>
    <x v="310"/>
    <n v="80.72"/>
    <n v="21.28"/>
    <n v="19.010000000000002"/>
    <n v="5.48"/>
    <n v="164.3"/>
    <n v="419"/>
    <n v="4"/>
    <n v="151"/>
  </r>
  <r>
    <n v="1327"/>
    <s v="2023-04-16"/>
    <n v="2023"/>
    <s v="Q2"/>
    <x v="3"/>
    <x v="5"/>
    <x v="0"/>
    <x v="557"/>
    <x v="4"/>
    <n v="9"/>
    <x v="157"/>
    <n v="84.53"/>
    <n v="26.03"/>
    <n v="20.97"/>
    <n v="4.1900000000000004"/>
    <n v="142"/>
    <n v="213"/>
    <n v="2"/>
    <n v="213"/>
  </r>
  <r>
    <n v="1328"/>
    <s v="2023-03-31"/>
    <n v="2023"/>
    <s v="Q2"/>
    <x v="3"/>
    <x v="1"/>
    <x v="2"/>
    <x v="1169"/>
    <x v="0"/>
    <n v="41"/>
    <x v="410"/>
    <n v="85.33"/>
    <n v="9.39"/>
    <n v="5.57"/>
    <n v="11.24"/>
    <n v="317"/>
    <n v="964"/>
    <n v="2"/>
    <n v="206"/>
  </r>
  <r>
    <n v="1329"/>
    <s v="2023-04-18"/>
    <n v="2023"/>
    <s v="Q2"/>
    <x v="3"/>
    <x v="1"/>
    <x v="2"/>
    <x v="1170"/>
    <x v="4"/>
    <n v="39"/>
    <x v="251"/>
    <n v="79.959999999999994"/>
    <n v="11.92"/>
    <n v="11.24"/>
    <n v="15.58"/>
    <n v="464.36"/>
    <n v="300"/>
    <n v="4"/>
    <n v="89"/>
  </r>
  <r>
    <n v="1330"/>
    <s v="2023-04-15"/>
    <n v="2023"/>
    <s v="Q2"/>
    <x v="3"/>
    <x v="4"/>
    <x v="4"/>
    <x v="1171"/>
    <x v="3"/>
    <n v="3"/>
    <x v="449"/>
    <n v="92.96"/>
    <n v="33.049999999999997"/>
    <n v="7.58"/>
    <n v="6.32"/>
    <n v="166.15"/>
    <n v="855"/>
    <n v="4"/>
    <n v="133"/>
  </r>
  <r>
    <n v="1331"/>
    <s v="2023-04-14"/>
    <n v="2023"/>
    <s v="Q2"/>
    <x v="3"/>
    <x v="5"/>
    <x v="0"/>
    <x v="1172"/>
    <x v="1"/>
    <n v="1"/>
    <x v="253"/>
    <n v="80.349999999999994"/>
    <n v="16.09"/>
    <n v="20.49"/>
    <n v="15.71"/>
    <n v="209.23"/>
    <n v="448"/>
    <n v="3"/>
    <n v="242"/>
  </r>
  <r>
    <n v="1332"/>
    <s v="2023-04-19"/>
    <n v="2023"/>
    <s v="Q2"/>
    <x v="3"/>
    <x v="1"/>
    <x v="1"/>
    <x v="1173"/>
    <x v="3"/>
    <n v="47"/>
    <x v="296"/>
    <n v="92.16"/>
    <n v="34.950000000000003"/>
    <n v="5.0199999999999996"/>
    <n v="6.68"/>
    <n v="132.88"/>
    <n v="576"/>
    <n v="3"/>
    <n v="134"/>
  </r>
  <r>
    <n v="1333"/>
    <s v="2023-04-19"/>
    <n v="2023"/>
    <s v="Q2"/>
    <x v="3"/>
    <x v="7"/>
    <x v="2"/>
    <x v="1174"/>
    <x v="0"/>
    <n v="15"/>
    <x v="53"/>
    <n v="94.46"/>
    <n v="9.26"/>
    <n v="19.309999999999999"/>
    <n v="2.04"/>
    <n v="579.36"/>
    <n v="1087"/>
    <n v="1"/>
    <n v="106"/>
  </r>
  <r>
    <n v="1334"/>
    <s v="2023-04-25"/>
    <n v="2023"/>
    <s v="Q2"/>
    <x v="3"/>
    <x v="7"/>
    <x v="2"/>
    <x v="1175"/>
    <x v="3"/>
    <n v="30"/>
    <x v="289"/>
    <n v="86.86"/>
    <n v="33.51"/>
    <n v="16.32"/>
    <n v="4.59"/>
    <n v="479.76"/>
    <n v="330"/>
    <n v="2"/>
    <n v="221"/>
  </r>
  <r>
    <n v="1335"/>
    <s v="2023-04-27"/>
    <n v="2023"/>
    <s v="Q2"/>
    <x v="3"/>
    <x v="2"/>
    <x v="1"/>
    <x v="1176"/>
    <x v="2"/>
    <n v="18"/>
    <x v="292"/>
    <n v="88.1"/>
    <n v="16.13"/>
    <n v="5.35"/>
    <n v="10.4"/>
    <n v="504.94"/>
    <n v="386"/>
    <n v="4"/>
    <n v="100"/>
  </r>
  <r>
    <n v="1336"/>
    <s v="2023-04-12"/>
    <n v="2023"/>
    <s v="Q2"/>
    <x v="3"/>
    <x v="3"/>
    <x v="4"/>
    <x v="1177"/>
    <x v="1"/>
    <n v="34"/>
    <x v="395"/>
    <n v="79.680000000000007"/>
    <n v="25.07"/>
    <n v="11.16"/>
    <n v="1.9"/>
    <n v="216.64"/>
    <n v="775"/>
    <n v="5"/>
    <n v="94"/>
  </r>
  <r>
    <n v="1337"/>
    <s v="2023-04-18"/>
    <n v="2023"/>
    <s v="Q2"/>
    <x v="3"/>
    <x v="1"/>
    <x v="1"/>
    <x v="1178"/>
    <x v="4"/>
    <n v="34"/>
    <x v="195"/>
    <n v="88.16"/>
    <n v="24.51"/>
    <n v="3.09"/>
    <n v="12.44"/>
    <n v="509.51"/>
    <n v="249"/>
    <n v="2"/>
    <n v="98"/>
  </r>
  <r>
    <n v="1338"/>
    <s v="2023-04-27"/>
    <n v="2023"/>
    <s v="Q2"/>
    <x v="3"/>
    <x v="0"/>
    <x v="0"/>
    <x v="1179"/>
    <x v="1"/>
    <n v="15"/>
    <x v="142"/>
    <n v="86.92"/>
    <n v="24.52"/>
    <n v="11.97"/>
    <n v="2.31"/>
    <n v="584.11"/>
    <n v="531"/>
    <n v="2"/>
    <n v="214"/>
  </r>
  <r>
    <n v="1339"/>
    <s v="2023-04-14"/>
    <n v="2023"/>
    <s v="Q2"/>
    <x v="3"/>
    <x v="5"/>
    <x v="2"/>
    <x v="1180"/>
    <x v="2"/>
    <n v="36"/>
    <x v="217"/>
    <n v="75.69"/>
    <n v="33.869999999999997"/>
    <n v="2.87"/>
    <n v="3.35"/>
    <n v="476.04"/>
    <n v="264"/>
    <n v="1"/>
    <n v="181"/>
  </r>
  <r>
    <n v="1340"/>
    <s v="2023-04-19"/>
    <n v="2023"/>
    <s v="Q2"/>
    <x v="3"/>
    <x v="7"/>
    <x v="0"/>
    <x v="847"/>
    <x v="3"/>
    <n v="34"/>
    <x v="395"/>
    <n v="79.89"/>
    <n v="19.34"/>
    <n v="21.88"/>
    <n v="12.73"/>
    <n v="455.43"/>
    <n v="699"/>
    <n v="5"/>
    <n v="116"/>
  </r>
  <r>
    <n v="1341"/>
    <s v="2023-04-04"/>
    <n v="2023"/>
    <s v="Q2"/>
    <x v="3"/>
    <x v="4"/>
    <x v="0"/>
    <x v="438"/>
    <x v="4"/>
    <n v="3"/>
    <x v="392"/>
    <n v="77.09"/>
    <n v="16.760000000000002"/>
    <n v="6.93"/>
    <n v="1.61"/>
    <n v="160.53"/>
    <n v="578"/>
    <n v="5"/>
    <n v="69"/>
  </r>
  <r>
    <n v="1342"/>
    <s v="2023-04-06"/>
    <n v="2023"/>
    <s v="Q2"/>
    <x v="3"/>
    <x v="5"/>
    <x v="4"/>
    <x v="1181"/>
    <x v="0"/>
    <n v="37"/>
    <x v="398"/>
    <n v="79.56"/>
    <n v="14.96"/>
    <n v="8.99"/>
    <n v="14.63"/>
    <n v="225.62"/>
    <n v="110"/>
    <n v="3"/>
    <n v="201"/>
  </r>
  <r>
    <n v="1343"/>
    <s v="2023-04-06"/>
    <n v="2023"/>
    <s v="Q2"/>
    <x v="3"/>
    <x v="7"/>
    <x v="3"/>
    <x v="644"/>
    <x v="2"/>
    <n v="36"/>
    <x v="244"/>
    <n v="78.989999999999995"/>
    <n v="17.940000000000001"/>
    <n v="13.23"/>
    <n v="12.94"/>
    <n v="528.92999999999995"/>
    <n v="100"/>
    <n v="4"/>
    <n v="200"/>
  </r>
  <r>
    <n v="1344"/>
    <s v="2023-04-02"/>
    <n v="2023"/>
    <s v="Q2"/>
    <x v="3"/>
    <x v="3"/>
    <x v="0"/>
    <x v="1182"/>
    <x v="3"/>
    <n v="1"/>
    <x v="84"/>
    <n v="92.38"/>
    <n v="19.68"/>
    <n v="20.11"/>
    <n v="6"/>
    <n v="300.83"/>
    <n v="419"/>
    <n v="1"/>
    <n v="224"/>
  </r>
  <r>
    <n v="1345"/>
    <s v="2023-04-11"/>
    <n v="2023"/>
    <s v="Q2"/>
    <x v="3"/>
    <x v="0"/>
    <x v="3"/>
    <x v="1183"/>
    <x v="3"/>
    <n v="47"/>
    <x v="225"/>
    <n v="75.61"/>
    <n v="9.24"/>
    <n v="2.48"/>
    <n v="7.18"/>
    <n v="380.41"/>
    <n v="696"/>
    <n v="5"/>
    <n v="59"/>
  </r>
  <r>
    <n v="1346"/>
    <s v="2023-04-18"/>
    <n v="2023"/>
    <s v="Q2"/>
    <x v="3"/>
    <x v="3"/>
    <x v="3"/>
    <x v="1184"/>
    <x v="2"/>
    <n v="4"/>
    <x v="465"/>
    <n v="90.08"/>
    <n v="6.03"/>
    <n v="2.0099999999999998"/>
    <n v="9.7899999999999991"/>
    <n v="289.49"/>
    <n v="253"/>
    <n v="2"/>
    <n v="56"/>
  </r>
  <r>
    <n v="1347"/>
    <s v="2023-04-08"/>
    <n v="2023"/>
    <s v="Q2"/>
    <x v="3"/>
    <x v="1"/>
    <x v="4"/>
    <x v="1185"/>
    <x v="1"/>
    <n v="46"/>
    <x v="162"/>
    <n v="89.05"/>
    <n v="18.96"/>
    <n v="10.18"/>
    <n v="7.74"/>
    <n v="551.07000000000005"/>
    <n v="346"/>
    <n v="4"/>
    <n v="147"/>
  </r>
  <r>
    <n v="1348"/>
    <s v="2023-04-04"/>
    <n v="2023"/>
    <s v="Q2"/>
    <x v="3"/>
    <x v="4"/>
    <x v="0"/>
    <x v="793"/>
    <x v="0"/>
    <n v="49"/>
    <x v="378"/>
    <n v="90.7"/>
    <n v="19.53"/>
    <n v="11.65"/>
    <n v="1.74"/>
    <n v="230.36"/>
    <n v="812"/>
    <n v="3"/>
    <n v="136"/>
  </r>
  <r>
    <n v="1349"/>
    <s v="2023-04-10"/>
    <n v="2023"/>
    <s v="Q2"/>
    <x v="3"/>
    <x v="5"/>
    <x v="4"/>
    <x v="1186"/>
    <x v="2"/>
    <n v="22"/>
    <x v="466"/>
    <n v="82.91"/>
    <n v="15.84"/>
    <n v="6.3"/>
    <n v="5.7"/>
    <n v="428.55"/>
    <n v="844"/>
    <n v="1"/>
    <n v="82"/>
  </r>
  <r>
    <n v="1350"/>
    <s v="2023-04-27"/>
    <n v="2023"/>
    <s v="Q2"/>
    <x v="3"/>
    <x v="6"/>
    <x v="0"/>
    <x v="1187"/>
    <x v="4"/>
    <n v="9"/>
    <x v="57"/>
    <n v="87.29"/>
    <n v="27.99"/>
    <n v="13.78"/>
    <n v="1.53"/>
    <n v="401.63"/>
    <n v="826"/>
    <n v="1"/>
    <n v="235"/>
  </r>
  <r>
    <n v="1351"/>
    <s v="2023-04-23"/>
    <n v="2023"/>
    <s v="Q2"/>
    <x v="3"/>
    <x v="7"/>
    <x v="2"/>
    <x v="81"/>
    <x v="4"/>
    <n v="15"/>
    <x v="463"/>
    <n v="75.39"/>
    <n v="19.649999999999999"/>
    <n v="21.66"/>
    <n v="2.64"/>
    <n v="493.02"/>
    <n v="593"/>
    <n v="4"/>
    <n v="64"/>
  </r>
  <r>
    <n v="1352"/>
    <s v="2023-04-14"/>
    <n v="2023"/>
    <s v="Q2"/>
    <x v="3"/>
    <x v="1"/>
    <x v="3"/>
    <x v="1188"/>
    <x v="3"/>
    <n v="25"/>
    <x v="467"/>
    <n v="91.57"/>
    <n v="19.809999999999999"/>
    <n v="18.190000000000001"/>
    <n v="13.5"/>
    <n v="267.45"/>
    <n v="836"/>
    <n v="4"/>
    <n v="234"/>
  </r>
  <r>
    <n v="1353"/>
    <s v="2023-04-19"/>
    <n v="2023"/>
    <s v="Q2"/>
    <x v="3"/>
    <x v="7"/>
    <x v="2"/>
    <x v="1189"/>
    <x v="0"/>
    <n v="34"/>
    <x v="335"/>
    <n v="87.29"/>
    <n v="31.24"/>
    <n v="20.22"/>
    <n v="8.36"/>
    <n v="394.01"/>
    <n v="460"/>
    <n v="3"/>
    <n v="122"/>
  </r>
  <r>
    <n v="1354"/>
    <s v="2023-04-14"/>
    <n v="2023"/>
    <s v="Q2"/>
    <x v="3"/>
    <x v="7"/>
    <x v="0"/>
    <x v="1190"/>
    <x v="1"/>
    <n v="44"/>
    <x v="38"/>
    <n v="85.19"/>
    <n v="34.76"/>
    <n v="17.010000000000002"/>
    <n v="1.08"/>
    <n v="133.57"/>
    <n v="423"/>
    <n v="3"/>
    <n v="63"/>
  </r>
  <r>
    <n v="1355"/>
    <s v="2023-04-12"/>
    <n v="2023"/>
    <s v="Q2"/>
    <x v="3"/>
    <x v="1"/>
    <x v="4"/>
    <x v="1191"/>
    <x v="1"/>
    <n v="21"/>
    <x v="66"/>
    <n v="88.98"/>
    <n v="11.88"/>
    <n v="9.67"/>
    <n v="4.95"/>
    <n v="572.28"/>
    <n v="123"/>
    <n v="4"/>
    <n v="207"/>
  </r>
  <r>
    <n v="1356"/>
    <s v="2023-04-23"/>
    <n v="2023"/>
    <s v="Q2"/>
    <x v="3"/>
    <x v="0"/>
    <x v="3"/>
    <x v="1120"/>
    <x v="4"/>
    <n v="22"/>
    <x v="239"/>
    <n v="92.36"/>
    <n v="23.72"/>
    <n v="17.739999999999998"/>
    <n v="2.44"/>
    <n v="137.9"/>
    <n v="1044"/>
    <n v="1"/>
    <n v="63"/>
  </r>
  <r>
    <n v="1357"/>
    <s v="2023-04-16"/>
    <n v="2023"/>
    <s v="Q2"/>
    <x v="3"/>
    <x v="7"/>
    <x v="0"/>
    <x v="1192"/>
    <x v="0"/>
    <n v="5"/>
    <x v="373"/>
    <n v="93.55"/>
    <n v="29.63"/>
    <n v="18.27"/>
    <n v="10.88"/>
    <n v="538.55999999999995"/>
    <n v="415"/>
    <n v="2"/>
    <n v="213"/>
  </r>
  <r>
    <n v="1358"/>
    <s v="2023-04-12"/>
    <n v="2023"/>
    <s v="Q2"/>
    <x v="3"/>
    <x v="1"/>
    <x v="0"/>
    <x v="1193"/>
    <x v="3"/>
    <n v="10"/>
    <x v="468"/>
    <n v="89.28"/>
    <n v="23.21"/>
    <n v="17.239999999999998"/>
    <n v="15.41"/>
    <n v="493.6"/>
    <n v="741"/>
    <n v="4"/>
    <n v="93"/>
  </r>
  <r>
    <n v="1359"/>
    <s v="2023-04-21"/>
    <n v="2023"/>
    <s v="Q2"/>
    <x v="3"/>
    <x v="7"/>
    <x v="3"/>
    <x v="1194"/>
    <x v="1"/>
    <n v="24"/>
    <x v="382"/>
    <n v="81.25"/>
    <n v="23.61"/>
    <n v="4.3600000000000003"/>
    <n v="13.47"/>
    <n v="563.79999999999995"/>
    <n v="544"/>
    <n v="4"/>
    <n v="202"/>
  </r>
  <r>
    <n v="1360"/>
    <s v="2023-04-26"/>
    <n v="2023"/>
    <s v="Q2"/>
    <x v="3"/>
    <x v="7"/>
    <x v="0"/>
    <x v="1195"/>
    <x v="2"/>
    <n v="3"/>
    <x v="262"/>
    <n v="76.28"/>
    <n v="21.5"/>
    <n v="3.09"/>
    <n v="10.06"/>
    <n v="527.97"/>
    <n v="123"/>
    <n v="4"/>
    <n v="232"/>
  </r>
  <r>
    <n v="1361"/>
    <s v="2023-05-08"/>
    <n v="2023"/>
    <s v="Q2"/>
    <x v="4"/>
    <x v="2"/>
    <x v="1"/>
    <x v="1196"/>
    <x v="0"/>
    <n v="37"/>
    <x v="447"/>
    <n v="86.51"/>
    <n v="9.67"/>
    <n v="15.29"/>
    <n v="6.99"/>
    <n v="559.61"/>
    <n v="509"/>
    <n v="3"/>
    <n v="96"/>
  </r>
  <r>
    <n v="1362"/>
    <s v="2023-05-14"/>
    <n v="2023"/>
    <s v="Q2"/>
    <x v="4"/>
    <x v="2"/>
    <x v="0"/>
    <x v="646"/>
    <x v="4"/>
    <n v="42"/>
    <x v="469"/>
    <n v="92.68"/>
    <n v="21.5"/>
    <n v="14.83"/>
    <n v="12"/>
    <n v="493.88"/>
    <n v="349"/>
    <n v="3"/>
    <n v="106"/>
  </r>
  <r>
    <n v="1363"/>
    <s v="2023-05-19"/>
    <n v="2023"/>
    <s v="Q2"/>
    <x v="4"/>
    <x v="3"/>
    <x v="2"/>
    <x v="1197"/>
    <x v="0"/>
    <n v="44"/>
    <x v="429"/>
    <n v="83.23"/>
    <n v="12.44"/>
    <n v="12.17"/>
    <n v="8.84"/>
    <n v="509.26"/>
    <n v="358"/>
    <n v="3"/>
    <n v="137"/>
  </r>
  <r>
    <n v="1364"/>
    <s v="2023-05-21"/>
    <n v="2023"/>
    <s v="Q2"/>
    <x v="4"/>
    <x v="3"/>
    <x v="2"/>
    <x v="1198"/>
    <x v="3"/>
    <n v="44"/>
    <x v="90"/>
    <n v="77.3"/>
    <n v="21.19"/>
    <n v="11.14"/>
    <n v="3.35"/>
    <n v="455.63"/>
    <n v="281"/>
    <n v="2"/>
    <n v="111"/>
  </r>
  <r>
    <n v="1365"/>
    <s v="2023-05-11"/>
    <n v="2023"/>
    <s v="Q2"/>
    <x v="4"/>
    <x v="4"/>
    <x v="2"/>
    <x v="1199"/>
    <x v="1"/>
    <n v="35"/>
    <x v="444"/>
    <n v="84.87"/>
    <n v="11.85"/>
    <n v="8.64"/>
    <n v="8.19"/>
    <n v="517.17999999999995"/>
    <n v="726"/>
    <n v="3"/>
    <n v="140"/>
  </r>
  <r>
    <n v="1366"/>
    <s v="2023-05-21"/>
    <n v="2023"/>
    <s v="Q2"/>
    <x v="4"/>
    <x v="5"/>
    <x v="3"/>
    <x v="1200"/>
    <x v="3"/>
    <n v="20"/>
    <x v="354"/>
    <n v="92.88"/>
    <n v="26.5"/>
    <n v="3.81"/>
    <n v="6.62"/>
    <n v="126.92"/>
    <n v="591"/>
    <n v="3"/>
    <n v="191"/>
  </r>
  <r>
    <n v="1367"/>
    <s v="2023-05-19"/>
    <n v="2023"/>
    <s v="Q2"/>
    <x v="4"/>
    <x v="4"/>
    <x v="4"/>
    <x v="1201"/>
    <x v="1"/>
    <n v="41"/>
    <x v="30"/>
    <n v="86.9"/>
    <n v="28.12"/>
    <n v="7.02"/>
    <n v="7.9"/>
    <n v="125.3"/>
    <n v="840"/>
    <n v="5"/>
    <n v="121"/>
  </r>
  <r>
    <n v="1368"/>
    <s v="2023-05-26"/>
    <n v="2023"/>
    <s v="Q2"/>
    <x v="4"/>
    <x v="3"/>
    <x v="4"/>
    <x v="1202"/>
    <x v="2"/>
    <n v="35"/>
    <x v="158"/>
    <n v="75.83"/>
    <n v="24.96"/>
    <n v="6.19"/>
    <n v="9.7100000000000009"/>
    <n v="284.10000000000002"/>
    <n v="382"/>
    <n v="3"/>
    <n v="222"/>
  </r>
  <r>
    <n v="1369"/>
    <s v="2023-04-30"/>
    <n v="2023"/>
    <s v="Q2"/>
    <x v="4"/>
    <x v="4"/>
    <x v="2"/>
    <x v="1203"/>
    <x v="2"/>
    <n v="26"/>
    <x v="120"/>
    <n v="93.24"/>
    <n v="22.92"/>
    <n v="12.11"/>
    <n v="10.63"/>
    <n v="565.95000000000005"/>
    <n v="276"/>
    <n v="2"/>
    <n v="217"/>
  </r>
  <r>
    <n v="1370"/>
    <s v="2023-05-04"/>
    <n v="2023"/>
    <s v="Q2"/>
    <x v="4"/>
    <x v="3"/>
    <x v="2"/>
    <x v="1204"/>
    <x v="1"/>
    <n v="39"/>
    <x v="385"/>
    <n v="89.64"/>
    <n v="17.03"/>
    <n v="2.4300000000000002"/>
    <n v="7.06"/>
    <n v="312.61"/>
    <n v="682"/>
    <n v="1"/>
    <n v="94"/>
  </r>
  <r>
    <n v="1371"/>
    <s v="2023-05-27"/>
    <n v="2023"/>
    <s v="Q2"/>
    <x v="4"/>
    <x v="7"/>
    <x v="2"/>
    <x v="1205"/>
    <x v="4"/>
    <n v="29"/>
    <x v="419"/>
    <n v="86.71"/>
    <n v="19.77"/>
    <n v="10.31"/>
    <n v="5.23"/>
    <n v="355.55"/>
    <n v="395"/>
    <n v="2"/>
    <n v="87"/>
  </r>
  <r>
    <n v="1372"/>
    <s v="2023-05-24"/>
    <n v="2023"/>
    <s v="Q2"/>
    <x v="4"/>
    <x v="7"/>
    <x v="2"/>
    <x v="1206"/>
    <x v="0"/>
    <n v="16"/>
    <x v="451"/>
    <n v="83.47"/>
    <n v="26.44"/>
    <n v="15.95"/>
    <n v="13.48"/>
    <n v="390.49"/>
    <n v="830"/>
    <n v="5"/>
    <n v="193"/>
  </r>
  <r>
    <n v="1373"/>
    <s v="2023-05-02"/>
    <n v="2023"/>
    <s v="Q2"/>
    <x v="4"/>
    <x v="5"/>
    <x v="3"/>
    <x v="240"/>
    <x v="3"/>
    <n v="11"/>
    <x v="211"/>
    <n v="90.26"/>
    <n v="7.13"/>
    <n v="17.25"/>
    <n v="10.23"/>
    <n v="107.45"/>
    <n v="221"/>
    <n v="2"/>
    <n v="98"/>
  </r>
  <r>
    <n v="1374"/>
    <s v="2023-05-23"/>
    <n v="2023"/>
    <s v="Q2"/>
    <x v="4"/>
    <x v="7"/>
    <x v="4"/>
    <x v="1207"/>
    <x v="1"/>
    <n v="4"/>
    <x v="368"/>
    <n v="86.87"/>
    <n v="32.479999999999997"/>
    <n v="9.25"/>
    <n v="2.93"/>
    <n v="120.14"/>
    <n v="325"/>
    <n v="2"/>
    <n v="92"/>
  </r>
  <r>
    <n v="1375"/>
    <s v="2023-05-02"/>
    <n v="2023"/>
    <s v="Q2"/>
    <x v="4"/>
    <x v="1"/>
    <x v="0"/>
    <x v="1208"/>
    <x v="1"/>
    <n v="47"/>
    <x v="126"/>
    <n v="85.88"/>
    <n v="34.130000000000003"/>
    <n v="10.18"/>
    <n v="8.1999999999999993"/>
    <n v="339.85"/>
    <n v="259"/>
    <n v="5"/>
    <n v="68"/>
  </r>
  <r>
    <n v="1376"/>
    <s v="2023-05-03"/>
    <n v="2023"/>
    <s v="Q2"/>
    <x v="4"/>
    <x v="6"/>
    <x v="1"/>
    <x v="1209"/>
    <x v="2"/>
    <n v="28"/>
    <x v="183"/>
    <n v="82.79"/>
    <n v="9.31"/>
    <n v="5.44"/>
    <n v="3.8"/>
    <n v="189.23"/>
    <n v="855"/>
    <n v="3"/>
    <n v="57"/>
  </r>
  <r>
    <n v="1377"/>
    <s v="2023-05-18"/>
    <n v="2023"/>
    <s v="Q2"/>
    <x v="4"/>
    <x v="6"/>
    <x v="2"/>
    <x v="1210"/>
    <x v="1"/>
    <n v="5"/>
    <x v="146"/>
    <n v="90.48"/>
    <n v="31.02"/>
    <n v="12.31"/>
    <n v="9.2799999999999994"/>
    <n v="485.42"/>
    <n v="338"/>
    <n v="3"/>
    <n v="129"/>
  </r>
  <r>
    <n v="1378"/>
    <s v="2023-05-11"/>
    <n v="2023"/>
    <s v="Q2"/>
    <x v="4"/>
    <x v="4"/>
    <x v="0"/>
    <x v="327"/>
    <x v="1"/>
    <n v="41"/>
    <x v="387"/>
    <n v="79.489999999999995"/>
    <n v="21.4"/>
    <n v="4.3099999999999996"/>
    <n v="6.75"/>
    <n v="205.87"/>
    <n v="328"/>
    <n v="1"/>
    <n v="116"/>
  </r>
  <r>
    <n v="1379"/>
    <s v="2023-05-06"/>
    <n v="2023"/>
    <s v="Q2"/>
    <x v="4"/>
    <x v="1"/>
    <x v="3"/>
    <x v="1211"/>
    <x v="3"/>
    <n v="9"/>
    <x v="280"/>
    <n v="89.09"/>
    <n v="20.86"/>
    <n v="16.440000000000001"/>
    <n v="3.93"/>
    <n v="323.02"/>
    <n v="180"/>
    <n v="5"/>
    <n v="232"/>
  </r>
  <r>
    <n v="1380"/>
    <s v="2023-05-19"/>
    <n v="2023"/>
    <s v="Q2"/>
    <x v="4"/>
    <x v="2"/>
    <x v="4"/>
    <x v="1212"/>
    <x v="3"/>
    <n v="28"/>
    <x v="314"/>
    <n v="84.79"/>
    <n v="22.64"/>
    <n v="14.97"/>
    <n v="4"/>
    <n v="167.75"/>
    <n v="655"/>
    <n v="2"/>
    <n v="248"/>
  </r>
  <r>
    <n v="1381"/>
    <s v="2023-05-24"/>
    <n v="2023"/>
    <s v="Q2"/>
    <x v="4"/>
    <x v="1"/>
    <x v="4"/>
    <x v="1213"/>
    <x v="3"/>
    <n v="50"/>
    <x v="56"/>
    <n v="91.97"/>
    <n v="24.36"/>
    <n v="21.27"/>
    <n v="14.06"/>
    <n v="252.97"/>
    <n v="807"/>
    <n v="1"/>
    <n v="233"/>
  </r>
  <r>
    <n v="1382"/>
    <s v="2023-05-07"/>
    <n v="2023"/>
    <s v="Q2"/>
    <x v="4"/>
    <x v="2"/>
    <x v="3"/>
    <x v="1214"/>
    <x v="4"/>
    <n v="21"/>
    <x v="431"/>
    <n v="79.48"/>
    <n v="14.79"/>
    <n v="18.309999999999999"/>
    <n v="10.42"/>
    <n v="198.99"/>
    <n v="443"/>
    <n v="1"/>
    <n v="161"/>
  </r>
  <r>
    <n v="1383"/>
    <s v="2023-05-04"/>
    <n v="2023"/>
    <s v="Q2"/>
    <x v="4"/>
    <x v="4"/>
    <x v="0"/>
    <x v="1215"/>
    <x v="0"/>
    <n v="22"/>
    <x v="78"/>
    <n v="89.73"/>
    <n v="8.08"/>
    <n v="4.3899999999999997"/>
    <n v="2.19"/>
    <n v="174.81"/>
    <n v="935"/>
    <n v="5"/>
    <n v="227"/>
  </r>
  <r>
    <n v="1384"/>
    <s v="2023-05-26"/>
    <n v="2023"/>
    <s v="Q2"/>
    <x v="4"/>
    <x v="7"/>
    <x v="3"/>
    <x v="1216"/>
    <x v="4"/>
    <n v="36"/>
    <x v="470"/>
    <n v="78.930000000000007"/>
    <n v="34.07"/>
    <n v="4.5199999999999996"/>
    <n v="10.37"/>
    <n v="339.17"/>
    <n v="662"/>
    <n v="5"/>
    <n v="182"/>
  </r>
  <r>
    <n v="1385"/>
    <s v="2023-05-09"/>
    <n v="2023"/>
    <s v="Q2"/>
    <x v="4"/>
    <x v="6"/>
    <x v="2"/>
    <x v="1217"/>
    <x v="2"/>
    <n v="6"/>
    <x v="107"/>
    <n v="83.58"/>
    <n v="32.03"/>
    <n v="21.03"/>
    <n v="14.4"/>
    <n v="454.53"/>
    <n v="659"/>
    <n v="2"/>
    <n v="126"/>
  </r>
  <r>
    <n v="1386"/>
    <s v="2023-05-17"/>
    <n v="2023"/>
    <s v="Q2"/>
    <x v="4"/>
    <x v="7"/>
    <x v="4"/>
    <x v="1218"/>
    <x v="4"/>
    <n v="34"/>
    <x v="276"/>
    <n v="77"/>
    <n v="7.03"/>
    <n v="4.5199999999999996"/>
    <n v="14.77"/>
    <n v="582.96"/>
    <n v="665"/>
    <n v="2"/>
    <n v="89"/>
  </r>
  <r>
    <n v="1387"/>
    <s v="2023-05-09"/>
    <n v="2023"/>
    <s v="Q2"/>
    <x v="4"/>
    <x v="1"/>
    <x v="4"/>
    <x v="1219"/>
    <x v="4"/>
    <n v="49"/>
    <x v="59"/>
    <n v="89.67"/>
    <n v="15.32"/>
    <n v="5.64"/>
    <n v="7.62"/>
    <n v="323.89"/>
    <n v="113"/>
    <n v="5"/>
    <n v="200"/>
  </r>
  <r>
    <n v="1388"/>
    <s v="2023-04-30"/>
    <n v="2023"/>
    <s v="Q2"/>
    <x v="4"/>
    <x v="1"/>
    <x v="2"/>
    <x v="892"/>
    <x v="2"/>
    <n v="33"/>
    <x v="218"/>
    <n v="91.01"/>
    <n v="7.14"/>
    <n v="3.19"/>
    <n v="10.4"/>
    <n v="408.27"/>
    <n v="941"/>
    <n v="2"/>
    <n v="159"/>
  </r>
  <r>
    <n v="1389"/>
    <s v="2023-05-26"/>
    <n v="2023"/>
    <s v="Q2"/>
    <x v="4"/>
    <x v="4"/>
    <x v="0"/>
    <x v="919"/>
    <x v="0"/>
    <n v="17"/>
    <x v="455"/>
    <n v="92.33"/>
    <n v="20.82"/>
    <n v="21.47"/>
    <n v="8.94"/>
    <n v="431.82"/>
    <n v="404"/>
    <n v="5"/>
    <n v="155"/>
  </r>
  <r>
    <n v="1390"/>
    <s v="2023-05-26"/>
    <n v="2023"/>
    <s v="Q2"/>
    <x v="4"/>
    <x v="6"/>
    <x v="3"/>
    <x v="901"/>
    <x v="4"/>
    <n v="34"/>
    <x v="183"/>
    <n v="89.93"/>
    <n v="17.46"/>
    <n v="13.09"/>
    <n v="4.22"/>
    <n v="475.42"/>
    <n v="814"/>
    <n v="3"/>
    <n v="176"/>
  </r>
  <r>
    <n v="1391"/>
    <s v="2023-05-24"/>
    <n v="2023"/>
    <s v="Q2"/>
    <x v="4"/>
    <x v="7"/>
    <x v="1"/>
    <x v="1220"/>
    <x v="0"/>
    <n v="31"/>
    <x v="207"/>
    <n v="83.66"/>
    <n v="21.28"/>
    <n v="17.329999999999998"/>
    <n v="1.88"/>
    <n v="345.27"/>
    <n v="727"/>
    <n v="2"/>
    <n v="65"/>
  </r>
  <r>
    <n v="1392"/>
    <s v="2023-05-21"/>
    <n v="2023"/>
    <s v="Q2"/>
    <x v="4"/>
    <x v="0"/>
    <x v="2"/>
    <x v="1221"/>
    <x v="4"/>
    <n v="33"/>
    <x v="186"/>
    <n v="77.33"/>
    <n v="16.66"/>
    <n v="4.5"/>
    <n v="7.27"/>
    <n v="577.38"/>
    <n v="514"/>
    <n v="3"/>
    <n v="82"/>
  </r>
  <r>
    <n v="1393"/>
    <s v="2023-05-19"/>
    <n v="2023"/>
    <s v="Q2"/>
    <x v="4"/>
    <x v="4"/>
    <x v="1"/>
    <x v="1222"/>
    <x v="4"/>
    <n v="25"/>
    <x v="387"/>
    <n v="82.81"/>
    <n v="34.78"/>
    <n v="16.95"/>
    <n v="7.83"/>
    <n v="212.16"/>
    <n v="384"/>
    <n v="5"/>
    <n v="56"/>
  </r>
  <r>
    <n v="1394"/>
    <s v="2023-05-17"/>
    <n v="2023"/>
    <s v="Q2"/>
    <x v="4"/>
    <x v="0"/>
    <x v="4"/>
    <x v="1223"/>
    <x v="3"/>
    <n v="25"/>
    <x v="344"/>
    <n v="80.91"/>
    <n v="21.25"/>
    <n v="9.7899999999999991"/>
    <n v="10.86"/>
    <n v="539.39"/>
    <n v="576"/>
    <n v="5"/>
    <n v="109"/>
  </r>
  <r>
    <n v="1395"/>
    <s v="2023-06-20"/>
    <n v="2023"/>
    <s v="Q2"/>
    <x v="5"/>
    <x v="5"/>
    <x v="0"/>
    <x v="725"/>
    <x v="1"/>
    <n v="45"/>
    <x v="415"/>
    <n v="80.61"/>
    <n v="10.56"/>
    <n v="21.97"/>
    <n v="12.15"/>
    <n v="230.93"/>
    <n v="664"/>
    <n v="2"/>
    <n v="76"/>
  </r>
  <r>
    <n v="1396"/>
    <s v="2023-06-13"/>
    <n v="2023"/>
    <s v="Q2"/>
    <x v="5"/>
    <x v="2"/>
    <x v="2"/>
    <x v="431"/>
    <x v="4"/>
    <n v="31"/>
    <x v="103"/>
    <n v="76.47"/>
    <n v="34.700000000000003"/>
    <n v="18.04"/>
    <n v="9.18"/>
    <n v="204.99"/>
    <n v="445"/>
    <n v="5"/>
    <n v="221"/>
  </r>
  <r>
    <n v="1397"/>
    <s v="2023-06-22"/>
    <n v="2023"/>
    <s v="Q2"/>
    <x v="5"/>
    <x v="0"/>
    <x v="3"/>
    <x v="1224"/>
    <x v="3"/>
    <n v="10"/>
    <x v="190"/>
    <n v="90.71"/>
    <n v="5.29"/>
    <n v="11.39"/>
    <n v="12.73"/>
    <n v="110.86"/>
    <n v="699"/>
    <n v="2"/>
    <n v="71"/>
  </r>
  <r>
    <n v="1398"/>
    <s v="2023-06-10"/>
    <n v="2023"/>
    <s v="Q2"/>
    <x v="5"/>
    <x v="3"/>
    <x v="1"/>
    <x v="1225"/>
    <x v="2"/>
    <n v="15"/>
    <x v="185"/>
    <n v="81.680000000000007"/>
    <n v="15.09"/>
    <n v="16.38"/>
    <n v="6.95"/>
    <n v="321.41000000000003"/>
    <n v="898"/>
    <n v="5"/>
    <n v="227"/>
  </r>
  <r>
    <n v="1399"/>
    <s v="2023-06-15"/>
    <n v="2023"/>
    <s v="Q2"/>
    <x v="5"/>
    <x v="5"/>
    <x v="3"/>
    <x v="1226"/>
    <x v="2"/>
    <n v="12"/>
    <x v="402"/>
    <n v="86.14"/>
    <n v="17.39"/>
    <n v="13.43"/>
    <n v="12.4"/>
    <n v="170.5"/>
    <n v="443"/>
    <n v="2"/>
    <n v="191"/>
  </r>
  <r>
    <n v="1400"/>
    <s v="2023-06-02"/>
    <n v="2023"/>
    <s v="Q2"/>
    <x v="5"/>
    <x v="4"/>
    <x v="4"/>
    <x v="1227"/>
    <x v="4"/>
    <n v="27"/>
    <x v="449"/>
    <n v="87.89"/>
    <n v="21.23"/>
    <n v="19.43"/>
    <n v="4.21"/>
    <n v="459.5"/>
    <n v="455"/>
    <n v="5"/>
    <n v="205"/>
  </r>
  <r>
    <n v="1401"/>
    <s v="2023-06-16"/>
    <n v="2023"/>
    <s v="Q2"/>
    <x v="5"/>
    <x v="5"/>
    <x v="2"/>
    <x v="1228"/>
    <x v="0"/>
    <n v="39"/>
    <x v="67"/>
    <n v="78.98"/>
    <n v="17.2"/>
    <n v="2.35"/>
    <n v="6.16"/>
    <n v="441.67"/>
    <n v="983"/>
    <n v="2"/>
    <n v="149"/>
  </r>
  <r>
    <n v="1402"/>
    <s v="2023-06-02"/>
    <n v="2023"/>
    <s v="Q2"/>
    <x v="5"/>
    <x v="0"/>
    <x v="4"/>
    <x v="1229"/>
    <x v="2"/>
    <n v="49"/>
    <x v="465"/>
    <n v="81.2"/>
    <n v="33.82"/>
    <n v="4.9000000000000004"/>
    <n v="7.25"/>
    <n v="288.41000000000003"/>
    <n v="561"/>
    <n v="3"/>
    <n v="241"/>
  </r>
  <r>
    <n v="1403"/>
    <s v="2023-06-12"/>
    <n v="2023"/>
    <s v="Q2"/>
    <x v="5"/>
    <x v="3"/>
    <x v="0"/>
    <x v="1230"/>
    <x v="4"/>
    <n v="22"/>
    <x v="154"/>
    <n v="89.7"/>
    <n v="17.079999999999998"/>
    <n v="5.7"/>
    <n v="7.83"/>
    <n v="165.9"/>
    <n v="700"/>
    <n v="2"/>
    <n v="242"/>
  </r>
  <r>
    <n v="1404"/>
    <s v="2023-06-01"/>
    <n v="2023"/>
    <s v="Q2"/>
    <x v="5"/>
    <x v="6"/>
    <x v="0"/>
    <x v="48"/>
    <x v="0"/>
    <n v="50"/>
    <x v="285"/>
    <n v="81.400000000000006"/>
    <n v="33.86"/>
    <n v="21.51"/>
    <n v="11.32"/>
    <n v="233.8"/>
    <n v="991"/>
    <n v="4"/>
    <n v="117"/>
  </r>
  <r>
    <n v="1405"/>
    <s v="2023-06-05"/>
    <n v="2023"/>
    <s v="Q2"/>
    <x v="5"/>
    <x v="1"/>
    <x v="0"/>
    <x v="1231"/>
    <x v="0"/>
    <n v="43"/>
    <x v="408"/>
    <n v="82.54"/>
    <n v="7.99"/>
    <n v="12.81"/>
    <n v="13.21"/>
    <n v="159.43"/>
    <n v="944"/>
    <n v="5"/>
    <n v="183"/>
  </r>
  <r>
    <n v="1406"/>
    <s v="2023-06-10"/>
    <n v="2023"/>
    <s v="Q2"/>
    <x v="5"/>
    <x v="0"/>
    <x v="4"/>
    <x v="1232"/>
    <x v="3"/>
    <n v="49"/>
    <x v="151"/>
    <n v="78.25"/>
    <n v="27.23"/>
    <n v="12.8"/>
    <n v="5.7"/>
    <n v="465.97"/>
    <n v="957"/>
    <n v="3"/>
    <n v="218"/>
  </r>
  <r>
    <n v="1407"/>
    <s v="2023-06-14"/>
    <n v="2023"/>
    <s v="Q2"/>
    <x v="5"/>
    <x v="2"/>
    <x v="0"/>
    <x v="1229"/>
    <x v="2"/>
    <n v="35"/>
    <x v="466"/>
    <n v="79.92"/>
    <n v="13.8"/>
    <n v="12.76"/>
    <n v="4.59"/>
    <n v="536.6"/>
    <n v="1092"/>
    <n v="4"/>
    <n v="101"/>
  </r>
  <r>
    <n v="1408"/>
    <s v="2023-06-13"/>
    <n v="2023"/>
    <s v="Q2"/>
    <x v="5"/>
    <x v="2"/>
    <x v="3"/>
    <x v="1233"/>
    <x v="0"/>
    <n v="26"/>
    <x v="466"/>
    <n v="88.01"/>
    <n v="7.11"/>
    <n v="10.63"/>
    <n v="6.8"/>
    <n v="501.69"/>
    <n v="876"/>
    <n v="2"/>
    <n v="57"/>
  </r>
  <r>
    <n v="1409"/>
    <s v="2023-06-27"/>
    <n v="2023"/>
    <s v="Q2"/>
    <x v="5"/>
    <x v="0"/>
    <x v="1"/>
    <x v="270"/>
    <x v="2"/>
    <n v="19"/>
    <x v="305"/>
    <n v="77.040000000000006"/>
    <n v="19.760000000000002"/>
    <n v="10.78"/>
    <n v="4.38"/>
    <n v="229.75"/>
    <n v="314"/>
    <n v="5"/>
    <n v="218"/>
  </r>
  <r>
    <n v="1410"/>
    <s v="2023-06-18"/>
    <n v="2023"/>
    <s v="Q2"/>
    <x v="5"/>
    <x v="5"/>
    <x v="4"/>
    <x v="1234"/>
    <x v="1"/>
    <n v="40"/>
    <x v="76"/>
    <n v="94.62"/>
    <n v="17.25"/>
    <n v="17.5"/>
    <n v="4.5599999999999996"/>
    <n v="513.92999999999995"/>
    <n v="151"/>
    <n v="2"/>
    <n v="133"/>
  </r>
  <r>
    <n v="1411"/>
    <s v="2023-06-03"/>
    <n v="2023"/>
    <s v="Q2"/>
    <x v="5"/>
    <x v="3"/>
    <x v="2"/>
    <x v="1235"/>
    <x v="1"/>
    <n v="26"/>
    <x v="33"/>
    <n v="83.25"/>
    <n v="14.75"/>
    <n v="20.440000000000001"/>
    <n v="10.38"/>
    <n v="588.55999999999995"/>
    <n v="444"/>
    <n v="2"/>
    <n v="70"/>
  </r>
  <r>
    <n v="1412"/>
    <s v="2023-06-01"/>
    <n v="2023"/>
    <s v="Q2"/>
    <x v="5"/>
    <x v="1"/>
    <x v="1"/>
    <x v="1236"/>
    <x v="4"/>
    <n v="44"/>
    <x v="380"/>
    <n v="88.59"/>
    <n v="27.79"/>
    <n v="5.97"/>
    <n v="6.98"/>
    <n v="162.53"/>
    <n v="246"/>
    <n v="4"/>
    <n v="187"/>
  </r>
  <r>
    <n v="1413"/>
    <s v="2023-06-04"/>
    <n v="2023"/>
    <s v="Q2"/>
    <x v="5"/>
    <x v="1"/>
    <x v="1"/>
    <x v="1237"/>
    <x v="1"/>
    <n v="20"/>
    <x v="350"/>
    <n v="92.1"/>
    <n v="9.08"/>
    <n v="21.21"/>
    <n v="6.68"/>
    <n v="274.99"/>
    <n v="455"/>
    <n v="5"/>
    <n v="244"/>
  </r>
  <r>
    <n v="1414"/>
    <s v="2023-06-07"/>
    <n v="2023"/>
    <s v="Q2"/>
    <x v="5"/>
    <x v="3"/>
    <x v="0"/>
    <x v="1238"/>
    <x v="2"/>
    <n v="47"/>
    <x v="117"/>
    <n v="88.51"/>
    <n v="30.92"/>
    <n v="9.08"/>
    <n v="8.1999999999999993"/>
    <n v="162.55000000000001"/>
    <n v="198"/>
    <n v="3"/>
    <n v="235"/>
  </r>
  <r>
    <n v="1415"/>
    <s v="2023-06-10"/>
    <n v="2023"/>
    <s v="Q2"/>
    <x v="5"/>
    <x v="0"/>
    <x v="2"/>
    <x v="1239"/>
    <x v="2"/>
    <n v="8"/>
    <x v="179"/>
    <n v="82.44"/>
    <n v="5.42"/>
    <n v="14.91"/>
    <n v="13.59"/>
    <n v="595.53"/>
    <n v="200"/>
    <n v="1"/>
    <n v="223"/>
  </r>
  <r>
    <n v="1416"/>
    <s v="2023-05-31"/>
    <n v="2023"/>
    <s v="Q2"/>
    <x v="5"/>
    <x v="2"/>
    <x v="4"/>
    <x v="1240"/>
    <x v="0"/>
    <n v="1"/>
    <x v="333"/>
    <n v="86.65"/>
    <n v="23.69"/>
    <n v="17.77"/>
    <n v="11.07"/>
    <n v="512.32000000000005"/>
    <n v="628"/>
    <n v="4"/>
    <n v="213"/>
  </r>
  <r>
    <n v="1417"/>
    <s v="2023-06-05"/>
    <n v="2023"/>
    <s v="Q2"/>
    <x v="5"/>
    <x v="2"/>
    <x v="3"/>
    <x v="1241"/>
    <x v="2"/>
    <n v="30"/>
    <x v="471"/>
    <n v="78.3"/>
    <n v="8.4700000000000006"/>
    <n v="15.96"/>
    <n v="15.9"/>
    <n v="345.65"/>
    <n v="161"/>
    <n v="1"/>
    <n v="135"/>
  </r>
  <r>
    <n v="1418"/>
    <s v="2023-06-19"/>
    <n v="2023"/>
    <s v="Q2"/>
    <x v="5"/>
    <x v="2"/>
    <x v="4"/>
    <x v="1242"/>
    <x v="3"/>
    <n v="11"/>
    <x v="163"/>
    <n v="80.489999999999995"/>
    <n v="32.119999999999997"/>
    <n v="5.5"/>
    <n v="7.41"/>
    <n v="480.23"/>
    <n v="642"/>
    <n v="5"/>
    <n v="61"/>
  </r>
  <r>
    <n v="1419"/>
    <s v="2023-05-31"/>
    <n v="2023"/>
    <s v="Q2"/>
    <x v="5"/>
    <x v="5"/>
    <x v="0"/>
    <x v="1243"/>
    <x v="3"/>
    <n v="28"/>
    <x v="327"/>
    <n v="89.72"/>
    <n v="28.39"/>
    <n v="12.37"/>
    <n v="4.05"/>
    <n v="310.24"/>
    <n v="368"/>
    <n v="3"/>
    <n v="52"/>
  </r>
  <r>
    <n v="1420"/>
    <s v="2023-06-05"/>
    <n v="2023"/>
    <s v="Q2"/>
    <x v="5"/>
    <x v="5"/>
    <x v="3"/>
    <x v="1244"/>
    <x v="2"/>
    <n v="38"/>
    <x v="472"/>
    <n v="84.23"/>
    <n v="24.9"/>
    <n v="6.76"/>
    <n v="9.9"/>
    <n v="276.43"/>
    <n v="1068"/>
    <n v="5"/>
    <n v="238"/>
  </r>
  <r>
    <n v="1421"/>
    <s v="2023-05-31"/>
    <n v="2023"/>
    <s v="Q2"/>
    <x v="5"/>
    <x v="6"/>
    <x v="3"/>
    <x v="1245"/>
    <x v="0"/>
    <n v="19"/>
    <x v="473"/>
    <n v="85.81"/>
    <n v="27.37"/>
    <n v="5.31"/>
    <n v="3.06"/>
    <n v="355.31"/>
    <n v="150"/>
    <n v="4"/>
    <n v="203"/>
  </r>
  <r>
    <n v="1422"/>
    <s v="2023-06-13"/>
    <n v="2023"/>
    <s v="Q2"/>
    <x v="5"/>
    <x v="7"/>
    <x v="1"/>
    <x v="1246"/>
    <x v="0"/>
    <n v="2"/>
    <x v="190"/>
    <n v="84.27"/>
    <n v="9.15"/>
    <n v="20.36"/>
    <n v="11.2"/>
    <n v="516.05999999999995"/>
    <n v="451"/>
    <n v="2"/>
    <n v="227"/>
  </r>
  <r>
    <n v="1423"/>
    <s v="2023-06-10"/>
    <n v="2023"/>
    <s v="Q2"/>
    <x v="5"/>
    <x v="0"/>
    <x v="1"/>
    <x v="1247"/>
    <x v="4"/>
    <n v="28"/>
    <x v="59"/>
    <n v="81.3"/>
    <n v="10.61"/>
    <n v="19.100000000000001"/>
    <n v="7.57"/>
    <n v="530.76"/>
    <n v="371"/>
    <n v="1"/>
    <n v="103"/>
  </r>
  <r>
    <n v="1424"/>
    <s v="2023-06-12"/>
    <n v="2023"/>
    <s v="Q2"/>
    <x v="5"/>
    <x v="5"/>
    <x v="1"/>
    <x v="847"/>
    <x v="4"/>
    <n v="48"/>
    <x v="82"/>
    <n v="92.25"/>
    <n v="16.39"/>
    <n v="13.77"/>
    <n v="8.49"/>
    <n v="392.17"/>
    <n v="714"/>
    <n v="1"/>
    <n v="155"/>
  </r>
  <r>
    <n v="1425"/>
    <s v="2023-06-24"/>
    <n v="2023"/>
    <s v="Q2"/>
    <x v="5"/>
    <x v="6"/>
    <x v="2"/>
    <x v="1248"/>
    <x v="1"/>
    <n v="13"/>
    <x v="122"/>
    <n v="93.69"/>
    <n v="25.97"/>
    <n v="18.75"/>
    <n v="7.11"/>
    <n v="384.85"/>
    <n v="1048"/>
    <n v="3"/>
    <n v="167"/>
  </r>
  <r>
    <n v="1426"/>
    <s v="2023-06-24"/>
    <n v="2023"/>
    <s v="Q2"/>
    <x v="5"/>
    <x v="5"/>
    <x v="3"/>
    <x v="1249"/>
    <x v="1"/>
    <n v="7"/>
    <x v="355"/>
    <n v="78.61"/>
    <n v="17.64"/>
    <n v="9.82"/>
    <n v="6.67"/>
    <n v="515.27"/>
    <n v="169"/>
    <n v="1"/>
    <n v="145"/>
  </r>
  <r>
    <n v="1427"/>
    <s v="2023-06-01"/>
    <n v="2023"/>
    <s v="Q2"/>
    <x v="5"/>
    <x v="4"/>
    <x v="3"/>
    <x v="1250"/>
    <x v="1"/>
    <n v="31"/>
    <x v="204"/>
    <n v="76.099999999999994"/>
    <n v="19.559999999999999"/>
    <n v="9.5299999999999994"/>
    <n v="12.91"/>
    <n v="251.98"/>
    <n v="775"/>
    <n v="4"/>
    <n v="135"/>
  </r>
  <r>
    <n v="1428"/>
    <s v="2023-06-07"/>
    <n v="2023"/>
    <s v="Q2"/>
    <x v="5"/>
    <x v="2"/>
    <x v="3"/>
    <x v="901"/>
    <x v="3"/>
    <n v="38"/>
    <x v="22"/>
    <n v="94.94"/>
    <n v="28.71"/>
    <n v="13.87"/>
    <n v="6.46"/>
    <n v="120.94"/>
    <n v="238"/>
    <n v="2"/>
    <n v="99"/>
  </r>
  <r>
    <n v="1429"/>
    <s v="2023-07-11"/>
    <n v="2023"/>
    <s v="Q3"/>
    <x v="6"/>
    <x v="6"/>
    <x v="3"/>
    <x v="1251"/>
    <x v="3"/>
    <n v="27"/>
    <x v="279"/>
    <n v="85.67"/>
    <n v="32.74"/>
    <n v="15.99"/>
    <n v="5.0999999999999996"/>
    <n v="424.9"/>
    <n v="556"/>
    <n v="4"/>
    <n v="132"/>
  </r>
  <r>
    <n v="1430"/>
    <s v="2023-07-20"/>
    <n v="2023"/>
    <s v="Q3"/>
    <x v="6"/>
    <x v="2"/>
    <x v="1"/>
    <x v="1252"/>
    <x v="4"/>
    <n v="8"/>
    <x v="405"/>
    <n v="89.77"/>
    <n v="24.77"/>
    <n v="8.74"/>
    <n v="4.8600000000000003"/>
    <n v="303.48"/>
    <n v="1094"/>
    <n v="4"/>
    <n v="67"/>
  </r>
  <r>
    <n v="1431"/>
    <s v="2023-07-20"/>
    <n v="2023"/>
    <s v="Q3"/>
    <x v="6"/>
    <x v="2"/>
    <x v="4"/>
    <x v="1253"/>
    <x v="0"/>
    <n v="44"/>
    <x v="61"/>
    <n v="90.28"/>
    <n v="31.1"/>
    <n v="6.84"/>
    <n v="8.58"/>
    <n v="555.91999999999996"/>
    <n v="991"/>
    <n v="1"/>
    <n v="93"/>
  </r>
  <r>
    <n v="1432"/>
    <s v="2023-07-22"/>
    <n v="2023"/>
    <s v="Q3"/>
    <x v="6"/>
    <x v="5"/>
    <x v="3"/>
    <x v="1254"/>
    <x v="1"/>
    <n v="13"/>
    <x v="68"/>
    <n v="84.92"/>
    <n v="19.21"/>
    <n v="2.39"/>
    <n v="5.17"/>
    <n v="342.05"/>
    <n v="534"/>
    <n v="3"/>
    <n v="178"/>
  </r>
  <r>
    <n v="1433"/>
    <s v="2023-07-27"/>
    <n v="2023"/>
    <s v="Q3"/>
    <x v="6"/>
    <x v="3"/>
    <x v="4"/>
    <x v="1095"/>
    <x v="4"/>
    <n v="13"/>
    <x v="428"/>
    <n v="75.38"/>
    <n v="28.65"/>
    <n v="20.399999999999999"/>
    <n v="10.49"/>
    <n v="482.27"/>
    <n v="568"/>
    <n v="4"/>
    <n v="159"/>
  </r>
  <r>
    <n v="1434"/>
    <s v="2023-07-19"/>
    <n v="2023"/>
    <s v="Q3"/>
    <x v="6"/>
    <x v="7"/>
    <x v="1"/>
    <x v="1255"/>
    <x v="2"/>
    <n v="16"/>
    <x v="55"/>
    <n v="76.23"/>
    <n v="29.84"/>
    <n v="10.85"/>
    <n v="5.2"/>
    <n v="595.19000000000005"/>
    <n v="493"/>
    <n v="2"/>
    <n v="100"/>
  </r>
  <r>
    <n v="1435"/>
    <s v="2023-07-11"/>
    <n v="2023"/>
    <s v="Q3"/>
    <x v="6"/>
    <x v="2"/>
    <x v="1"/>
    <x v="1256"/>
    <x v="2"/>
    <n v="12"/>
    <x v="447"/>
    <n v="86.43"/>
    <n v="22.01"/>
    <n v="12.35"/>
    <n v="6.68"/>
    <n v="245.14"/>
    <n v="223"/>
    <n v="2"/>
    <n v="215"/>
  </r>
  <r>
    <n v="1436"/>
    <s v="2023-07-05"/>
    <n v="2023"/>
    <s v="Q3"/>
    <x v="6"/>
    <x v="2"/>
    <x v="1"/>
    <x v="502"/>
    <x v="1"/>
    <n v="47"/>
    <x v="456"/>
    <n v="79.89"/>
    <n v="23.31"/>
    <n v="19.010000000000002"/>
    <n v="11.31"/>
    <n v="207.86"/>
    <n v="842"/>
    <n v="4"/>
    <n v="75"/>
  </r>
  <r>
    <n v="1437"/>
    <s v="2023-07-06"/>
    <n v="2023"/>
    <s v="Q3"/>
    <x v="6"/>
    <x v="4"/>
    <x v="1"/>
    <x v="1257"/>
    <x v="1"/>
    <n v="35"/>
    <x v="395"/>
    <n v="80.459999999999994"/>
    <n v="25.79"/>
    <n v="20.56"/>
    <n v="12.53"/>
    <n v="514.53"/>
    <n v="346"/>
    <n v="2"/>
    <n v="75"/>
  </r>
  <r>
    <n v="1438"/>
    <s v="2023-07-09"/>
    <n v="2023"/>
    <s v="Q3"/>
    <x v="6"/>
    <x v="4"/>
    <x v="3"/>
    <x v="1258"/>
    <x v="2"/>
    <n v="33"/>
    <x v="52"/>
    <n v="85.33"/>
    <n v="12.1"/>
    <n v="13.57"/>
    <n v="12.77"/>
    <n v="283.58"/>
    <n v="808"/>
    <n v="3"/>
    <n v="133"/>
  </r>
  <r>
    <n v="1439"/>
    <s v="2023-07-27"/>
    <n v="2023"/>
    <s v="Q3"/>
    <x v="6"/>
    <x v="6"/>
    <x v="4"/>
    <x v="1259"/>
    <x v="1"/>
    <n v="13"/>
    <x v="62"/>
    <n v="94.85"/>
    <n v="20.420000000000002"/>
    <n v="3.14"/>
    <n v="2.86"/>
    <n v="335.56"/>
    <n v="653"/>
    <n v="4"/>
    <n v="225"/>
  </r>
  <r>
    <n v="1440"/>
    <s v="2023-07-02"/>
    <n v="2023"/>
    <s v="Q3"/>
    <x v="6"/>
    <x v="1"/>
    <x v="2"/>
    <x v="1260"/>
    <x v="2"/>
    <n v="16"/>
    <x v="185"/>
    <n v="87"/>
    <n v="22.56"/>
    <n v="18.32"/>
    <n v="8.52"/>
    <n v="215.9"/>
    <n v="727"/>
    <n v="2"/>
    <n v="89"/>
  </r>
  <r>
    <n v="1441"/>
    <s v="2023-07-08"/>
    <n v="2023"/>
    <s v="Q3"/>
    <x v="6"/>
    <x v="6"/>
    <x v="0"/>
    <x v="1261"/>
    <x v="3"/>
    <n v="26"/>
    <x v="403"/>
    <n v="78.599999999999994"/>
    <n v="19.04"/>
    <n v="16.71"/>
    <n v="4.5199999999999996"/>
    <n v="395.98"/>
    <n v="792"/>
    <n v="5"/>
    <n v="196"/>
  </r>
  <r>
    <n v="1442"/>
    <s v="2023-07-05"/>
    <n v="2023"/>
    <s v="Q3"/>
    <x v="6"/>
    <x v="7"/>
    <x v="2"/>
    <x v="77"/>
    <x v="1"/>
    <n v="15"/>
    <x v="80"/>
    <n v="76.510000000000005"/>
    <n v="8.0500000000000007"/>
    <n v="14.33"/>
    <n v="10.75"/>
    <n v="305.83999999999997"/>
    <n v="120"/>
    <n v="5"/>
    <n v="65"/>
  </r>
  <r>
    <n v="1443"/>
    <s v="2023-07-20"/>
    <n v="2023"/>
    <s v="Q3"/>
    <x v="6"/>
    <x v="6"/>
    <x v="2"/>
    <x v="1262"/>
    <x v="0"/>
    <n v="44"/>
    <x v="474"/>
    <n v="92.68"/>
    <n v="30.2"/>
    <n v="13.17"/>
    <n v="15.85"/>
    <n v="273.3"/>
    <n v="1051"/>
    <n v="2"/>
    <n v="209"/>
  </r>
  <r>
    <n v="1444"/>
    <s v="2023-07-08"/>
    <n v="2023"/>
    <s v="Q3"/>
    <x v="6"/>
    <x v="6"/>
    <x v="0"/>
    <x v="181"/>
    <x v="0"/>
    <n v="25"/>
    <x v="320"/>
    <n v="78.5"/>
    <n v="32.61"/>
    <n v="4.51"/>
    <n v="13.55"/>
    <n v="569.38"/>
    <n v="277"/>
    <n v="4"/>
    <n v="73"/>
  </r>
  <r>
    <n v="1445"/>
    <s v="2023-07-01"/>
    <n v="2023"/>
    <s v="Q3"/>
    <x v="6"/>
    <x v="2"/>
    <x v="2"/>
    <x v="1263"/>
    <x v="3"/>
    <n v="45"/>
    <x v="52"/>
    <n v="84.4"/>
    <n v="31.27"/>
    <n v="4.58"/>
    <n v="4.18"/>
    <n v="534.94000000000005"/>
    <n v="1078"/>
    <n v="2"/>
    <n v="171"/>
  </r>
  <r>
    <n v="1446"/>
    <s v="2023-07-09"/>
    <n v="2023"/>
    <s v="Q3"/>
    <x v="6"/>
    <x v="3"/>
    <x v="0"/>
    <x v="60"/>
    <x v="3"/>
    <n v="46"/>
    <x v="131"/>
    <n v="81.069999999999993"/>
    <n v="6.99"/>
    <n v="3.43"/>
    <n v="4.09"/>
    <n v="479.7"/>
    <n v="784"/>
    <n v="4"/>
    <n v="84"/>
  </r>
  <r>
    <n v="1447"/>
    <s v="2023-07-01"/>
    <n v="2023"/>
    <s v="Q3"/>
    <x v="6"/>
    <x v="2"/>
    <x v="3"/>
    <x v="1219"/>
    <x v="0"/>
    <n v="34"/>
    <x v="424"/>
    <n v="90.24"/>
    <n v="31.54"/>
    <n v="10.58"/>
    <n v="13.74"/>
    <n v="312.77"/>
    <n v="725"/>
    <n v="4"/>
    <n v="61"/>
  </r>
  <r>
    <n v="1448"/>
    <s v="2023-07-23"/>
    <n v="2023"/>
    <s v="Q3"/>
    <x v="6"/>
    <x v="4"/>
    <x v="3"/>
    <x v="1264"/>
    <x v="4"/>
    <n v="43"/>
    <x v="27"/>
    <n v="82.77"/>
    <n v="22.24"/>
    <n v="12.62"/>
    <n v="7.57"/>
    <n v="224.33"/>
    <n v="229"/>
    <n v="4"/>
    <n v="125"/>
  </r>
  <r>
    <n v="1449"/>
    <s v="2023-07-06"/>
    <n v="2023"/>
    <s v="Q3"/>
    <x v="6"/>
    <x v="0"/>
    <x v="4"/>
    <x v="187"/>
    <x v="3"/>
    <n v="32"/>
    <x v="473"/>
    <n v="81.849999999999994"/>
    <n v="17.239999999999998"/>
    <n v="15.78"/>
    <n v="8.66"/>
    <n v="416.13"/>
    <n v="233"/>
    <n v="1"/>
    <n v="90"/>
  </r>
  <r>
    <n v="1450"/>
    <s v="2023-07-03"/>
    <n v="2023"/>
    <s v="Q3"/>
    <x v="6"/>
    <x v="7"/>
    <x v="1"/>
    <x v="818"/>
    <x v="1"/>
    <n v="45"/>
    <x v="121"/>
    <n v="80.94"/>
    <n v="8.83"/>
    <n v="20.55"/>
    <n v="11.32"/>
    <n v="300.31"/>
    <n v="472"/>
    <n v="1"/>
    <n v="150"/>
  </r>
  <r>
    <n v="1451"/>
    <s v="2023-07-05"/>
    <n v="2023"/>
    <s v="Q3"/>
    <x v="6"/>
    <x v="3"/>
    <x v="0"/>
    <x v="1265"/>
    <x v="2"/>
    <n v="7"/>
    <x v="155"/>
    <n v="92.66"/>
    <n v="19.86"/>
    <n v="12.58"/>
    <n v="10.53"/>
    <n v="567.41999999999996"/>
    <n v="354"/>
    <n v="4"/>
    <n v="94"/>
  </r>
  <r>
    <n v="1452"/>
    <s v="2023-07-12"/>
    <n v="2023"/>
    <s v="Q3"/>
    <x v="6"/>
    <x v="3"/>
    <x v="4"/>
    <x v="1266"/>
    <x v="4"/>
    <n v="43"/>
    <x v="335"/>
    <n v="76.89"/>
    <n v="8.75"/>
    <n v="8.52"/>
    <n v="10.050000000000001"/>
    <n v="331.7"/>
    <n v="1007"/>
    <n v="5"/>
    <n v="182"/>
  </r>
  <r>
    <n v="1453"/>
    <s v="2023-07-12"/>
    <n v="2023"/>
    <s v="Q3"/>
    <x v="6"/>
    <x v="4"/>
    <x v="1"/>
    <x v="1267"/>
    <x v="2"/>
    <n v="11"/>
    <x v="215"/>
    <n v="75.28"/>
    <n v="10.45"/>
    <n v="18.489999999999998"/>
    <n v="4.22"/>
    <n v="143.09"/>
    <n v="500"/>
    <n v="4"/>
    <n v="149"/>
  </r>
  <r>
    <n v="1454"/>
    <s v="2023-07-20"/>
    <n v="2023"/>
    <s v="Q3"/>
    <x v="6"/>
    <x v="5"/>
    <x v="1"/>
    <x v="1268"/>
    <x v="3"/>
    <n v="35"/>
    <x v="361"/>
    <n v="82.22"/>
    <n v="10.029999999999999"/>
    <n v="8.9499999999999993"/>
    <n v="7.83"/>
    <n v="522.66"/>
    <n v="690"/>
    <n v="3"/>
    <n v="235"/>
  </r>
  <r>
    <n v="1455"/>
    <s v="2023-07-11"/>
    <n v="2023"/>
    <s v="Q3"/>
    <x v="6"/>
    <x v="6"/>
    <x v="0"/>
    <x v="335"/>
    <x v="2"/>
    <n v="28"/>
    <x v="154"/>
    <n v="92.95"/>
    <n v="9.07"/>
    <n v="3.23"/>
    <n v="12.28"/>
    <n v="156.63999999999999"/>
    <n v="967"/>
    <n v="4"/>
    <n v="235"/>
  </r>
  <r>
    <n v="1456"/>
    <s v="2023-07-04"/>
    <n v="2023"/>
    <s v="Q3"/>
    <x v="6"/>
    <x v="4"/>
    <x v="0"/>
    <x v="375"/>
    <x v="1"/>
    <n v="28"/>
    <x v="147"/>
    <n v="91.56"/>
    <n v="19.39"/>
    <n v="14.6"/>
    <n v="11.53"/>
    <n v="131.82"/>
    <n v="471"/>
    <n v="1"/>
    <n v="114"/>
  </r>
  <r>
    <n v="1457"/>
    <s v="2023-06-30"/>
    <n v="2023"/>
    <s v="Q3"/>
    <x v="6"/>
    <x v="6"/>
    <x v="2"/>
    <x v="1269"/>
    <x v="1"/>
    <n v="28"/>
    <x v="426"/>
    <n v="79.11"/>
    <n v="27.1"/>
    <n v="6.25"/>
    <n v="12.74"/>
    <n v="186.9"/>
    <n v="648"/>
    <n v="3"/>
    <n v="242"/>
  </r>
  <r>
    <n v="1458"/>
    <s v="2023-07-19"/>
    <n v="2023"/>
    <s v="Q3"/>
    <x v="6"/>
    <x v="3"/>
    <x v="3"/>
    <x v="1270"/>
    <x v="0"/>
    <n v="4"/>
    <x v="235"/>
    <n v="79.900000000000006"/>
    <n v="19.47"/>
    <n v="18.86"/>
    <n v="14.13"/>
    <n v="142.16"/>
    <n v="486"/>
    <n v="5"/>
    <n v="157"/>
  </r>
  <r>
    <n v="1459"/>
    <s v="2023-07-08"/>
    <n v="2023"/>
    <s v="Q3"/>
    <x v="6"/>
    <x v="4"/>
    <x v="1"/>
    <x v="1271"/>
    <x v="3"/>
    <n v="45"/>
    <x v="238"/>
    <n v="76.22"/>
    <n v="30.38"/>
    <n v="8.57"/>
    <n v="6.6"/>
    <n v="195.26"/>
    <n v="352"/>
    <n v="4"/>
    <n v="231"/>
  </r>
  <r>
    <n v="1460"/>
    <s v="2023-07-21"/>
    <n v="2023"/>
    <s v="Q3"/>
    <x v="6"/>
    <x v="0"/>
    <x v="2"/>
    <x v="1272"/>
    <x v="2"/>
    <n v="5"/>
    <x v="219"/>
    <n v="86.71"/>
    <n v="19.28"/>
    <n v="14.23"/>
    <n v="2.31"/>
    <n v="306.22000000000003"/>
    <n v="1022"/>
    <n v="4"/>
    <n v="205"/>
  </r>
  <r>
    <n v="1461"/>
    <s v="2023-07-02"/>
    <n v="2023"/>
    <s v="Q3"/>
    <x v="6"/>
    <x v="4"/>
    <x v="2"/>
    <x v="1273"/>
    <x v="0"/>
    <n v="23"/>
    <x v="368"/>
    <n v="81.72"/>
    <n v="5.29"/>
    <n v="21.42"/>
    <n v="12.59"/>
    <n v="278.61"/>
    <n v="387"/>
    <n v="5"/>
    <n v="153"/>
  </r>
  <r>
    <n v="1462"/>
    <s v="2023-07-22"/>
    <n v="2023"/>
    <s v="Q3"/>
    <x v="6"/>
    <x v="7"/>
    <x v="3"/>
    <x v="1274"/>
    <x v="3"/>
    <n v="11"/>
    <x v="100"/>
    <n v="88.42"/>
    <n v="16.88"/>
    <n v="7.53"/>
    <n v="8.14"/>
    <n v="581.53"/>
    <n v="392"/>
    <n v="1"/>
    <n v="233"/>
  </r>
  <r>
    <n v="1463"/>
    <s v="2023-08-02"/>
    <n v="2023"/>
    <s v="Q3"/>
    <x v="7"/>
    <x v="1"/>
    <x v="4"/>
    <x v="1275"/>
    <x v="3"/>
    <n v="32"/>
    <x v="245"/>
    <n v="88.34"/>
    <n v="29.64"/>
    <n v="15.07"/>
    <n v="8.34"/>
    <n v="588.83000000000004"/>
    <n v="532"/>
    <n v="2"/>
    <n v="200"/>
  </r>
  <r>
    <n v="1464"/>
    <s v="2023-08-20"/>
    <n v="2023"/>
    <s v="Q3"/>
    <x v="7"/>
    <x v="1"/>
    <x v="2"/>
    <x v="1276"/>
    <x v="1"/>
    <n v="3"/>
    <x v="272"/>
    <n v="75.39"/>
    <n v="31.48"/>
    <n v="2.83"/>
    <n v="2.4500000000000002"/>
    <n v="309.72000000000003"/>
    <n v="103"/>
    <n v="3"/>
    <n v="201"/>
  </r>
  <r>
    <n v="1465"/>
    <s v="2023-08-09"/>
    <n v="2023"/>
    <s v="Q3"/>
    <x v="7"/>
    <x v="0"/>
    <x v="2"/>
    <x v="1277"/>
    <x v="1"/>
    <n v="17"/>
    <x v="292"/>
    <n v="92.91"/>
    <n v="23.06"/>
    <n v="5.6"/>
    <n v="1.76"/>
    <n v="516.15"/>
    <n v="465"/>
    <n v="1"/>
    <n v="115"/>
  </r>
  <r>
    <n v="1466"/>
    <s v="2023-08-21"/>
    <n v="2023"/>
    <s v="Q3"/>
    <x v="7"/>
    <x v="4"/>
    <x v="3"/>
    <x v="72"/>
    <x v="4"/>
    <n v="16"/>
    <x v="80"/>
    <n v="76.61"/>
    <n v="20.07"/>
    <n v="13.52"/>
    <n v="10.029999999999999"/>
    <n v="218.51"/>
    <n v="636"/>
    <n v="1"/>
    <n v="107"/>
  </r>
  <r>
    <n v="1467"/>
    <s v="2023-08-26"/>
    <n v="2023"/>
    <s v="Q3"/>
    <x v="7"/>
    <x v="6"/>
    <x v="3"/>
    <x v="1278"/>
    <x v="4"/>
    <n v="45"/>
    <x v="365"/>
    <n v="91.97"/>
    <n v="6.44"/>
    <n v="13.06"/>
    <n v="6.54"/>
    <n v="534.44000000000005"/>
    <n v="1097"/>
    <n v="3"/>
    <n v="70"/>
  </r>
  <r>
    <n v="1468"/>
    <s v="2023-08-22"/>
    <n v="2023"/>
    <s v="Q3"/>
    <x v="7"/>
    <x v="0"/>
    <x v="1"/>
    <x v="1279"/>
    <x v="4"/>
    <n v="39"/>
    <x v="139"/>
    <n v="87.49"/>
    <n v="5.33"/>
    <n v="9.59"/>
    <n v="12.41"/>
    <n v="506.5"/>
    <n v="975"/>
    <n v="3"/>
    <n v="151"/>
  </r>
  <r>
    <n v="1469"/>
    <s v="2023-08-09"/>
    <n v="2023"/>
    <s v="Q3"/>
    <x v="7"/>
    <x v="0"/>
    <x v="1"/>
    <x v="1280"/>
    <x v="3"/>
    <n v="45"/>
    <x v="133"/>
    <n v="78.81"/>
    <n v="9.35"/>
    <n v="13.33"/>
    <n v="13.1"/>
    <n v="294.95999999999998"/>
    <n v="1024"/>
    <n v="5"/>
    <n v="205"/>
  </r>
  <r>
    <n v="1470"/>
    <s v="2023-08-02"/>
    <n v="2023"/>
    <s v="Q3"/>
    <x v="7"/>
    <x v="1"/>
    <x v="0"/>
    <x v="1281"/>
    <x v="3"/>
    <n v="3"/>
    <x v="280"/>
    <n v="88.79"/>
    <n v="12.26"/>
    <n v="9.0500000000000007"/>
    <n v="1.0900000000000001"/>
    <n v="198.01"/>
    <n v="925"/>
    <n v="3"/>
    <n v="237"/>
  </r>
  <r>
    <n v="1471"/>
    <s v="2023-08-01"/>
    <n v="2023"/>
    <s v="Q3"/>
    <x v="7"/>
    <x v="7"/>
    <x v="1"/>
    <x v="1282"/>
    <x v="4"/>
    <n v="9"/>
    <x v="7"/>
    <n v="93.18"/>
    <n v="32.56"/>
    <n v="16.72"/>
    <n v="7.53"/>
    <n v="279.98"/>
    <n v="1005"/>
    <n v="3"/>
    <n v="215"/>
  </r>
  <r>
    <n v="1472"/>
    <s v="2023-08-23"/>
    <n v="2023"/>
    <s v="Q3"/>
    <x v="7"/>
    <x v="5"/>
    <x v="3"/>
    <x v="1283"/>
    <x v="2"/>
    <n v="18"/>
    <x v="298"/>
    <n v="75.72"/>
    <n v="13.04"/>
    <n v="8.27"/>
    <n v="2.71"/>
    <n v="542.92999999999995"/>
    <n v="158"/>
    <n v="5"/>
    <n v="243"/>
  </r>
  <r>
    <n v="1473"/>
    <s v="2023-08-07"/>
    <n v="2023"/>
    <s v="Q3"/>
    <x v="7"/>
    <x v="5"/>
    <x v="1"/>
    <x v="1284"/>
    <x v="0"/>
    <n v="28"/>
    <x v="260"/>
    <n v="82.7"/>
    <n v="18.440000000000001"/>
    <n v="6.81"/>
    <n v="3.3"/>
    <n v="130.53"/>
    <n v="1076"/>
    <n v="1"/>
    <n v="181"/>
  </r>
  <r>
    <n v="1474"/>
    <s v="2023-08-19"/>
    <n v="2023"/>
    <s v="Q3"/>
    <x v="7"/>
    <x v="0"/>
    <x v="4"/>
    <x v="1285"/>
    <x v="2"/>
    <n v="43"/>
    <x v="41"/>
    <n v="94.66"/>
    <n v="24.09"/>
    <n v="15.16"/>
    <n v="11.68"/>
    <n v="472"/>
    <n v="236"/>
    <n v="2"/>
    <n v="65"/>
  </r>
  <r>
    <n v="1475"/>
    <s v="2023-08-22"/>
    <n v="2023"/>
    <s v="Q3"/>
    <x v="7"/>
    <x v="6"/>
    <x v="1"/>
    <x v="1286"/>
    <x v="1"/>
    <n v="34"/>
    <x v="359"/>
    <n v="90.69"/>
    <n v="5.23"/>
    <n v="8.1"/>
    <n v="3.16"/>
    <n v="459.53"/>
    <n v="883"/>
    <n v="4"/>
    <n v="171"/>
  </r>
  <r>
    <n v="1476"/>
    <s v="2023-08-08"/>
    <n v="2023"/>
    <s v="Q3"/>
    <x v="7"/>
    <x v="0"/>
    <x v="1"/>
    <x v="1287"/>
    <x v="0"/>
    <n v="38"/>
    <x v="268"/>
    <n v="91.93"/>
    <n v="11.69"/>
    <n v="7.85"/>
    <n v="9.3699999999999992"/>
    <n v="570.88"/>
    <n v="557"/>
    <n v="4"/>
    <n v="136"/>
  </r>
  <r>
    <n v="1477"/>
    <s v="2023-08-17"/>
    <n v="2023"/>
    <s v="Q3"/>
    <x v="7"/>
    <x v="7"/>
    <x v="2"/>
    <x v="1288"/>
    <x v="0"/>
    <n v="15"/>
    <x v="144"/>
    <n v="93.62"/>
    <n v="34.520000000000003"/>
    <n v="10.33"/>
    <n v="9.8800000000000008"/>
    <n v="251.08"/>
    <n v="753"/>
    <n v="2"/>
    <n v="82"/>
  </r>
  <r>
    <n v="1478"/>
    <s v="2023-08-23"/>
    <n v="2023"/>
    <s v="Q3"/>
    <x v="7"/>
    <x v="0"/>
    <x v="0"/>
    <x v="1289"/>
    <x v="4"/>
    <n v="24"/>
    <x v="44"/>
    <n v="81.540000000000006"/>
    <n v="19.989999999999998"/>
    <n v="12.91"/>
    <n v="8.01"/>
    <n v="407.27"/>
    <n v="994"/>
    <n v="5"/>
    <n v="52"/>
  </r>
  <r>
    <n v="1479"/>
    <s v="2023-08-05"/>
    <n v="2023"/>
    <s v="Q3"/>
    <x v="7"/>
    <x v="2"/>
    <x v="2"/>
    <x v="1290"/>
    <x v="2"/>
    <n v="31"/>
    <x v="188"/>
    <n v="90.89"/>
    <n v="23.16"/>
    <n v="18.73"/>
    <n v="11.79"/>
    <n v="145.81"/>
    <n v="189"/>
    <n v="5"/>
    <n v="195"/>
  </r>
  <r>
    <n v="1480"/>
    <s v="2023-08-18"/>
    <n v="2023"/>
    <s v="Q3"/>
    <x v="7"/>
    <x v="6"/>
    <x v="4"/>
    <x v="1094"/>
    <x v="0"/>
    <n v="28"/>
    <x v="81"/>
    <n v="92.64"/>
    <n v="34.51"/>
    <n v="10.66"/>
    <n v="9.18"/>
    <n v="568.07000000000005"/>
    <n v="118"/>
    <n v="1"/>
    <n v="193"/>
  </r>
  <r>
    <n v="1481"/>
    <s v="2023-08-15"/>
    <n v="2023"/>
    <s v="Q3"/>
    <x v="7"/>
    <x v="3"/>
    <x v="0"/>
    <x v="1291"/>
    <x v="1"/>
    <n v="18"/>
    <x v="194"/>
    <n v="84.32"/>
    <n v="23.14"/>
    <n v="4.8499999999999996"/>
    <n v="4.25"/>
    <n v="219.59"/>
    <n v="858"/>
    <n v="1"/>
    <n v="189"/>
  </r>
  <r>
    <n v="1482"/>
    <s v="2023-08-14"/>
    <n v="2023"/>
    <s v="Q3"/>
    <x v="7"/>
    <x v="2"/>
    <x v="3"/>
    <x v="1292"/>
    <x v="2"/>
    <n v="35"/>
    <x v="467"/>
    <n v="93.94"/>
    <n v="12.18"/>
    <n v="6.67"/>
    <n v="1.18"/>
    <n v="115.79"/>
    <n v="952"/>
    <n v="5"/>
    <n v="59"/>
  </r>
  <r>
    <n v="1483"/>
    <s v="2023-08-06"/>
    <n v="2023"/>
    <s v="Q3"/>
    <x v="7"/>
    <x v="5"/>
    <x v="1"/>
    <x v="982"/>
    <x v="1"/>
    <n v="17"/>
    <x v="81"/>
    <n v="93.09"/>
    <n v="24.9"/>
    <n v="3.17"/>
    <n v="15.07"/>
    <n v="217.62"/>
    <n v="943"/>
    <n v="1"/>
    <n v="127"/>
  </r>
  <r>
    <n v="1484"/>
    <s v="2023-08-16"/>
    <n v="2023"/>
    <s v="Q3"/>
    <x v="7"/>
    <x v="1"/>
    <x v="1"/>
    <x v="1293"/>
    <x v="1"/>
    <n v="29"/>
    <x v="99"/>
    <n v="78.44"/>
    <n v="22"/>
    <n v="19.760000000000002"/>
    <n v="1.49"/>
    <n v="280.66000000000003"/>
    <n v="925"/>
    <n v="2"/>
    <n v="80"/>
  </r>
  <r>
    <n v="1485"/>
    <s v="2023-08-09"/>
    <n v="2023"/>
    <s v="Q3"/>
    <x v="7"/>
    <x v="3"/>
    <x v="3"/>
    <x v="1207"/>
    <x v="3"/>
    <n v="48"/>
    <x v="164"/>
    <n v="87.58"/>
    <n v="6.14"/>
    <n v="16.12"/>
    <n v="15.38"/>
    <n v="125.77"/>
    <n v="695"/>
    <n v="2"/>
    <n v="69"/>
  </r>
  <r>
    <n v="1486"/>
    <s v="2023-08-18"/>
    <n v="2023"/>
    <s v="Q3"/>
    <x v="7"/>
    <x v="3"/>
    <x v="3"/>
    <x v="1294"/>
    <x v="1"/>
    <n v="4"/>
    <x v="176"/>
    <n v="88.21"/>
    <n v="5.91"/>
    <n v="7.14"/>
    <n v="5"/>
    <n v="508"/>
    <n v="849"/>
    <n v="1"/>
    <n v="50"/>
  </r>
  <r>
    <n v="1487"/>
    <s v="2023-08-12"/>
    <n v="2023"/>
    <s v="Q3"/>
    <x v="7"/>
    <x v="6"/>
    <x v="0"/>
    <x v="1295"/>
    <x v="1"/>
    <n v="41"/>
    <x v="424"/>
    <n v="79.63"/>
    <n v="26.94"/>
    <n v="5.17"/>
    <n v="11.01"/>
    <n v="371.59"/>
    <n v="117"/>
    <n v="5"/>
    <n v="150"/>
  </r>
  <r>
    <n v="1488"/>
    <s v="2023-08-08"/>
    <n v="2023"/>
    <s v="Q3"/>
    <x v="7"/>
    <x v="3"/>
    <x v="2"/>
    <x v="1296"/>
    <x v="4"/>
    <n v="14"/>
    <x v="319"/>
    <n v="80.680000000000007"/>
    <n v="21.72"/>
    <n v="2.04"/>
    <n v="15.57"/>
    <n v="355.82"/>
    <n v="968"/>
    <n v="3"/>
    <n v="177"/>
  </r>
  <r>
    <n v="1489"/>
    <s v="2023-08-20"/>
    <n v="2023"/>
    <s v="Q3"/>
    <x v="7"/>
    <x v="1"/>
    <x v="2"/>
    <x v="19"/>
    <x v="2"/>
    <n v="20"/>
    <x v="162"/>
    <n v="83.24"/>
    <n v="9.56"/>
    <n v="13.32"/>
    <n v="1.88"/>
    <n v="294.01"/>
    <n v="1042"/>
    <n v="4"/>
    <n v="147"/>
  </r>
  <r>
    <n v="1490"/>
    <s v="2023-08-16"/>
    <n v="2023"/>
    <s v="Q3"/>
    <x v="7"/>
    <x v="0"/>
    <x v="3"/>
    <x v="1297"/>
    <x v="0"/>
    <n v="1"/>
    <x v="62"/>
    <n v="84.98"/>
    <n v="15.81"/>
    <n v="9.17"/>
    <n v="1.1599999999999999"/>
    <n v="224.04"/>
    <n v="806"/>
    <n v="3"/>
    <n v="109"/>
  </r>
  <r>
    <n v="1491"/>
    <s v="2023-08-20"/>
    <n v="2023"/>
    <s v="Q3"/>
    <x v="7"/>
    <x v="2"/>
    <x v="3"/>
    <x v="1298"/>
    <x v="4"/>
    <n v="50"/>
    <x v="449"/>
    <n v="75.430000000000007"/>
    <n v="19.05"/>
    <n v="4.66"/>
    <n v="14.14"/>
    <n v="530.84"/>
    <n v="244"/>
    <n v="2"/>
    <n v="60"/>
  </r>
  <r>
    <n v="1492"/>
    <s v="2023-08-05"/>
    <n v="2023"/>
    <s v="Q3"/>
    <x v="7"/>
    <x v="3"/>
    <x v="1"/>
    <x v="1299"/>
    <x v="2"/>
    <n v="40"/>
    <x v="189"/>
    <n v="83.89"/>
    <n v="32.01"/>
    <n v="10.25"/>
    <n v="10.25"/>
    <n v="121.97"/>
    <n v="524"/>
    <n v="2"/>
    <n v="50"/>
  </r>
  <r>
    <n v="1493"/>
    <s v="2023-08-24"/>
    <n v="2023"/>
    <s v="Q3"/>
    <x v="7"/>
    <x v="7"/>
    <x v="3"/>
    <x v="1300"/>
    <x v="1"/>
    <n v="18"/>
    <x v="83"/>
    <n v="89.52"/>
    <n v="31.74"/>
    <n v="11.84"/>
    <n v="14.18"/>
    <n v="423.46"/>
    <n v="1011"/>
    <n v="2"/>
    <n v="88"/>
  </r>
  <r>
    <n v="1494"/>
    <s v="2023-08-20"/>
    <n v="2023"/>
    <s v="Q3"/>
    <x v="7"/>
    <x v="3"/>
    <x v="2"/>
    <x v="1301"/>
    <x v="3"/>
    <n v="7"/>
    <x v="277"/>
    <n v="84.54"/>
    <n v="21.86"/>
    <n v="9.61"/>
    <n v="8.25"/>
    <n v="536.65"/>
    <n v="417"/>
    <n v="2"/>
    <n v="134"/>
  </r>
  <r>
    <n v="1495"/>
    <s v="2023-08-11"/>
    <n v="2023"/>
    <s v="Q3"/>
    <x v="7"/>
    <x v="1"/>
    <x v="1"/>
    <x v="1302"/>
    <x v="0"/>
    <n v="40"/>
    <x v="237"/>
    <n v="82.85"/>
    <n v="30.73"/>
    <n v="6.51"/>
    <n v="1.81"/>
    <n v="457.72"/>
    <n v="1092"/>
    <n v="3"/>
    <n v="189"/>
  </r>
  <r>
    <n v="1496"/>
    <s v="2023-08-07"/>
    <n v="2023"/>
    <s v="Q3"/>
    <x v="7"/>
    <x v="3"/>
    <x v="3"/>
    <x v="1303"/>
    <x v="4"/>
    <n v="38"/>
    <x v="202"/>
    <n v="90.4"/>
    <n v="22.45"/>
    <n v="4.01"/>
    <n v="10.25"/>
    <n v="580.23"/>
    <n v="626"/>
    <n v="5"/>
    <n v="83"/>
  </r>
  <r>
    <n v="1497"/>
    <s v="2023-09-13"/>
    <n v="2023"/>
    <s v="Q3"/>
    <x v="8"/>
    <x v="3"/>
    <x v="0"/>
    <x v="1304"/>
    <x v="4"/>
    <n v="34"/>
    <x v="289"/>
    <n v="80.11"/>
    <n v="27.19"/>
    <n v="16.72"/>
    <n v="8.8000000000000007"/>
    <n v="201.19"/>
    <n v="796"/>
    <n v="1"/>
    <n v="158"/>
  </r>
  <r>
    <n v="1498"/>
    <s v="2023-09-18"/>
    <n v="2023"/>
    <s v="Q3"/>
    <x v="8"/>
    <x v="6"/>
    <x v="2"/>
    <x v="1305"/>
    <x v="4"/>
    <n v="20"/>
    <x v="302"/>
    <n v="85.92"/>
    <n v="28.97"/>
    <n v="3.94"/>
    <n v="3.12"/>
    <n v="569.94000000000005"/>
    <n v="317"/>
    <n v="1"/>
    <n v="83"/>
  </r>
  <r>
    <n v="1499"/>
    <s v="2023-09-23"/>
    <n v="2023"/>
    <s v="Q3"/>
    <x v="8"/>
    <x v="3"/>
    <x v="2"/>
    <x v="1306"/>
    <x v="2"/>
    <n v="3"/>
    <x v="198"/>
    <n v="76.239999999999995"/>
    <n v="23.38"/>
    <n v="18.47"/>
    <n v="13.52"/>
    <n v="223.4"/>
    <n v="722"/>
    <n v="1"/>
    <n v="229"/>
  </r>
  <r>
    <n v="1500"/>
    <s v="2023-09-26"/>
    <n v="2023"/>
    <s v="Q3"/>
    <x v="8"/>
    <x v="6"/>
    <x v="4"/>
    <x v="1307"/>
    <x v="3"/>
    <n v="47"/>
    <x v="328"/>
    <n v="94.09"/>
    <n v="34.520000000000003"/>
    <n v="9.31"/>
    <n v="15.33"/>
    <n v="562.51"/>
    <n v="1053"/>
    <n v="5"/>
    <n v="167"/>
  </r>
  <r>
    <n v="1501"/>
    <s v="2023-09-19"/>
    <n v="2023"/>
    <s v="Q3"/>
    <x v="8"/>
    <x v="6"/>
    <x v="2"/>
    <x v="1308"/>
    <x v="1"/>
    <n v="30"/>
    <x v="282"/>
    <n v="84.35"/>
    <n v="28.48"/>
    <n v="17.739999999999998"/>
    <n v="4.6900000000000004"/>
    <n v="294.85000000000002"/>
    <n v="877"/>
    <n v="4"/>
    <n v="134"/>
  </r>
  <r>
    <n v="1502"/>
    <s v="2023-09-18"/>
    <n v="2023"/>
    <s v="Q3"/>
    <x v="8"/>
    <x v="6"/>
    <x v="0"/>
    <x v="1309"/>
    <x v="4"/>
    <n v="43"/>
    <x v="235"/>
    <n v="94.73"/>
    <n v="18.03"/>
    <n v="9.81"/>
    <n v="9.9600000000000009"/>
    <n v="366.58"/>
    <n v="471"/>
    <n v="5"/>
    <n v="200"/>
  </r>
  <r>
    <n v="1503"/>
    <s v="2023-09-21"/>
    <n v="2023"/>
    <s v="Q3"/>
    <x v="8"/>
    <x v="2"/>
    <x v="2"/>
    <x v="1207"/>
    <x v="2"/>
    <n v="5"/>
    <x v="299"/>
    <n v="90.76"/>
    <n v="5.81"/>
    <n v="8.93"/>
    <n v="2.79"/>
    <n v="366.97"/>
    <n v="354"/>
    <n v="2"/>
    <n v="61"/>
  </r>
  <r>
    <n v="1504"/>
    <s v="2023-09-27"/>
    <n v="2023"/>
    <s v="Q3"/>
    <x v="8"/>
    <x v="2"/>
    <x v="4"/>
    <x v="1310"/>
    <x v="3"/>
    <n v="50"/>
    <x v="330"/>
    <n v="86.5"/>
    <n v="12.78"/>
    <n v="10.37"/>
    <n v="11.6"/>
    <n v="184.83"/>
    <n v="998"/>
    <n v="2"/>
    <n v="66"/>
  </r>
  <r>
    <n v="1505"/>
    <s v="2023-08-31"/>
    <n v="2023"/>
    <s v="Q3"/>
    <x v="8"/>
    <x v="1"/>
    <x v="2"/>
    <x v="1311"/>
    <x v="1"/>
    <n v="2"/>
    <x v="99"/>
    <n v="91.71"/>
    <n v="22.08"/>
    <n v="21.35"/>
    <n v="8.66"/>
    <n v="137.11000000000001"/>
    <n v="1064"/>
    <n v="3"/>
    <n v="50"/>
  </r>
  <r>
    <n v="1506"/>
    <s v="2023-09-02"/>
    <n v="2023"/>
    <s v="Q3"/>
    <x v="8"/>
    <x v="6"/>
    <x v="1"/>
    <x v="1312"/>
    <x v="2"/>
    <n v="18"/>
    <x v="475"/>
    <n v="82.28"/>
    <n v="10.09"/>
    <n v="13.72"/>
    <n v="9.1"/>
    <n v="469.07"/>
    <n v="414"/>
    <n v="3"/>
    <n v="140"/>
  </r>
  <r>
    <n v="1507"/>
    <s v="2023-09-26"/>
    <n v="2023"/>
    <s v="Q3"/>
    <x v="8"/>
    <x v="1"/>
    <x v="2"/>
    <x v="1313"/>
    <x v="3"/>
    <n v="27"/>
    <x v="7"/>
    <n v="83.02"/>
    <n v="29.76"/>
    <n v="9.24"/>
    <n v="5.27"/>
    <n v="347.67"/>
    <n v="538"/>
    <n v="3"/>
    <n v="135"/>
  </r>
  <r>
    <n v="1508"/>
    <s v="2023-09-18"/>
    <n v="2023"/>
    <s v="Q3"/>
    <x v="8"/>
    <x v="7"/>
    <x v="4"/>
    <x v="1314"/>
    <x v="4"/>
    <n v="22"/>
    <x v="476"/>
    <n v="92.24"/>
    <n v="28.91"/>
    <n v="15.19"/>
    <n v="4.9800000000000004"/>
    <n v="408.12"/>
    <n v="1092"/>
    <n v="3"/>
    <n v="229"/>
  </r>
  <r>
    <n v="1509"/>
    <s v="2023-09-23"/>
    <n v="2023"/>
    <s v="Q3"/>
    <x v="8"/>
    <x v="7"/>
    <x v="0"/>
    <x v="1315"/>
    <x v="4"/>
    <n v="32"/>
    <x v="123"/>
    <n v="88.45"/>
    <n v="13.27"/>
    <n v="16.28"/>
    <n v="9.76"/>
    <n v="202.72"/>
    <n v="985"/>
    <n v="1"/>
    <n v="114"/>
  </r>
  <r>
    <n v="1510"/>
    <s v="2023-09-22"/>
    <n v="2023"/>
    <s v="Q3"/>
    <x v="8"/>
    <x v="7"/>
    <x v="2"/>
    <x v="1316"/>
    <x v="0"/>
    <n v="41"/>
    <x v="154"/>
    <n v="77.16"/>
    <n v="27.75"/>
    <n v="9.17"/>
    <n v="12.89"/>
    <n v="112.47"/>
    <n v="338"/>
    <n v="2"/>
    <n v="173"/>
  </r>
  <r>
    <n v="1511"/>
    <s v="2023-09-02"/>
    <n v="2023"/>
    <s v="Q3"/>
    <x v="8"/>
    <x v="2"/>
    <x v="4"/>
    <x v="1239"/>
    <x v="1"/>
    <n v="12"/>
    <x v="54"/>
    <n v="75.06"/>
    <n v="8.65"/>
    <n v="16.29"/>
    <n v="13.81"/>
    <n v="417.32"/>
    <n v="286"/>
    <n v="5"/>
    <n v="145"/>
  </r>
  <r>
    <n v="1512"/>
    <s v="2023-09-08"/>
    <n v="2023"/>
    <s v="Q3"/>
    <x v="8"/>
    <x v="0"/>
    <x v="4"/>
    <x v="1317"/>
    <x v="4"/>
    <n v="11"/>
    <x v="290"/>
    <n v="80.290000000000006"/>
    <n v="13.94"/>
    <n v="9.43"/>
    <n v="9.36"/>
    <n v="454.49"/>
    <n v="873"/>
    <n v="4"/>
    <n v="148"/>
  </r>
  <r>
    <n v="1513"/>
    <s v="2023-09-08"/>
    <n v="2023"/>
    <s v="Q3"/>
    <x v="8"/>
    <x v="5"/>
    <x v="1"/>
    <x v="1318"/>
    <x v="2"/>
    <n v="20"/>
    <x v="97"/>
    <n v="79.08"/>
    <n v="25.83"/>
    <n v="6.72"/>
    <n v="8.84"/>
    <n v="311.67"/>
    <n v="267"/>
    <n v="4"/>
    <n v="77"/>
  </r>
  <r>
    <n v="1514"/>
    <s v="2023-09-15"/>
    <n v="2023"/>
    <s v="Q3"/>
    <x v="8"/>
    <x v="7"/>
    <x v="4"/>
    <x v="1319"/>
    <x v="3"/>
    <n v="20"/>
    <x v="412"/>
    <n v="76.599999999999994"/>
    <n v="19.600000000000001"/>
    <n v="15.14"/>
    <n v="1.27"/>
    <n v="322.91000000000003"/>
    <n v="710"/>
    <n v="1"/>
    <n v="202"/>
  </r>
  <r>
    <n v="1515"/>
    <s v="2023-08-31"/>
    <n v="2023"/>
    <s v="Q3"/>
    <x v="8"/>
    <x v="0"/>
    <x v="3"/>
    <x v="473"/>
    <x v="1"/>
    <n v="28"/>
    <x v="370"/>
    <n v="88.83"/>
    <n v="25.72"/>
    <n v="21.08"/>
    <n v="15.82"/>
    <n v="558.92999999999995"/>
    <n v="100"/>
    <n v="1"/>
    <n v="228"/>
  </r>
  <r>
    <n v="1516"/>
    <s v="2023-09-02"/>
    <n v="2023"/>
    <s v="Q3"/>
    <x v="8"/>
    <x v="6"/>
    <x v="1"/>
    <x v="1320"/>
    <x v="4"/>
    <n v="12"/>
    <x v="312"/>
    <n v="86.91"/>
    <n v="26.58"/>
    <n v="6.93"/>
    <n v="3"/>
    <n v="268.5"/>
    <n v="443"/>
    <n v="2"/>
    <n v="238"/>
  </r>
  <r>
    <n v="1517"/>
    <s v="2023-09-19"/>
    <n v="2023"/>
    <s v="Q3"/>
    <x v="8"/>
    <x v="4"/>
    <x v="3"/>
    <x v="1321"/>
    <x v="2"/>
    <n v="28"/>
    <x v="3"/>
    <n v="77.95"/>
    <n v="19.579999999999998"/>
    <n v="4.3"/>
    <n v="9.32"/>
    <n v="170.32"/>
    <n v="342"/>
    <n v="1"/>
    <n v="230"/>
  </r>
  <r>
    <n v="1518"/>
    <s v="2023-09-09"/>
    <n v="2023"/>
    <s v="Q3"/>
    <x v="8"/>
    <x v="7"/>
    <x v="0"/>
    <x v="1322"/>
    <x v="4"/>
    <n v="19"/>
    <x v="450"/>
    <n v="77.41"/>
    <n v="15.96"/>
    <n v="15.53"/>
    <n v="10.32"/>
    <n v="240.54"/>
    <n v="328"/>
    <n v="3"/>
    <n v="76"/>
  </r>
  <r>
    <n v="1519"/>
    <s v="2023-09-03"/>
    <n v="2023"/>
    <s v="Q3"/>
    <x v="8"/>
    <x v="7"/>
    <x v="0"/>
    <x v="1323"/>
    <x v="1"/>
    <n v="3"/>
    <x v="354"/>
    <n v="81.010000000000005"/>
    <n v="18.100000000000001"/>
    <n v="15.17"/>
    <n v="7.43"/>
    <n v="228.68"/>
    <n v="773"/>
    <n v="4"/>
    <n v="119"/>
  </r>
  <r>
    <n v="1520"/>
    <s v="2023-09-10"/>
    <n v="2023"/>
    <s v="Q3"/>
    <x v="8"/>
    <x v="3"/>
    <x v="1"/>
    <x v="1324"/>
    <x v="2"/>
    <n v="42"/>
    <x v="35"/>
    <n v="88.88"/>
    <n v="9.83"/>
    <n v="17.55"/>
    <n v="10.35"/>
    <n v="348.63"/>
    <n v="107"/>
    <n v="4"/>
    <n v="90"/>
  </r>
  <r>
    <n v="1521"/>
    <s v="2023-09-05"/>
    <n v="2023"/>
    <s v="Q3"/>
    <x v="8"/>
    <x v="7"/>
    <x v="3"/>
    <x v="1325"/>
    <x v="1"/>
    <n v="18"/>
    <x v="147"/>
    <n v="77.849999999999994"/>
    <n v="27.66"/>
    <n v="15.8"/>
    <n v="4.17"/>
    <n v="454.44"/>
    <n v="975"/>
    <n v="4"/>
    <n v="97"/>
  </r>
  <r>
    <n v="1522"/>
    <s v="2023-08-31"/>
    <n v="2023"/>
    <s v="Q3"/>
    <x v="8"/>
    <x v="6"/>
    <x v="4"/>
    <x v="1326"/>
    <x v="4"/>
    <n v="38"/>
    <x v="268"/>
    <n v="84.29"/>
    <n v="34.630000000000003"/>
    <n v="3.44"/>
    <n v="10.210000000000001"/>
    <n v="444.86"/>
    <n v="710"/>
    <n v="2"/>
    <n v="129"/>
  </r>
  <r>
    <n v="1523"/>
    <s v="2023-09-13"/>
    <n v="2023"/>
    <s v="Q3"/>
    <x v="8"/>
    <x v="4"/>
    <x v="1"/>
    <x v="981"/>
    <x v="0"/>
    <n v="41"/>
    <x v="17"/>
    <n v="85.14"/>
    <n v="26.09"/>
    <n v="3.67"/>
    <n v="6.58"/>
    <n v="108.6"/>
    <n v="1047"/>
    <n v="4"/>
    <n v="116"/>
  </r>
  <r>
    <n v="1524"/>
    <s v="2023-09-02"/>
    <n v="2023"/>
    <s v="Q3"/>
    <x v="8"/>
    <x v="1"/>
    <x v="1"/>
    <x v="1327"/>
    <x v="4"/>
    <n v="46"/>
    <x v="178"/>
    <n v="77.680000000000007"/>
    <n v="19.18"/>
    <n v="20.23"/>
    <n v="4.3899999999999997"/>
    <n v="257.29000000000002"/>
    <n v="867"/>
    <n v="2"/>
    <n v="64"/>
  </r>
  <r>
    <n v="1525"/>
    <s v="2023-09-02"/>
    <n v="2023"/>
    <s v="Q3"/>
    <x v="8"/>
    <x v="2"/>
    <x v="1"/>
    <x v="512"/>
    <x v="1"/>
    <n v="21"/>
    <x v="9"/>
    <n v="83.85"/>
    <n v="25.92"/>
    <n v="17.68"/>
    <n v="7.21"/>
    <n v="417.07"/>
    <n v="249"/>
    <n v="1"/>
    <n v="203"/>
  </r>
  <r>
    <n v="1526"/>
    <s v="2023-09-10"/>
    <n v="2023"/>
    <s v="Q3"/>
    <x v="8"/>
    <x v="6"/>
    <x v="2"/>
    <x v="1283"/>
    <x v="0"/>
    <n v="11"/>
    <x v="461"/>
    <n v="85.88"/>
    <n v="14.73"/>
    <n v="10.6"/>
    <n v="6.01"/>
    <n v="314.33999999999997"/>
    <n v="935"/>
    <n v="1"/>
    <n v="118"/>
  </r>
  <r>
    <n v="1527"/>
    <s v="2023-09-18"/>
    <n v="2023"/>
    <s v="Q3"/>
    <x v="8"/>
    <x v="6"/>
    <x v="3"/>
    <x v="1328"/>
    <x v="4"/>
    <n v="4"/>
    <x v="67"/>
    <n v="92.68"/>
    <n v="31.25"/>
    <n v="7.62"/>
    <n v="15.68"/>
    <n v="175.34"/>
    <n v="603"/>
    <n v="5"/>
    <n v="158"/>
  </r>
  <r>
    <n v="1528"/>
    <s v="2023-09-20"/>
    <n v="2023"/>
    <s v="Q3"/>
    <x v="8"/>
    <x v="5"/>
    <x v="2"/>
    <x v="1329"/>
    <x v="2"/>
    <n v="47"/>
    <x v="116"/>
    <n v="92.96"/>
    <n v="10.62"/>
    <n v="14.31"/>
    <n v="9.89"/>
    <n v="456.77"/>
    <n v="465"/>
    <n v="4"/>
    <n v="181"/>
  </r>
  <r>
    <n v="1529"/>
    <s v="2023-09-22"/>
    <n v="2023"/>
    <s v="Q3"/>
    <x v="8"/>
    <x v="7"/>
    <x v="4"/>
    <x v="598"/>
    <x v="4"/>
    <n v="13"/>
    <x v="127"/>
    <n v="79.44"/>
    <n v="7.99"/>
    <n v="2.04"/>
    <n v="3.12"/>
    <n v="516.04999999999995"/>
    <n v="754"/>
    <n v="2"/>
    <n v="61"/>
  </r>
  <r>
    <n v="1530"/>
    <s v="2023-09-14"/>
    <n v="2023"/>
    <s v="Q3"/>
    <x v="8"/>
    <x v="5"/>
    <x v="3"/>
    <x v="1330"/>
    <x v="1"/>
    <n v="16"/>
    <x v="23"/>
    <n v="79.11"/>
    <n v="5.84"/>
    <n v="13.58"/>
    <n v="11.74"/>
    <n v="205.49"/>
    <n v="355"/>
    <n v="3"/>
    <n v="99"/>
  </r>
  <r>
    <n v="1531"/>
    <s v="2023-10-26"/>
    <n v="2023"/>
    <s v="Q4"/>
    <x v="9"/>
    <x v="1"/>
    <x v="4"/>
    <x v="1218"/>
    <x v="0"/>
    <n v="4"/>
    <x v="405"/>
    <n v="80.09"/>
    <n v="28.33"/>
    <n v="4.5999999999999996"/>
    <n v="7.02"/>
    <n v="283.47000000000003"/>
    <n v="378"/>
    <n v="4"/>
    <n v="164"/>
  </r>
  <r>
    <n v="1532"/>
    <s v="2023-10-08"/>
    <n v="2023"/>
    <s v="Q4"/>
    <x v="9"/>
    <x v="6"/>
    <x v="0"/>
    <x v="1331"/>
    <x v="1"/>
    <n v="37"/>
    <x v="330"/>
    <n v="82.07"/>
    <n v="5.56"/>
    <n v="20.69"/>
    <n v="10.8"/>
    <n v="511.57"/>
    <n v="331"/>
    <n v="5"/>
    <n v="234"/>
  </r>
  <r>
    <n v="1533"/>
    <s v="2023-10-12"/>
    <n v="2023"/>
    <s v="Q4"/>
    <x v="9"/>
    <x v="5"/>
    <x v="3"/>
    <x v="1332"/>
    <x v="4"/>
    <n v="33"/>
    <x v="351"/>
    <n v="86.51"/>
    <n v="24.14"/>
    <n v="4.5999999999999996"/>
    <n v="12.15"/>
    <n v="585.9"/>
    <n v="558"/>
    <n v="3"/>
    <n v="143"/>
  </r>
  <r>
    <n v="1534"/>
    <s v="2023-10-06"/>
    <n v="2023"/>
    <s v="Q4"/>
    <x v="9"/>
    <x v="0"/>
    <x v="2"/>
    <x v="1333"/>
    <x v="1"/>
    <n v="36"/>
    <x v="477"/>
    <n v="79.98"/>
    <n v="12.19"/>
    <n v="10.38"/>
    <n v="11.99"/>
    <n v="556.79999999999995"/>
    <n v="641"/>
    <n v="5"/>
    <n v="137"/>
  </r>
  <r>
    <n v="1535"/>
    <s v="2023-10-09"/>
    <n v="2023"/>
    <s v="Q4"/>
    <x v="9"/>
    <x v="3"/>
    <x v="1"/>
    <x v="1334"/>
    <x v="3"/>
    <n v="13"/>
    <x v="279"/>
    <n v="75.81"/>
    <n v="21.12"/>
    <n v="16"/>
    <n v="12.2"/>
    <n v="159.25"/>
    <n v="401"/>
    <n v="2"/>
    <n v="165"/>
  </r>
  <r>
    <n v="1536"/>
    <s v="2023-10-11"/>
    <n v="2023"/>
    <s v="Q4"/>
    <x v="9"/>
    <x v="3"/>
    <x v="4"/>
    <x v="31"/>
    <x v="4"/>
    <n v="9"/>
    <x v="286"/>
    <n v="79.92"/>
    <n v="23.3"/>
    <n v="9.2899999999999991"/>
    <n v="14.09"/>
    <n v="297.70999999999998"/>
    <n v="606"/>
    <n v="4"/>
    <n v="106"/>
  </r>
  <r>
    <n v="1537"/>
    <s v="2023-10-13"/>
    <n v="2023"/>
    <s v="Q4"/>
    <x v="9"/>
    <x v="4"/>
    <x v="1"/>
    <x v="659"/>
    <x v="2"/>
    <n v="13"/>
    <x v="216"/>
    <n v="90.84"/>
    <n v="26.79"/>
    <n v="10.76"/>
    <n v="7.57"/>
    <n v="437.2"/>
    <n v="131"/>
    <n v="1"/>
    <n v="204"/>
  </r>
  <r>
    <n v="1538"/>
    <s v="2023-10-11"/>
    <n v="2023"/>
    <s v="Q4"/>
    <x v="9"/>
    <x v="7"/>
    <x v="1"/>
    <x v="1335"/>
    <x v="1"/>
    <n v="2"/>
    <x v="295"/>
    <n v="76.69"/>
    <n v="17.28"/>
    <n v="5.7"/>
    <n v="10.89"/>
    <n v="521.41999999999996"/>
    <n v="518"/>
    <n v="3"/>
    <n v="84"/>
  </r>
  <r>
    <n v="1539"/>
    <s v="2023-10-13"/>
    <n v="2023"/>
    <s v="Q4"/>
    <x v="9"/>
    <x v="0"/>
    <x v="1"/>
    <x v="840"/>
    <x v="1"/>
    <n v="7"/>
    <x v="464"/>
    <n v="91.48"/>
    <n v="17.25"/>
    <n v="21.67"/>
    <n v="4.79"/>
    <n v="555.1"/>
    <n v="994"/>
    <n v="3"/>
    <n v="111"/>
  </r>
  <r>
    <n v="1540"/>
    <s v="2023-10-18"/>
    <n v="2023"/>
    <s v="Q4"/>
    <x v="9"/>
    <x v="5"/>
    <x v="0"/>
    <x v="266"/>
    <x v="2"/>
    <n v="45"/>
    <x v="367"/>
    <n v="78.099999999999994"/>
    <n v="15.19"/>
    <n v="18.97"/>
    <n v="14.55"/>
    <n v="304.91000000000003"/>
    <n v="522"/>
    <n v="3"/>
    <n v="189"/>
  </r>
  <r>
    <n v="1541"/>
    <s v="2023-10-22"/>
    <n v="2023"/>
    <s v="Q4"/>
    <x v="9"/>
    <x v="5"/>
    <x v="3"/>
    <x v="1336"/>
    <x v="4"/>
    <n v="36"/>
    <x v="348"/>
    <n v="91.58"/>
    <n v="28.42"/>
    <n v="10.92"/>
    <n v="9.77"/>
    <n v="129.37"/>
    <n v="131"/>
    <n v="2"/>
    <n v="60"/>
  </r>
  <r>
    <n v="1542"/>
    <s v="2023-10-18"/>
    <n v="2023"/>
    <s v="Q4"/>
    <x v="9"/>
    <x v="0"/>
    <x v="4"/>
    <x v="1337"/>
    <x v="3"/>
    <n v="30"/>
    <x v="118"/>
    <n v="81.150000000000006"/>
    <n v="28.38"/>
    <n v="4.3499999999999996"/>
    <n v="8.26"/>
    <n v="481.07"/>
    <n v="116"/>
    <n v="3"/>
    <n v="210"/>
  </r>
  <r>
    <n v="1543"/>
    <s v="2023-10-02"/>
    <n v="2023"/>
    <s v="Q4"/>
    <x v="9"/>
    <x v="0"/>
    <x v="2"/>
    <x v="1338"/>
    <x v="2"/>
    <n v="50"/>
    <x v="337"/>
    <n v="93.53"/>
    <n v="8.93"/>
    <n v="15.17"/>
    <n v="9.4600000000000009"/>
    <n v="306.88"/>
    <n v="829"/>
    <n v="3"/>
    <n v="207"/>
  </r>
  <r>
    <n v="1544"/>
    <s v="2023-10-03"/>
    <n v="2023"/>
    <s v="Q4"/>
    <x v="9"/>
    <x v="7"/>
    <x v="1"/>
    <x v="1339"/>
    <x v="3"/>
    <n v="29"/>
    <x v="140"/>
    <n v="91.46"/>
    <n v="17.329999999999998"/>
    <n v="4.1399999999999997"/>
    <n v="11.72"/>
    <n v="252.37"/>
    <n v="316"/>
    <n v="3"/>
    <n v="87"/>
  </r>
  <r>
    <n v="1545"/>
    <s v="2023-10-03"/>
    <n v="2023"/>
    <s v="Q4"/>
    <x v="9"/>
    <x v="4"/>
    <x v="1"/>
    <x v="941"/>
    <x v="1"/>
    <n v="13"/>
    <x v="149"/>
    <n v="81.47"/>
    <n v="32.01"/>
    <n v="16.47"/>
    <n v="13.05"/>
    <n v="349.74"/>
    <n v="179"/>
    <n v="4"/>
    <n v="214"/>
  </r>
  <r>
    <n v="1546"/>
    <s v="2023-10-11"/>
    <n v="2023"/>
    <s v="Q4"/>
    <x v="9"/>
    <x v="1"/>
    <x v="3"/>
    <x v="1340"/>
    <x v="4"/>
    <n v="33"/>
    <x v="288"/>
    <n v="86.02"/>
    <n v="6.28"/>
    <n v="17.61"/>
    <n v="15.84"/>
    <n v="350.13"/>
    <n v="286"/>
    <n v="2"/>
    <n v="105"/>
  </r>
  <r>
    <n v="1547"/>
    <s v="2023-10-23"/>
    <n v="2023"/>
    <s v="Q4"/>
    <x v="9"/>
    <x v="3"/>
    <x v="3"/>
    <x v="1341"/>
    <x v="2"/>
    <n v="9"/>
    <x v="199"/>
    <n v="83.51"/>
    <n v="19.18"/>
    <n v="4.66"/>
    <n v="2.04"/>
    <n v="243.58"/>
    <n v="463"/>
    <n v="3"/>
    <n v="230"/>
  </r>
  <r>
    <n v="1548"/>
    <s v="2023-09-30"/>
    <n v="2023"/>
    <s v="Q4"/>
    <x v="9"/>
    <x v="2"/>
    <x v="2"/>
    <x v="160"/>
    <x v="4"/>
    <n v="32"/>
    <x v="251"/>
    <n v="77.33"/>
    <n v="29.82"/>
    <n v="17.739999999999998"/>
    <n v="14.34"/>
    <n v="110.42"/>
    <n v="759"/>
    <n v="5"/>
    <n v="124"/>
  </r>
  <r>
    <n v="1549"/>
    <s v="2023-10-05"/>
    <n v="2023"/>
    <s v="Q4"/>
    <x v="9"/>
    <x v="5"/>
    <x v="4"/>
    <x v="1342"/>
    <x v="0"/>
    <n v="24"/>
    <x v="216"/>
    <n v="93.24"/>
    <n v="34.06"/>
    <n v="18.38"/>
    <n v="10.050000000000001"/>
    <n v="517.73"/>
    <n v="805"/>
    <n v="1"/>
    <n v="134"/>
  </r>
  <r>
    <n v="1550"/>
    <s v="2023-10-22"/>
    <n v="2023"/>
    <s v="Q4"/>
    <x v="9"/>
    <x v="1"/>
    <x v="4"/>
    <x v="1343"/>
    <x v="3"/>
    <n v="36"/>
    <x v="160"/>
    <n v="79.16"/>
    <n v="23.83"/>
    <n v="3.18"/>
    <n v="14.39"/>
    <n v="383.96"/>
    <n v="459"/>
    <n v="5"/>
    <n v="168"/>
  </r>
  <r>
    <n v="1551"/>
    <s v="2023-10-09"/>
    <n v="2023"/>
    <s v="Q4"/>
    <x v="9"/>
    <x v="0"/>
    <x v="3"/>
    <x v="941"/>
    <x v="2"/>
    <n v="23"/>
    <x v="478"/>
    <n v="75.08"/>
    <n v="20.76"/>
    <n v="9.4700000000000006"/>
    <n v="3.42"/>
    <n v="592.05999999999995"/>
    <n v="166"/>
    <n v="2"/>
    <n v="95"/>
  </r>
  <r>
    <n v="1552"/>
    <s v="2023-10-03"/>
    <n v="2023"/>
    <s v="Q4"/>
    <x v="9"/>
    <x v="2"/>
    <x v="1"/>
    <x v="1344"/>
    <x v="0"/>
    <n v="15"/>
    <x v="82"/>
    <n v="86.3"/>
    <n v="13.74"/>
    <n v="15.4"/>
    <n v="2.86"/>
    <n v="381.84"/>
    <n v="785"/>
    <n v="5"/>
    <n v="133"/>
  </r>
  <r>
    <n v="1553"/>
    <s v="2023-10-24"/>
    <n v="2023"/>
    <s v="Q4"/>
    <x v="9"/>
    <x v="5"/>
    <x v="1"/>
    <x v="984"/>
    <x v="2"/>
    <n v="23"/>
    <x v="362"/>
    <n v="82.18"/>
    <n v="6.49"/>
    <n v="15.64"/>
    <n v="10.09"/>
    <n v="508.4"/>
    <n v="880"/>
    <n v="2"/>
    <n v="153"/>
  </r>
  <r>
    <n v="1554"/>
    <s v="2023-09-30"/>
    <n v="2023"/>
    <s v="Q4"/>
    <x v="9"/>
    <x v="1"/>
    <x v="2"/>
    <x v="1345"/>
    <x v="0"/>
    <n v="9"/>
    <x v="443"/>
    <n v="84.1"/>
    <n v="26.48"/>
    <n v="11.83"/>
    <n v="2.08"/>
    <n v="503.75"/>
    <n v="487"/>
    <n v="2"/>
    <n v="87"/>
  </r>
  <r>
    <n v="1555"/>
    <s v="2023-10-07"/>
    <n v="2023"/>
    <s v="Q4"/>
    <x v="9"/>
    <x v="1"/>
    <x v="0"/>
    <x v="1346"/>
    <x v="2"/>
    <n v="12"/>
    <x v="295"/>
    <n v="84.99"/>
    <n v="14.5"/>
    <n v="20.010000000000002"/>
    <n v="6.6"/>
    <n v="325.01"/>
    <n v="139"/>
    <n v="2"/>
    <n v="96"/>
  </r>
  <r>
    <n v="1556"/>
    <s v="2023-10-03"/>
    <n v="2023"/>
    <s v="Q4"/>
    <x v="9"/>
    <x v="4"/>
    <x v="3"/>
    <x v="1347"/>
    <x v="1"/>
    <n v="40"/>
    <x v="288"/>
    <n v="88.92"/>
    <n v="9.11"/>
    <n v="5.67"/>
    <n v="14.91"/>
    <n v="532.15"/>
    <n v="412"/>
    <n v="1"/>
    <n v="73"/>
  </r>
  <r>
    <n v="1557"/>
    <s v="2023-10-20"/>
    <n v="2023"/>
    <s v="Q4"/>
    <x v="9"/>
    <x v="5"/>
    <x v="1"/>
    <x v="1348"/>
    <x v="3"/>
    <n v="32"/>
    <x v="207"/>
    <n v="93.88"/>
    <n v="19.79"/>
    <n v="8.3699999999999992"/>
    <n v="9.26"/>
    <n v="150.82"/>
    <n v="533"/>
    <n v="5"/>
    <n v="161"/>
  </r>
  <r>
    <n v="1558"/>
    <s v="2023-10-27"/>
    <n v="2023"/>
    <s v="Q4"/>
    <x v="9"/>
    <x v="2"/>
    <x v="1"/>
    <x v="1349"/>
    <x v="0"/>
    <n v="50"/>
    <x v="35"/>
    <n v="83.88"/>
    <n v="8.99"/>
    <n v="12.83"/>
    <n v="1.81"/>
    <n v="171.51"/>
    <n v="447"/>
    <n v="4"/>
    <n v="168"/>
  </r>
  <r>
    <n v="1559"/>
    <s v="2023-10-05"/>
    <n v="2023"/>
    <s v="Q4"/>
    <x v="9"/>
    <x v="1"/>
    <x v="4"/>
    <x v="1350"/>
    <x v="4"/>
    <n v="28"/>
    <x v="85"/>
    <n v="93.89"/>
    <n v="7.93"/>
    <n v="17.62"/>
    <n v="12.33"/>
    <n v="353.31"/>
    <n v="621"/>
    <n v="2"/>
    <n v="175"/>
  </r>
  <r>
    <n v="1560"/>
    <s v="2023-10-15"/>
    <n v="2023"/>
    <s v="Q4"/>
    <x v="9"/>
    <x v="5"/>
    <x v="0"/>
    <x v="1351"/>
    <x v="0"/>
    <n v="19"/>
    <x v="152"/>
    <n v="89.11"/>
    <n v="33.270000000000003"/>
    <n v="5.77"/>
    <n v="3.43"/>
    <n v="131.29"/>
    <n v="1035"/>
    <n v="1"/>
    <n v="81"/>
  </r>
  <r>
    <n v="1561"/>
    <s v="2023-10-21"/>
    <n v="2023"/>
    <s v="Q4"/>
    <x v="9"/>
    <x v="1"/>
    <x v="4"/>
    <x v="1352"/>
    <x v="4"/>
    <n v="18"/>
    <x v="456"/>
    <n v="78.36"/>
    <n v="13.26"/>
    <n v="8.19"/>
    <n v="3.63"/>
    <n v="436.17"/>
    <n v="215"/>
    <n v="2"/>
    <n v="180"/>
  </r>
  <r>
    <n v="1562"/>
    <s v="2023-10-12"/>
    <n v="2023"/>
    <s v="Q4"/>
    <x v="9"/>
    <x v="3"/>
    <x v="0"/>
    <x v="1353"/>
    <x v="4"/>
    <n v="29"/>
    <x v="53"/>
    <n v="78.680000000000007"/>
    <n v="16.34"/>
    <n v="7.53"/>
    <n v="11.95"/>
    <n v="279.13"/>
    <n v="885"/>
    <n v="4"/>
    <n v="136"/>
  </r>
  <r>
    <n v="1563"/>
    <s v="2023-09-30"/>
    <n v="2023"/>
    <s v="Q4"/>
    <x v="9"/>
    <x v="4"/>
    <x v="2"/>
    <x v="1354"/>
    <x v="3"/>
    <n v="46"/>
    <x v="425"/>
    <n v="81.16"/>
    <n v="9.57"/>
    <n v="9.52"/>
    <n v="8.69"/>
    <n v="234.57"/>
    <n v="610"/>
    <n v="3"/>
    <n v="150"/>
  </r>
  <r>
    <n v="1564"/>
    <s v="2023-10-13"/>
    <n v="2023"/>
    <s v="Q4"/>
    <x v="9"/>
    <x v="3"/>
    <x v="1"/>
    <x v="1355"/>
    <x v="3"/>
    <n v="2"/>
    <x v="342"/>
    <n v="82.79"/>
    <n v="26"/>
    <n v="7.73"/>
    <n v="10.029999999999999"/>
    <n v="254"/>
    <n v="447"/>
    <n v="5"/>
    <n v="192"/>
  </r>
  <r>
    <n v="1565"/>
    <s v="2023-11-21"/>
    <n v="2023"/>
    <s v="Q4"/>
    <x v="10"/>
    <x v="3"/>
    <x v="0"/>
    <x v="1356"/>
    <x v="3"/>
    <n v="7"/>
    <x v="274"/>
    <n v="76.94"/>
    <n v="9.11"/>
    <n v="18.21"/>
    <n v="12.52"/>
    <n v="117.33"/>
    <n v="951"/>
    <n v="4"/>
    <n v="157"/>
  </r>
  <r>
    <n v="1566"/>
    <s v="2023-11-02"/>
    <n v="2023"/>
    <s v="Q4"/>
    <x v="10"/>
    <x v="1"/>
    <x v="3"/>
    <x v="1357"/>
    <x v="4"/>
    <n v="31"/>
    <x v="144"/>
    <n v="81.2"/>
    <n v="34.950000000000003"/>
    <n v="14.1"/>
    <n v="4.54"/>
    <n v="566.33000000000004"/>
    <n v="1092"/>
    <n v="2"/>
    <n v="90"/>
  </r>
  <r>
    <n v="1567"/>
    <s v="2023-11-08"/>
    <n v="2023"/>
    <s v="Q4"/>
    <x v="10"/>
    <x v="7"/>
    <x v="1"/>
    <x v="1358"/>
    <x v="4"/>
    <n v="33"/>
    <x v="238"/>
    <n v="84.68"/>
    <n v="24.23"/>
    <n v="9.2799999999999994"/>
    <n v="9.33"/>
    <n v="296.04000000000002"/>
    <n v="461"/>
    <n v="3"/>
    <n v="210"/>
  </r>
  <r>
    <n v="1568"/>
    <s v="2023-11-08"/>
    <n v="2023"/>
    <s v="Q4"/>
    <x v="10"/>
    <x v="3"/>
    <x v="1"/>
    <x v="533"/>
    <x v="3"/>
    <n v="50"/>
    <x v="409"/>
    <n v="76.290000000000006"/>
    <n v="34.06"/>
    <n v="8.3000000000000007"/>
    <n v="1.83"/>
    <n v="433.11"/>
    <n v="555"/>
    <n v="2"/>
    <n v="158"/>
  </r>
  <r>
    <n v="1569"/>
    <s v="2023-11-05"/>
    <n v="2023"/>
    <s v="Q4"/>
    <x v="10"/>
    <x v="0"/>
    <x v="4"/>
    <x v="1359"/>
    <x v="0"/>
    <n v="35"/>
    <x v="270"/>
    <n v="81.64"/>
    <n v="20.43"/>
    <n v="13.17"/>
    <n v="9.35"/>
    <n v="302.02"/>
    <n v="220"/>
    <n v="1"/>
    <n v="186"/>
  </r>
  <r>
    <n v="1570"/>
    <s v="2023-11-05"/>
    <n v="2023"/>
    <s v="Q4"/>
    <x v="10"/>
    <x v="1"/>
    <x v="3"/>
    <x v="1159"/>
    <x v="4"/>
    <n v="13"/>
    <x v="114"/>
    <n v="82.65"/>
    <n v="29.41"/>
    <n v="2.97"/>
    <n v="13.11"/>
    <n v="320.56"/>
    <n v="511"/>
    <n v="2"/>
    <n v="79"/>
  </r>
  <r>
    <n v="1571"/>
    <s v="2023-11-11"/>
    <n v="2023"/>
    <s v="Q4"/>
    <x v="10"/>
    <x v="3"/>
    <x v="2"/>
    <x v="1360"/>
    <x v="2"/>
    <n v="32"/>
    <x v="238"/>
    <n v="76.099999999999994"/>
    <n v="25.06"/>
    <n v="2.1"/>
    <n v="15.45"/>
    <n v="131.97"/>
    <n v="335"/>
    <n v="3"/>
    <n v="142"/>
  </r>
  <r>
    <n v="1572"/>
    <s v="2023-11-03"/>
    <n v="2023"/>
    <s v="Q4"/>
    <x v="10"/>
    <x v="3"/>
    <x v="2"/>
    <x v="1361"/>
    <x v="3"/>
    <n v="11"/>
    <x v="273"/>
    <n v="90.11"/>
    <n v="32.39"/>
    <n v="8.86"/>
    <n v="9.39"/>
    <n v="245.58"/>
    <n v="1047"/>
    <n v="3"/>
    <n v="81"/>
  </r>
  <r>
    <n v="1573"/>
    <s v="2023-11-01"/>
    <n v="2023"/>
    <s v="Q4"/>
    <x v="10"/>
    <x v="6"/>
    <x v="0"/>
    <x v="682"/>
    <x v="1"/>
    <n v="38"/>
    <x v="16"/>
    <n v="85.19"/>
    <n v="17.850000000000001"/>
    <n v="11.5"/>
    <n v="5.59"/>
    <n v="174.74"/>
    <n v="645"/>
    <n v="2"/>
    <n v="153"/>
  </r>
  <r>
    <n v="1574"/>
    <s v="2023-11-21"/>
    <n v="2023"/>
    <s v="Q4"/>
    <x v="10"/>
    <x v="5"/>
    <x v="2"/>
    <x v="1362"/>
    <x v="3"/>
    <n v="35"/>
    <x v="171"/>
    <n v="76.66"/>
    <n v="33.83"/>
    <n v="16.329999999999998"/>
    <n v="4.58"/>
    <n v="468.72"/>
    <n v="967"/>
    <n v="2"/>
    <n v="215"/>
  </r>
  <r>
    <n v="1575"/>
    <s v="2023-11-21"/>
    <n v="2023"/>
    <s v="Q4"/>
    <x v="10"/>
    <x v="2"/>
    <x v="4"/>
    <x v="1363"/>
    <x v="3"/>
    <n v="43"/>
    <x v="44"/>
    <n v="94.88"/>
    <n v="16.170000000000002"/>
    <n v="12.08"/>
    <n v="13.7"/>
    <n v="572.65"/>
    <n v="800"/>
    <n v="4"/>
    <n v="120"/>
  </r>
  <r>
    <n v="1576"/>
    <s v="2023-11-26"/>
    <n v="2023"/>
    <s v="Q4"/>
    <x v="10"/>
    <x v="7"/>
    <x v="0"/>
    <x v="1364"/>
    <x v="1"/>
    <n v="14"/>
    <x v="295"/>
    <n v="93.76"/>
    <n v="17.93"/>
    <n v="19.440000000000001"/>
    <n v="4.08"/>
    <n v="557.47"/>
    <n v="821"/>
    <n v="5"/>
    <n v="100"/>
  </r>
  <r>
    <n v="1577"/>
    <s v="2023-11-14"/>
    <n v="2023"/>
    <s v="Q4"/>
    <x v="10"/>
    <x v="1"/>
    <x v="0"/>
    <x v="1365"/>
    <x v="0"/>
    <n v="31"/>
    <x v="361"/>
    <n v="76.599999999999994"/>
    <n v="28.28"/>
    <n v="7.67"/>
    <n v="13.35"/>
    <n v="259.83"/>
    <n v="650"/>
    <n v="4"/>
    <n v="69"/>
  </r>
  <r>
    <n v="1578"/>
    <s v="2023-11-08"/>
    <n v="2023"/>
    <s v="Q4"/>
    <x v="10"/>
    <x v="7"/>
    <x v="4"/>
    <x v="1366"/>
    <x v="4"/>
    <n v="25"/>
    <x v="273"/>
    <n v="87.98"/>
    <n v="12.1"/>
    <n v="11.71"/>
    <n v="2.39"/>
    <n v="198.51"/>
    <n v="307"/>
    <n v="5"/>
    <n v="202"/>
  </r>
  <r>
    <n v="1579"/>
    <s v="2023-11-06"/>
    <n v="2023"/>
    <s v="Q4"/>
    <x v="10"/>
    <x v="7"/>
    <x v="2"/>
    <x v="1367"/>
    <x v="3"/>
    <n v="34"/>
    <x v="143"/>
    <n v="85.5"/>
    <n v="29.59"/>
    <n v="10.28"/>
    <n v="3.56"/>
    <n v="508.21"/>
    <n v="768"/>
    <n v="5"/>
    <n v="175"/>
  </r>
  <r>
    <n v="1580"/>
    <s v="2023-11-19"/>
    <n v="2023"/>
    <s v="Q4"/>
    <x v="10"/>
    <x v="4"/>
    <x v="0"/>
    <x v="1368"/>
    <x v="0"/>
    <n v="14"/>
    <x v="235"/>
    <n v="92.35"/>
    <n v="18.18"/>
    <n v="21.17"/>
    <n v="2.35"/>
    <n v="591.36"/>
    <n v="1029"/>
    <n v="5"/>
    <n v="211"/>
  </r>
  <r>
    <n v="1581"/>
    <s v="2023-11-04"/>
    <n v="2023"/>
    <s v="Q4"/>
    <x v="10"/>
    <x v="3"/>
    <x v="1"/>
    <x v="1369"/>
    <x v="0"/>
    <n v="44"/>
    <x v="218"/>
    <n v="87.68"/>
    <n v="9.36"/>
    <n v="11.49"/>
    <n v="9.84"/>
    <n v="273.49"/>
    <n v="621"/>
    <n v="3"/>
    <n v="233"/>
  </r>
  <r>
    <n v="1582"/>
    <s v="2023-11-23"/>
    <n v="2023"/>
    <s v="Q4"/>
    <x v="10"/>
    <x v="3"/>
    <x v="0"/>
    <x v="1370"/>
    <x v="1"/>
    <n v="20"/>
    <x v="419"/>
    <n v="83.03"/>
    <n v="23.56"/>
    <n v="8.51"/>
    <n v="13.33"/>
    <n v="234.03"/>
    <n v="782"/>
    <n v="2"/>
    <n v="72"/>
  </r>
  <r>
    <n v="1583"/>
    <s v="2023-11-03"/>
    <n v="2023"/>
    <s v="Q4"/>
    <x v="10"/>
    <x v="6"/>
    <x v="2"/>
    <x v="1371"/>
    <x v="2"/>
    <n v="50"/>
    <x v="17"/>
    <n v="88.1"/>
    <n v="28.46"/>
    <n v="9.48"/>
    <n v="9.9499999999999993"/>
    <n v="107.34"/>
    <n v="526"/>
    <n v="4"/>
    <n v="100"/>
  </r>
  <r>
    <n v="1584"/>
    <s v="2023-11-10"/>
    <n v="2023"/>
    <s v="Q4"/>
    <x v="10"/>
    <x v="4"/>
    <x v="0"/>
    <x v="1372"/>
    <x v="3"/>
    <n v="37"/>
    <x v="144"/>
    <n v="77.53"/>
    <n v="34.869999999999997"/>
    <n v="17.95"/>
    <n v="1.59"/>
    <n v="424.91"/>
    <n v="387"/>
    <n v="3"/>
    <n v="94"/>
  </r>
  <r>
    <n v="1585"/>
    <s v="2023-11-15"/>
    <n v="2023"/>
    <s v="Q4"/>
    <x v="10"/>
    <x v="0"/>
    <x v="3"/>
    <x v="237"/>
    <x v="1"/>
    <n v="50"/>
    <x v="260"/>
    <n v="76.760000000000005"/>
    <n v="21.67"/>
    <n v="21.97"/>
    <n v="4.97"/>
    <n v="481.65"/>
    <n v="731"/>
    <n v="1"/>
    <n v="80"/>
  </r>
  <r>
    <n v="1586"/>
    <s v="2023-11-23"/>
    <n v="2023"/>
    <s v="Q4"/>
    <x v="10"/>
    <x v="2"/>
    <x v="3"/>
    <x v="1373"/>
    <x v="1"/>
    <n v="38"/>
    <x v="70"/>
    <n v="78.349999999999994"/>
    <n v="30.31"/>
    <n v="11.48"/>
    <n v="4.32"/>
    <n v="247.96"/>
    <n v="741"/>
    <n v="5"/>
    <n v="65"/>
  </r>
  <r>
    <n v="1587"/>
    <s v="2023-11-27"/>
    <n v="2023"/>
    <s v="Q4"/>
    <x v="10"/>
    <x v="5"/>
    <x v="2"/>
    <x v="1374"/>
    <x v="0"/>
    <n v="34"/>
    <x v="475"/>
    <n v="78.66"/>
    <n v="10.69"/>
    <n v="6.13"/>
    <n v="4.5"/>
    <n v="401.88"/>
    <n v="1090"/>
    <n v="1"/>
    <n v="112"/>
  </r>
  <r>
    <n v="1588"/>
    <s v="2023-11-12"/>
    <n v="2023"/>
    <s v="Q4"/>
    <x v="10"/>
    <x v="6"/>
    <x v="2"/>
    <x v="1375"/>
    <x v="4"/>
    <n v="41"/>
    <x v="406"/>
    <n v="78.33"/>
    <n v="23.1"/>
    <n v="3.8"/>
    <n v="12.31"/>
    <n v="318.56"/>
    <n v="261"/>
    <n v="3"/>
    <n v="226"/>
  </r>
  <r>
    <n v="1589"/>
    <s v="2023-11-02"/>
    <n v="2023"/>
    <s v="Q4"/>
    <x v="10"/>
    <x v="3"/>
    <x v="4"/>
    <x v="285"/>
    <x v="2"/>
    <n v="3"/>
    <x v="245"/>
    <n v="82.82"/>
    <n v="30.3"/>
    <n v="19.36"/>
    <n v="9.9"/>
    <n v="205.11"/>
    <n v="367"/>
    <n v="5"/>
    <n v="241"/>
  </r>
  <r>
    <n v="1590"/>
    <s v="2023-11-07"/>
    <n v="2023"/>
    <s v="Q4"/>
    <x v="10"/>
    <x v="2"/>
    <x v="1"/>
    <x v="1376"/>
    <x v="4"/>
    <n v="39"/>
    <x v="282"/>
    <n v="79.11"/>
    <n v="15.49"/>
    <n v="9.06"/>
    <n v="10.119999999999999"/>
    <n v="483.28"/>
    <n v="548"/>
    <n v="1"/>
    <n v="249"/>
  </r>
  <r>
    <n v="1591"/>
    <s v="2023-11-12"/>
    <n v="2023"/>
    <s v="Q4"/>
    <x v="10"/>
    <x v="5"/>
    <x v="1"/>
    <x v="1377"/>
    <x v="0"/>
    <n v="5"/>
    <x v="206"/>
    <n v="76.260000000000005"/>
    <n v="5.35"/>
    <n v="3.55"/>
    <n v="15.2"/>
    <n v="509.17"/>
    <n v="319"/>
    <n v="5"/>
    <n v="195"/>
  </r>
  <r>
    <n v="1592"/>
    <s v="2023-11-13"/>
    <n v="2023"/>
    <s v="Q4"/>
    <x v="10"/>
    <x v="4"/>
    <x v="4"/>
    <x v="1378"/>
    <x v="1"/>
    <n v="15"/>
    <x v="327"/>
    <n v="86.59"/>
    <n v="15.43"/>
    <n v="16.239999999999998"/>
    <n v="12.3"/>
    <n v="489.64"/>
    <n v="1006"/>
    <n v="3"/>
    <n v="73"/>
  </r>
  <r>
    <n v="1593"/>
    <s v="2023-11-18"/>
    <n v="2023"/>
    <s v="Q4"/>
    <x v="10"/>
    <x v="7"/>
    <x v="1"/>
    <x v="1193"/>
    <x v="3"/>
    <n v="15"/>
    <x v="424"/>
    <n v="75.989999999999995"/>
    <n v="11.33"/>
    <n v="9.52"/>
    <n v="9.57"/>
    <n v="215.85"/>
    <n v="854"/>
    <n v="5"/>
    <n v="121"/>
  </r>
  <r>
    <n v="1594"/>
    <s v="2023-11-21"/>
    <n v="2023"/>
    <s v="Q4"/>
    <x v="10"/>
    <x v="2"/>
    <x v="4"/>
    <x v="808"/>
    <x v="1"/>
    <n v="1"/>
    <x v="23"/>
    <n v="81.39"/>
    <n v="18.760000000000002"/>
    <n v="11.41"/>
    <n v="1.58"/>
    <n v="570.63"/>
    <n v="168"/>
    <n v="2"/>
    <n v="96"/>
  </r>
  <r>
    <n v="1595"/>
    <s v="2023-11-24"/>
    <n v="2023"/>
    <s v="Q4"/>
    <x v="10"/>
    <x v="2"/>
    <x v="2"/>
    <x v="1379"/>
    <x v="0"/>
    <n v="19"/>
    <x v="396"/>
    <n v="89.42"/>
    <n v="28.32"/>
    <n v="20.46"/>
    <n v="15.92"/>
    <n v="137.6"/>
    <n v="960"/>
    <n v="3"/>
    <n v="127"/>
  </r>
  <r>
    <n v="1596"/>
    <s v="2023-11-23"/>
    <n v="2023"/>
    <s v="Q4"/>
    <x v="10"/>
    <x v="1"/>
    <x v="3"/>
    <x v="1380"/>
    <x v="2"/>
    <n v="1"/>
    <x v="334"/>
    <n v="85.42"/>
    <n v="25.38"/>
    <n v="10.1"/>
    <n v="15.47"/>
    <n v="175.37"/>
    <n v="323"/>
    <n v="3"/>
    <n v="82"/>
  </r>
  <r>
    <n v="1597"/>
    <s v="2023-11-14"/>
    <n v="2023"/>
    <s v="Q4"/>
    <x v="10"/>
    <x v="6"/>
    <x v="4"/>
    <x v="1381"/>
    <x v="1"/>
    <n v="10"/>
    <x v="236"/>
    <n v="87.31"/>
    <n v="18.010000000000002"/>
    <n v="11.07"/>
    <n v="4.3499999999999996"/>
    <n v="301.73"/>
    <n v="691"/>
    <n v="2"/>
    <n v="127"/>
  </r>
  <r>
    <n v="1598"/>
    <s v="2023-11-27"/>
    <n v="2023"/>
    <s v="Q4"/>
    <x v="10"/>
    <x v="4"/>
    <x v="1"/>
    <x v="1268"/>
    <x v="2"/>
    <n v="19"/>
    <x v="440"/>
    <n v="90.12"/>
    <n v="12.7"/>
    <n v="20.78"/>
    <n v="6.1"/>
    <n v="523.27"/>
    <n v="174"/>
    <n v="2"/>
    <n v="140"/>
  </r>
  <r>
    <n v="1599"/>
    <s v="2023-12-21"/>
    <n v="2023"/>
    <s v="Q4"/>
    <x v="11"/>
    <x v="0"/>
    <x v="3"/>
    <x v="1382"/>
    <x v="2"/>
    <n v="21"/>
    <x v="125"/>
    <n v="90.1"/>
    <n v="30.09"/>
    <n v="14.26"/>
    <n v="1.38"/>
    <n v="329.25"/>
    <n v="327"/>
    <n v="2"/>
    <n v="91"/>
  </r>
  <r>
    <n v="1600"/>
    <s v="2023-12-25"/>
    <n v="2023"/>
    <s v="Q4"/>
    <x v="11"/>
    <x v="6"/>
    <x v="3"/>
    <x v="876"/>
    <x v="4"/>
    <n v="2"/>
    <x v="332"/>
    <n v="80.930000000000007"/>
    <n v="29.99"/>
    <n v="4.1100000000000003"/>
    <n v="5.12"/>
    <n v="127.9"/>
    <n v="983"/>
    <n v="2"/>
    <n v="100"/>
  </r>
  <r>
    <n v="1601"/>
    <s v="2023-12-05"/>
    <n v="2023"/>
    <s v="Q4"/>
    <x v="11"/>
    <x v="1"/>
    <x v="4"/>
    <x v="1383"/>
    <x v="1"/>
    <n v="37"/>
    <x v="91"/>
    <n v="86.51"/>
    <n v="28.41"/>
    <n v="7.66"/>
    <n v="5.96"/>
    <n v="129.97999999999999"/>
    <n v="102"/>
    <n v="1"/>
    <n v="232"/>
  </r>
  <r>
    <n v="1602"/>
    <s v="2023-12-02"/>
    <n v="2023"/>
    <s v="Q4"/>
    <x v="11"/>
    <x v="1"/>
    <x v="2"/>
    <x v="1384"/>
    <x v="3"/>
    <n v="27"/>
    <x v="41"/>
    <n v="78.89"/>
    <n v="25.02"/>
    <n v="4.97"/>
    <n v="2.92"/>
    <n v="398.82"/>
    <n v="495"/>
    <n v="5"/>
    <n v="95"/>
  </r>
  <r>
    <n v="1603"/>
    <s v="2023-12-20"/>
    <n v="2023"/>
    <s v="Q4"/>
    <x v="11"/>
    <x v="6"/>
    <x v="1"/>
    <x v="1385"/>
    <x v="3"/>
    <n v="25"/>
    <x v="261"/>
    <n v="84.5"/>
    <n v="30.22"/>
    <n v="13.9"/>
    <n v="3.99"/>
    <n v="129.26"/>
    <n v="745"/>
    <n v="5"/>
    <n v="108"/>
  </r>
  <r>
    <n v="1604"/>
    <s v="2023-12-12"/>
    <n v="2023"/>
    <s v="Q4"/>
    <x v="11"/>
    <x v="5"/>
    <x v="2"/>
    <x v="1386"/>
    <x v="4"/>
    <n v="11"/>
    <x v="373"/>
    <n v="94.28"/>
    <n v="32.61"/>
    <n v="2.61"/>
    <n v="8.66"/>
    <n v="475.49"/>
    <n v="199"/>
    <n v="1"/>
    <n v="248"/>
  </r>
  <r>
    <n v="1605"/>
    <s v="2023-12-01"/>
    <n v="2023"/>
    <s v="Q4"/>
    <x v="11"/>
    <x v="2"/>
    <x v="0"/>
    <x v="891"/>
    <x v="2"/>
    <n v="45"/>
    <x v="33"/>
    <n v="78.11"/>
    <n v="17.98"/>
    <n v="16.7"/>
    <n v="14.41"/>
    <n v="379.38"/>
    <n v="249"/>
    <n v="1"/>
    <n v="219"/>
  </r>
  <r>
    <n v="1606"/>
    <s v="2023-12-12"/>
    <n v="2023"/>
    <s v="Q4"/>
    <x v="11"/>
    <x v="7"/>
    <x v="0"/>
    <x v="1387"/>
    <x v="3"/>
    <n v="15"/>
    <x v="375"/>
    <n v="91.9"/>
    <n v="29.1"/>
    <n v="10.76"/>
    <n v="2.11"/>
    <n v="162.61000000000001"/>
    <n v="907"/>
    <n v="2"/>
    <n v="198"/>
  </r>
  <r>
    <n v="1607"/>
    <s v="2023-12-02"/>
    <n v="2023"/>
    <s v="Q4"/>
    <x v="11"/>
    <x v="2"/>
    <x v="4"/>
    <x v="1388"/>
    <x v="0"/>
    <n v="50"/>
    <x v="152"/>
    <n v="84.58"/>
    <n v="17.440000000000001"/>
    <n v="19.93"/>
    <n v="4.41"/>
    <n v="244.43"/>
    <n v="167"/>
    <n v="2"/>
    <n v="203"/>
  </r>
  <r>
    <n v="1608"/>
    <s v="2023-12-18"/>
    <n v="2023"/>
    <s v="Q4"/>
    <x v="11"/>
    <x v="1"/>
    <x v="3"/>
    <x v="1389"/>
    <x v="3"/>
    <n v="28"/>
    <x v="479"/>
    <n v="80.11"/>
    <n v="18.059999999999999"/>
    <n v="13.52"/>
    <n v="11.43"/>
    <n v="365.93"/>
    <n v="209"/>
    <n v="2"/>
    <n v="185"/>
  </r>
  <r>
    <n v="1609"/>
    <s v="2023-12-04"/>
    <n v="2023"/>
    <s v="Q4"/>
    <x v="11"/>
    <x v="0"/>
    <x v="2"/>
    <x v="1390"/>
    <x v="2"/>
    <n v="41"/>
    <x v="325"/>
    <n v="83.77"/>
    <n v="26.85"/>
    <n v="5.56"/>
    <n v="8.17"/>
    <n v="123.07"/>
    <n v="1036"/>
    <n v="5"/>
    <n v="94"/>
  </r>
  <r>
    <n v="1610"/>
    <s v="2023-12-26"/>
    <n v="2023"/>
    <s v="Q4"/>
    <x v="11"/>
    <x v="6"/>
    <x v="3"/>
    <x v="1391"/>
    <x v="1"/>
    <n v="24"/>
    <x v="259"/>
    <n v="85.86"/>
    <n v="23.39"/>
    <n v="17.77"/>
    <n v="4.09"/>
    <n v="389.46"/>
    <n v="201"/>
    <n v="4"/>
    <n v="240"/>
  </r>
  <r>
    <n v="1611"/>
    <s v="2023-12-27"/>
    <n v="2023"/>
    <s v="Q4"/>
    <x v="11"/>
    <x v="3"/>
    <x v="4"/>
    <x v="1392"/>
    <x v="4"/>
    <n v="31"/>
    <x v="342"/>
    <n v="76.25"/>
    <n v="33.630000000000003"/>
    <n v="8.26"/>
    <n v="13.92"/>
    <n v="167.31"/>
    <n v="1014"/>
    <n v="5"/>
    <n v="57"/>
  </r>
  <r>
    <n v="1612"/>
    <s v="2023-12-18"/>
    <n v="2023"/>
    <s v="Q4"/>
    <x v="11"/>
    <x v="7"/>
    <x v="4"/>
    <x v="1393"/>
    <x v="4"/>
    <n v="20"/>
    <x v="224"/>
    <n v="84.3"/>
    <n v="15.19"/>
    <n v="9.93"/>
    <n v="10.18"/>
    <n v="555.48"/>
    <n v="675"/>
    <n v="4"/>
    <n v="226"/>
  </r>
  <r>
    <n v="1613"/>
    <s v="2023-11-30"/>
    <n v="2023"/>
    <s v="Q4"/>
    <x v="11"/>
    <x v="3"/>
    <x v="4"/>
    <x v="1394"/>
    <x v="1"/>
    <n v="45"/>
    <x v="202"/>
    <n v="84.71"/>
    <n v="12.12"/>
    <n v="3.73"/>
    <n v="9.32"/>
    <n v="488.59"/>
    <n v="522"/>
    <n v="3"/>
    <n v="191"/>
  </r>
  <r>
    <n v="1614"/>
    <s v="2023-12-02"/>
    <n v="2023"/>
    <s v="Q4"/>
    <x v="11"/>
    <x v="7"/>
    <x v="3"/>
    <x v="58"/>
    <x v="0"/>
    <n v="5"/>
    <x v="134"/>
    <n v="82.93"/>
    <n v="13.54"/>
    <n v="9.1"/>
    <n v="6.87"/>
    <n v="218.54"/>
    <n v="463"/>
    <n v="5"/>
    <n v="80"/>
  </r>
  <r>
    <n v="1615"/>
    <s v="2023-12-10"/>
    <n v="2023"/>
    <s v="Q4"/>
    <x v="11"/>
    <x v="0"/>
    <x v="1"/>
    <x v="1395"/>
    <x v="2"/>
    <n v="42"/>
    <x v="63"/>
    <n v="87.68"/>
    <n v="21.68"/>
    <n v="19.93"/>
    <n v="10.57"/>
    <n v="120.88"/>
    <n v="1063"/>
    <n v="4"/>
    <n v="178"/>
  </r>
  <r>
    <n v="1616"/>
    <s v="2023-12-14"/>
    <n v="2023"/>
    <s v="Q4"/>
    <x v="11"/>
    <x v="1"/>
    <x v="0"/>
    <x v="1168"/>
    <x v="2"/>
    <n v="50"/>
    <x v="262"/>
    <n v="89.97"/>
    <n v="24.74"/>
    <n v="6.74"/>
    <n v="10.92"/>
    <n v="498.75"/>
    <n v="118"/>
    <n v="5"/>
    <n v="127"/>
  </r>
  <r>
    <n v="1617"/>
    <s v="2023-12-06"/>
    <n v="2023"/>
    <s v="Q4"/>
    <x v="11"/>
    <x v="4"/>
    <x v="2"/>
    <x v="1396"/>
    <x v="3"/>
    <n v="7"/>
    <x v="421"/>
    <n v="76.400000000000006"/>
    <n v="14.18"/>
    <n v="9.1199999999999992"/>
    <n v="8.5399999999999991"/>
    <n v="445.89"/>
    <n v="327"/>
    <n v="1"/>
    <n v="131"/>
  </r>
  <r>
    <n v="1618"/>
    <s v="2023-12-03"/>
    <n v="2023"/>
    <s v="Q4"/>
    <x v="11"/>
    <x v="1"/>
    <x v="1"/>
    <x v="574"/>
    <x v="1"/>
    <n v="33"/>
    <x v="370"/>
    <n v="90.59"/>
    <n v="15.46"/>
    <n v="11.28"/>
    <n v="6.73"/>
    <n v="458.17"/>
    <n v="567"/>
    <n v="2"/>
    <n v="65"/>
  </r>
  <r>
    <n v="1619"/>
    <s v="2023-12-23"/>
    <n v="2023"/>
    <s v="Q4"/>
    <x v="11"/>
    <x v="5"/>
    <x v="4"/>
    <x v="1397"/>
    <x v="1"/>
    <n v="29"/>
    <x v="253"/>
    <n v="92.64"/>
    <n v="18.190000000000001"/>
    <n v="3.59"/>
    <n v="15.1"/>
    <n v="102.55"/>
    <n v="868"/>
    <n v="4"/>
    <n v="91"/>
  </r>
  <r>
    <n v="1620"/>
    <s v="2023-12-04"/>
    <n v="2023"/>
    <s v="Q4"/>
    <x v="11"/>
    <x v="0"/>
    <x v="0"/>
    <x v="1398"/>
    <x v="3"/>
    <n v="22"/>
    <x v="278"/>
    <n v="79.069999999999993"/>
    <n v="9.1300000000000008"/>
    <n v="16.510000000000002"/>
    <n v="10.84"/>
    <n v="535.72"/>
    <n v="970"/>
    <n v="3"/>
    <n v="166"/>
  </r>
  <r>
    <n v="1621"/>
    <s v="2023-12-18"/>
    <n v="2023"/>
    <s v="Q4"/>
    <x v="11"/>
    <x v="7"/>
    <x v="2"/>
    <x v="42"/>
    <x v="3"/>
    <n v="14"/>
    <x v="212"/>
    <n v="88.43"/>
    <n v="9.51"/>
    <n v="2.13"/>
    <n v="1.38"/>
    <n v="489.24"/>
    <n v="763"/>
    <n v="4"/>
    <n v="171"/>
  </r>
  <r>
    <n v="1622"/>
    <s v="2023-12-19"/>
    <n v="2023"/>
    <s v="Q4"/>
    <x v="11"/>
    <x v="7"/>
    <x v="3"/>
    <x v="1399"/>
    <x v="0"/>
    <n v="12"/>
    <x v="326"/>
    <n v="79.64"/>
    <n v="19.260000000000002"/>
    <n v="7.91"/>
    <n v="12.33"/>
    <n v="261.66000000000003"/>
    <n v="278"/>
    <n v="5"/>
    <n v="194"/>
  </r>
  <r>
    <n v="1623"/>
    <s v="2023-12-07"/>
    <n v="2023"/>
    <s v="Q4"/>
    <x v="11"/>
    <x v="2"/>
    <x v="0"/>
    <x v="1400"/>
    <x v="3"/>
    <n v="26"/>
    <x v="470"/>
    <n v="76.819999999999993"/>
    <n v="20.49"/>
    <n v="19.03"/>
    <n v="12.04"/>
    <n v="503.22"/>
    <n v="952"/>
    <n v="4"/>
    <n v="219"/>
  </r>
  <r>
    <n v="1624"/>
    <s v="2023-12-27"/>
    <n v="2023"/>
    <s v="Q4"/>
    <x v="11"/>
    <x v="3"/>
    <x v="0"/>
    <x v="1401"/>
    <x v="0"/>
    <n v="21"/>
    <x v="23"/>
    <n v="88.05"/>
    <n v="16.53"/>
    <n v="20.67"/>
    <n v="15.55"/>
    <n v="455.08"/>
    <n v="1096"/>
    <n v="4"/>
    <n v="227"/>
  </r>
  <r>
    <n v="1625"/>
    <s v="2023-12-15"/>
    <n v="2023"/>
    <s v="Q4"/>
    <x v="11"/>
    <x v="5"/>
    <x v="0"/>
    <x v="539"/>
    <x v="1"/>
    <n v="24"/>
    <x v="74"/>
    <n v="93.86"/>
    <n v="8.51"/>
    <n v="8.83"/>
    <n v="15.36"/>
    <n v="335.46"/>
    <n v="544"/>
    <n v="2"/>
    <n v="183"/>
  </r>
  <r>
    <n v="1626"/>
    <s v="2023-12-01"/>
    <n v="2023"/>
    <s v="Q4"/>
    <x v="11"/>
    <x v="1"/>
    <x v="4"/>
    <x v="1402"/>
    <x v="1"/>
    <n v="4"/>
    <x v="14"/>
    <n v="93"/>
    <n v="19.45"/>
    <n v="8.1999999999999993"/>
    <n v="14.71"/>
    <n v="543.29"/>
    <n v="129"/>
    <n v="3"/>
    <n v="138"/>
  </r>
  <r>
    <n v="1627"/>
    <s v="2023-12-24"/>
    <n v="2023"/>
    <s v="Q4"/>
    <x v="11"/>
    <x v="0"/>
    <x v="1"/>
    <x v="1403"/>
    <x v="2"/>
    <n v="35"/>
    <x v="235"/>
    <n v="89.18"/>
    <n v="31.97"/>
    <n v="12.98"/>
    <n v="3.25"/>
    <n v="450.15"/>
    <n v="950"/>
    <n v="4"/>
    <n v="193"/>
  </r>
  <r>
    <n v="1628"/>
    <s v="2023-11-30"/>
    <n v="2023"/>
    <s v="Q4"/>
    <x v="11"/>
    <x v="2"/>
    <x v="4"/>
    <x v="1404"/>
    <x v="3"/>
    <n v="47"/>
    <x v="434"/>
    <n v="85.77"/>
    <n v="24.43"/>
    <n v="10.73"/>
    <n v="5.87"/>
    <n v="351.83"/>
    <n v="809"/>
    <n v="1"/>
    <n v="180"/>
  </r>
  <r>
    <n v="1629"/>
    <s v="2023-12-03"/>
    <n v="2023"/>
    <s v="Q4"/>
    <x v="11"/>
    <x v="3"/>
    <x v="3"/>
    <x v="1405"/>
    <x v="3"/>
    <n v="14"/>
    <x v="327"/>
    <n v="81.81"/>
    <n v="34.32"/>
    <n v="12.84"/>
    <n v="12.34"/>
    <n v="242.42"/>
    <n v="364"/>
    <n v="1"/>
    <n v="125"/>
  </r>
  <r>
    <n v="1630"/>
    <s v="2023-12-26"/>
    <n v="2023"/>
    <s v="Q4"/>
    <x v="11"/>
    <x v="5"/>
    <x v="2"/>
    <x v="1288"/>
    <x v="3"/>
    <n v="33"/>
    <x v="34"/>
    <n v="89.5"/>
    <n v="16.079999999999998"/>
    <n v="2.04"/>
    <n v="3.67"/>
    <n v="500.24"/>
    <n v="704"/>
    <n v="2"/>
    <n v="167"/>
  </r>
  <r>
    <n v="1631"/>
    <s v="2023-12-25"/>
    <n v="2023"/>
    <s v="Q4"/>
    <x v="11"/>
    <x v="6"/>
    <x v="4"/>
    <x v="1406"/>
    <x v="1"/>
    <n v="14"/>
    <x v="207"/>
    <n v="93.17"/>
    <n v="33.5"/>
    <n v="18.39"/>
    <n v="7.06"/>
    <n v="411.69"/>
    <n v="819"/>
    <n v="1"/>
    <n v="50"/>
  </r>
  <r>
    <n v="1632"/>
    <s v="2023-12-03"/>
    <n v="2023"/>
    <s v="Q4"/>
    <x v="11"/>
    <x v="5"/>
    <x v="3"/>
    <x v="307"/>
    <x v="4"/>
    <n v="28"/>
    <x v="48"/>
    <n v="80.430000000000007"/>
    <n v="13.68"/>
    <n v="10.33"/>
    <n v="14.28"/>
    <n v="239.71"/>
    <n v="861"/>
    <n v="2"/>
    <n v="120"/>
  </r>
  <r>
    <n v="1633"/>
    <s v="2024-01-12"/>
    <n v="2024"/>
    <s v="Q1"/>
    <x v="0"/>
    <x v="2"/>
    <x v="4"/>
    <x v="1407"/>
    <x v="4"/>
    <n v="6"/>
    <x v="480"/>
    <n v="88.71"/>
    <n v="15.15"/>
    <n v="8.52"/>
    <n v="3.33"/>
    <n v="169.65"/>
    <n v="962"/>
    <n v="5"/>
    <n v="182"/>
  </r>
  <r>
    <n v="1634"/>
    <s v="2024-01-24"/>
    <n v="2024"/>
    <s v="Q1"/>
    <x v="0"/>
    <x v="2"/>
    <x v="0"/>
    <x v="50"/>
    <x v="2"/>
    <n v="20"/>
    <x v="179"/>
    <n v="89.03"/>
    <n v="28.17"/>
    <n v="12.91"/>
    <n v="6.77"/>
    <n v="363.63"/>
    <n v="186"/>
    <n v="3"/>
    <n v="122"/>
  </r>
  <r>
    <n v="1635"/>
    <s v="2024-01-02"/>
    <n v="2024"/>
    <s v="Q1"/>
    <x v="0"/>
    <x v="4"/>
    <x v="0"/>
    <x v="1408"/>
    <x v="1"/>
    <n v="37"/>
    <x v="40"/>
    <n v="84.76"/>
    <n v="12.78"/>
    <n v="9.5"/>
    <n v="10.43"/>
    <n v="398.77"/>
    <n v="566"/>
    <n v="5"/>
    <n v="138"/>
  </r>
  <r>
    <n v="1636"/>
    <s v="2024-01-22"/>
    <n v="2024"/>
    <s v="Q1"/>
    <x v="0"/>
    <x v="1"/>
    <x v="2"/>
    <x v="1409"/>
    <x v="0"/>
    <n v="20"/>
    <x v="475"/>
    <n v="78.91"/>
    <n v="30.47"/>
    <n v="5.15"/>
    <n v="4.33"/>
    <n v="131.69"/>
    <n v="114"/>
    <n v="4"/>
    <n v="236"/>
  </r>
  <r>
    <n v="1637"/>
    <s v="2024-01-17"/>
    <n v="2024"/>
    <s v="Q1"/>
    <x v="0"/>
    <x v="2"/>
    <x v="4"/>
    <x v="84"/>
    <x v="3"/>
    <n v="11"/>
    <x v="369"/>
    <n v="93.77"/>
    <n v="9.1199999999999992"/>
    <n v="3.4"/>
    <n v="9.7200000000000006"/>
    <n v="414.3"/>
    <n v="294"/>
    <n v="5"/>
    <n v="186"/>
  </r>
  <r>
    <n v="1638"/>
    <s v="2024-01-01"/>
    <n v="2024"/>
    <s v="Q1"/>
    <x v="0"/>
    <x v="0"/>
    <x v="2"/>
    <x v="991"/>
    <x v="3"/>
    <n v="26"/>
    <x v="283"/>
    <n v="88.58"/>
    <n v="12.11"/>
    <n v="7.67"/>
    <n v="4.3600000000000003"/>
    <n v="524.86"/>
    <n v="367"/>
    <n v="1"/>
    <n v="155"/>
  </r>
  <r>
    <n v="1639"/>
    <s v="2024-01-09"/>
    <n v="2024"/>
    <s v="Q1"/>
    <x v="0"/>
    <x v="2"/>
    <x v="0"/>
    <x v="514"/>
    <x v="4"/>
    <n v="22"/>
    <x v="97"/>
    <n v="81.33"/>
    <n v="14.49"/>
    <n v="9.0500000000000007"/>
    <n v="4.66"/>
    <n v="481.93"/>
    <n v="544"/>
    <n v="4"/>
    <n v="96"/>
  </r>
  <r>
    <n v="1640"/>
    <s v="2023-12-31"/>
    <n v="2024"/>
    <s v="Q1"/>
    <x v="0"/>
    <x v="5"/>
    <x v="4"/>
    <x v="1410"/>
    <x v="2"/>
    <n v="6"/>
    <x v="48"/>
    <n v="76.03"/>
    <n v="30.79"/>
    <n v="3.44"/>
    <n v="3.74"/>
    <n v="493.8"/>
    <n v="1033"/>
    <n v="3"/>
    <n v="244"/>
  </r>
  <r>
    <n v="1641"/>
    <s v="2024-01-12"/>
    <n v="2024"/>
    <s v="Q1"/>
    <x v="0"/>
    <x v="6"/>
    <x v="0"/>
    <x v="541"/>
    <x v="0"/>
    <n v="39"/>
    <x v="451"/>
    <n v="75.08"/>
    <n v="17.510000000000002"/>
    <n v="15.11"/>
    <n v="10.86"/>
    <n v="266.74"/>
    <n v="915"/>
    <n v="3"/>
    <n v="170"/>
  </r>
  <r>
    <n v="1642"/>
    <s v="2024-01-13"/>
    <n v="2024"/>
    <s v="Q1"/>
    <x v="0"/>
    <x v="7"/>
    <x v="2"/>
    <x v="1411"/>
    <x v="2"/>
    <n v="4"/>
    <x v="321"/>
    <n v="85.75"/>
    <n v="16.809999999999999"/>
    <n v="3.52"/>
    <n v="10.77"/>
    <n v="457.96"/>
    <n v="228"/>
    <n v="5"/>
    <n v="52"/>
  </r>
  <r>
    <n v="1643"/>
    <s v="2023-12-31"/>
    <n v="2024"/>
    <s v="Q1"/>
    <x v="0"/>
    <x v="5"/>
    <x v="0"/>
    <x v="1412"/>
    <x v="0"/>
    <n v="33"/>
    <x v="214"/>
    <n v="90.92"/>
    <n v="8.86"/>
    <n v="5.67"/>
    <n v="7.33"/>
    <n v="201.18"/>
    <n v="367"/>
    <n v="2"/>
    <n v="56"/>
  </r>
  <r>
    <n v="1644"/>
    <s v="2024-01-16"/>
    <n v="2024"/>
    <s v="Q1"/>
    <x v="0"/>
    <x v="1"/>
    <x v="4"/>
    <x v="1413"/>
    <x v="0"/>
    <n v="23"/>
    <x v="481"/>
    <n v="79.95"/>
    <n v="33.92"/>
    <n v="16.5"/>
    <n v="7.53"/>
    <n v="347.44"/>
    <n v="372"/>
    <n v="4"/>
    <n v="73"/>
  </r>
  <r>
    <n v="1645"/>
    <s v="2024-01-17"/>
    <n v="2024"/>
    <s v="Q1"/>
    <x v="0"/>
    <x v="2"/>
    <x v="1"/>
    <x v="837"/>
    <x v="2"/>
    <n v="2"/>
    <x v="184"/>
    <n v="84.67"/>
    <n v="18.79"/>
    <n v="18.87"/>
    <n v="12.05"/>
    <n v="457.43"/>
    <n v="768"/>
    <n v="2"/>
    <n v="229"/>
  </r>
  <r>
    <n v="1646"/>
    <s v="2024-01-09"/>
    <n v="2024"/>
    <s v="Q1"/>
    <x v="0"/>
    <x v="2"/>
    <x v="0"/>
    <x v="1414"/>
    <x v="0"/>
    <n v="28"/>
    <x v="373"/>
    <n v="84.32"/>
    <n v="5.44"/>
    <n v="3.09"/>
    <n v="11.27"/>
    <n v="436.29"/>
    <n v="526"/>
    <n v="3"/>
    <n v="58"/>
  </r>
  <r>
    <n v="1647"/>
    <s v="2023-12-31"/>
    <n v="2024"/>
    <s v="Q1"/>
    <x v="0"/>
    <x v="1"/>
    <x v="1"/>
    <x v="1415"/>
    <x v="4"/>
    <n v="24"/>
    <x v="230"/>
    <n v="91.39"/>
    <n v="19.64"/>
    <n v="5.82"/>
    <n v="13.79"/>
    <n v="394.93"/>
    <n v="671"/>
    <n v="5"/>
    <n v="178"/>
  </r>
  <r>
    <n v="1648"/>
    <s v="2024-01-13"/>
    <n v="2024"/>
    <s v="Q1"/>
    <x v="0"/>
    <x v="2"/>
    <x v="3"/>
    <x v="1416"/>
    <x v="4"/>
    <n v="30"/>
    <x v="281"/>
    <n v="94.02"/>
    <n v="30.28"/>
    <n v="19.850000000000001"/>
    <n v="13.71"/>
    <n v="119.32"/>
    <n v="507"/>
    <n v="3"/>
    <n v="236"/>
  </r>
  <r>
    <n v="1649"/>
    <s v="2024-01-20"/>
    <n v="2024"/>
    <s v="Q1"/>
    <x v="0"/>
    <x v="4"/>
    <x v="0"/>
    <x v="1417"/>
    <x v="2"/>
    <n v="1"/>
    <x v="300"/>
    <n v="75.7"/>
    <n v="14.8"/>
    <n v="14.3"/>
    <n v="7.82"/>
    <n v="353.04"/>
    <n v="129"/>
    <n v="5"/>
    <n v="234"/>
  </r>
  <r>
    <n v="1650"/>
    <s v="2024-01-18"/>
    <n v="2024"/>
    <s v="Q1"/>
    <x v="0"/>
    <x v="7"/>
    <x v="0"/>
    <x v="443"/>
    <x v="1"/>
    <n v="40"/>
    <x v="370"/>
    <n v="84.4"/>
    <n v="29.52"/>
    <n v="4.25"/>
    <n v="10.93"/>
    <n v="375.34"/>
    <n v="768"/>
    <n v="5"/>
    <n v="125"/>
  </r>
  <r>
    <n v="1651"/>
    <s v="2024-01-07"/>
    <n v="2024"/>
    <s v="Q1"/>
    <x v="0"/>
    <x v="5"/>
    <x v="3"/>
    <x v="1418"/>
    <x v="0"/>
    <n v="20"/>
    <x v="119"/>
    <n v="83.23"/>
    <n v="10.97"/>
    <n v="16.43"/>
    <n v="8.9600000000000009"/>
    <n v="593.69000000000005"/>
    <n v="724"/>
    <n v="3"/>
    <n v="246"/>
  </r>
  <r>
    <n v="1652"/>
    <s v="2024-01-18"/>
    <n v="2024"/>
    <s v="Q1"/>
    <x v="0"/>
    <x v="6"/>
    <x v="1"/>
    <x v="1419"/>
    <x v="1"/>
    <n v="36"/>
    <x v="449"/>
    <n v="86.18"/>
    <n v="21.77"/>
    <n v="14.82"/>
    <n v="2.94"/>
    <n v="211.1"/>
    <n v="942"/>
    <n v="1"/>
    <n v="93"/>
  </r>
  <r>
    <n v="1653"/>
    <s v="2024-01-13"/>
    <n v="2024"/>
    <s v="Q1"/>
    <x v="0"/>
    <x v="2"/>
    <x v="2"/>
    <x v="995"/>
    <x v="1"/>
    <n v="25"/>
    <x v="228"/>
    <n v="76.83"/>
    <n v="6.09"/>
    <n v="15.96"/>
    <n v="6.32"/>
    <n v="439.2"/>
    <n v="678"/>
    <n v="3"/>
    <n v="229"/>
  </r>
  <r>
    <n v="1654"/>
    <s v="2024-01-08"/>
    <n v="2024"/>
    <s v="Q1"/>
    <x v="0"/>
    <x v="0"/>
    <x v="2"/>
    <x v="1420"/>
    <x v="2"/>
    <n v="47"/>
    <x v="272"/>
    <n v="82.44"/>
    <n v="28.31"/>
    <n v="3.7"/>
    <n v="13.22"/>
    <n v="434.37"/>
    <n v="964"/>
    <n v="3"/>
    <n v="68"/>
  </r>
  <r>
    <n v="1655"/>
    <s v="2024-01-23"/>
    <n v="2024"/>
    <s v="Q1"/>
    <x v="0"/>
    <x v="5"/>
    <x v="1"/>
    <x v="1421"/>
    <x v="4"/>
    <n v="7"/>
    <x v="40"/>
    <n v="83.32"/>
    <n v="23.06"/>
    <n v="3.08"/>
    <n v="8.27"/>
    <n v="166.42"/>
    <n v="244"/>
    <n v="4"/>
    <n v="84"/>
  </r>
  <r>
    <n v="1656"/>
    <s v="2024-01-22"/>
    <n v="2024"/>
    <s v="Q1"/>
    <x v="0"/>
    <x v="4"/>
    <x v="3"/>
    <x v="879"/>
    <x v="2"/>
    <n v="45"/>
    <x v="341"/>
    <n v="75.55"/>
    <n v="11.07"/>
    <n v="21.05"/>
    <n v="6.48"/>
    <n v="154.47999999999999"/>
    <n v="754"/>
    <n v="2"/>
    <n v="156"/>
  </r>
  <r>
    <n v="1657"/>
    <s v="2024-01-25"/>
    <n v="2024"/>
    <s v="Q1"/>
    <x v="0"/>
    <x v="6"/>
    <x v="4"/>
    <x v="277"/>
    <x v="0"/>
    <n v="18"/>
    <x v="185"/>
    <n v="75.78"/>
    <n v="14.83"/>
    <n v="11.64"/>
    <n v="7.02"/>
    <n v="170.09"/>
    <n v="893"/>
    <n v="3"/>
    <n v="67"/>
  </r>
  <r>
    <n v="1658"/>
    <s v="2024-01-16"/>
    <n v="2024"/>
    <s v="Q1"/>
    <x v="0"/>
    <x v="1"/>
    <x v="3"/>
    <x v="1422"/>
    <x v="0"/>
    <n v="18"/>
    <x v="451"/>
    <n v="77.16"/>
    <n v="5.53"/>
    <n v="10.02"/>
    <n v="5.0999999999999996"/>
    <n v="313.81"/>
    <n v="914"/>
    <n v="4"/>
    <n v="129"/>
  </r>
  <r>
    <n v="1659"/>
    <s v="2024-01-26"/>
    <n v="2024"/>
    <s v="Q1"/>
    <x v="0"/>
    <x v="6"/>
    <x v="4"/>
    <x v="456"/>
    <x v="2"/>
    <n v="20"/>
    <x v="234"/>
    <n v="83.1"/>
    <n v="33.14"/>
    <n v="9.23"/>
    <n v="5.63"/>
    <n v="120.11"/>
    <n v="706"/>
    <n v="3"/>
    <n v="96"/>
  </r>
  <r>
    <n v="1660"/>
    <s v="2024-01-02"/>
    <n v="2024"/>
    <s v="Q1"/>
    <x v="0"/>
    <x v="7"/>
    <x v="4"/>
    <x v="989"/>
    <x v="3"/>
    <n v="44"/>
    <x v="18"/>
    <n v="82.89"/>
    <n v="5.42"/>
    <n v="21.54"/>
    <n v="10.43"/>
    <n v="209.46"/>
    <n v="1055"/>
    <n v="5"/>
    <n v="212"/>
  </r>
  <r>
    <n v="1661"/>
    <s v="2024-01-03"/>
    <n v="2024"/>
    <s v="Q1"/>
    <x v="0"/>
    <x v="3"/>
    <x v="0"/>
    <x v="1423"/>
    <x v="4"/>
    <n v="27"/>
    <x v="281"/>
    <n v="92.87"/>
    <n v="10.18"/>
    <n v="13.56"/>
    <n v="13.66"/>
    <n v="166.84"/>
    <n v="526"/>
    <n v="5"/>
    <n v="65"/>
  </r>
  <r>
    <n v="1662"/>
    <s v="2024-01-13"/>
    <n v="2024"/>
    <s v="Q1"/>
    <x v="0"/>
    <x v="4"/>
    <x v="4"/>
    <x v="1424"/>
    <x v="1"/>
    <n v="48"/>
    <x v="247"/>
    <n v="82.63"/>
    <n v="12.84"/>
    <n v="3.36"/>
    <n v="15.28"/>
    <n v="332.4"/>
    <n v="584"/>
    <n v="3"/>
    <n v="213"/>
  </r>
  <r>
    <n v="1663"/>
    <s v="2024-01-07"/>
    <n v="2024"/>
    <s v="Q1"/>
    <x v="0"/>
    <x v="7"/>
    <x v="1"/>
    <x v="1425"/>
    <x v="1"/>
    <n v="11"/>
    <x v="78"/>
    <n v="89.02"/>
    <n v="10.56"/>
    <n v="17.55"/>
    <n v="10.4"/>
    <n v="198.9"/>
    <n v="153"/>
    <n v="1"/>
    <n v="205"/>
  </r>
  <r>
    <n v="1664"/>
    <s v="2024-01-20"/>
    <n v="2024"/>
    <s v="Q1"/>
    <x v="0"/>
    <x v="5"/>
    <x v="0"/>
    <x v="1426"/>
    <x v="2"/>
    <n v="24"/>
    <x v="222"/>
    <n v="94.7"/>
    <n v="6.77"/>
    <n v="3.63"/>
    <n v="3.65"/>
    <n v="417.87"/>
    <n v="154"/>
    <n v="3"/>
    <n v="67"/>
  </r>
  <r>
    <n v="1665"/>
    <s v="2024-01-27"/>
    <n v="2024"/>
    <s v="Q1"/>
    <x v="0"/>
    <x v="2"/>
    <x v="0"/>
    <x v="59"/>
    <x v="2"/>
    <n v="22"/>
    <x v="289"/>
    <n v="92.24"/>
    <n v="18.09"/>
    <n v="11.57"/>
    <n v="14.54"/>
    <n v="582.21"/>
    <n v="145"/>
    <n v="5"/>
    <n v="225"/>
  </r>
  <r>
    <n v="1666"/>
    <s v="2024-01-25"/>
    <n v="2024"/>
    <s v="Q1"/>
    <x v="0"/>
    <x v="3"/>
    <x v="1"/>
    <x v="1427"/>
    <x v="3"/>
    <n v="38"/>
    <x v="396"/>
    <n v="85.64"/>
    <n v="29.1"/>
    <n v="11.54"/>
    <n v="7.62"/>
    <n v="312.04000000000002"/>
    <n v="614"/>
    <n v="3"/>
    <n v="156"/>
  </r>
  <r>
    <n v="1667"/>
    <s v="2024-02-16"/>
    <n v="2024"/>
    <s v="Q1"/>
    <x v="1"/>
    <x v="7"/>
    <x v="0"/>
    <x v="1428"/>
    <x v="0"/>
    <n v="45"/>
    <x v="477"/>
    <n v="85.46"/>
    <n v="29.83"/>
    <n v="4.4000000000000004"/>
    <n v="6.61"/>
    <n v="130.75"/>
    <n v="1053"/>
    <n v="4"/>
    <n v="50"/>
  </r>
  <r>
    <n v="1668"/>
    <s v="2024-02-21"/>
    <n v="2024"/>
    <s v="Q1"/>
    <x v="1"/>
    <x v="2"/>
    <x v="2"/>
    <x v="282"/>
    <x v="4"/>
    <n v="40"/>
    <x v="446"/>
    <n v="91.83"/>
    <n v="33.85"/>
    <n v="13.4"/>
    <n v="6.91"/>
    <n v="535.91"/>
    <n v="910"/>
    <n v="1"/>
    <n v="50"/>
  </r>
  <r>
    <n v="1669"/>
    <s v="2024-02-01"/>
    <n v="2024"/>
    <s v="Q1"/>
    <x v="1"/>
    <x v="5"/>
    <x v="0"/>
    <x v="850"/>
    <x v="1"/>
    <n v="1"/>
    <x v="196"/>
    <n v="77.27"/>
    <n v="34.130000000000003"/>
    <n v="16.75"/>
    <n v="6.25"/>
    <n v="395.82"/>
    <n v="518"/>
    <n v="2"/>
    <n v="224"/>
  </r>
  <r>
    <n v="1670"/>
    <s v="2024-02-01"/>
    <n v="2024"/>
    <s v="Q1"/>
    <x v="1"/>
    <x v="2"/>
    <x v="2"/>
    <x v="1429"/>
    <x v="2"/>
    <n v="48"/>
    <x v="469"/>
    <n v="88.39"/>
    <n v="19.64"/>
    <n v="21.7"/>
    <n v="3.46"/>
    <n v="115.99"/>
    <n v="200"/>
    <n v="1"/>
    <n v="179"/>
  </r>
  <r>
    <n v="1671"/>
    <s v="2024-02-01"/>
    <n v="2024"/>
    <s v="Q1"/>
    <x v="1"/>
    <x v="2"/>
    <x v="0"/>
    <x v="1430"/>
    <x v="2"/>
    <n v="13"/>
    <x v="347"/>
    <n v="75.489999999999995"/>
    <n v="18.190000000000001"/>
    <n v="2.65"/>
    <n v="4.17"/>
    <n v="500.08"/>
    <n v="987"/>
    <n v="3"/>
    <n v="68"/>
  </r>
  <r>
    <n v="1672"/>
    <s v="2024-02-12"/>
    <n v="2024"/>
    <s v="Q1"/>
    <x v="1"/>
    <x v="2"/>
    <x v="1"/>
    <x v="1300"/>
    <x v="2"/>
    <n v="42"/>
    <x v="290"/>
    <n v="79.040000000000006"/>
    <n v="31.11"/>
    <n v="5.52"/>
    <n v="5.57"/>
    <n v="124.41"/>
    <n v="147"/>
    <n v="1"/>
    <n v="164"/>
  </r>
  <r>
    <n v="1673"/>
    <s v="2024-02-20"/>
    <n v="2024"/>
    <s v="Q1"/>
    <x v="1"/>
    <x v="2"/>
    <x v="1"/>
    <x v="1431"/>
    <x v="2"/>
    <n v="30"/>
    <x v="374"/>
    <n v="86.7"/>
    <n v="18.690000000000001"/>
    <n v="3.27"/>
    <n v="10.050000000000001"/>
    <n v="115.35"/>
    <n v="643"/>
    <n v="5"/>
    <n v="117"/>
  </r>
  <r>
    <n v="1674"/>
    <s v="2024-02-07"/>
    <n v="2024"/>
    <s v="Q1"/>
    <x v="1"/>
    <x v="2"/>
    <x v="0"/>
    <x v="1432"/>
    <x v="3"/>
    <n v="31"/>
    <x v="429"/>
    <n v="80.599999999999994"/>
    <n v="22.35"/>
    <n v="12.17"/>
    <n v="14.85"/>
    <n v="538.44000000000005"/>
    <n v="132"/>
    <n v="4"/>
    <n v="236"/>
  </r>
  <r>
    <n v="1675"/>
    <s v="2024-02-04"/>
    <n v="2024"/>
    <s v="Q1"/>
    <x v="1"/>
    <x v="1"/>
    <x v="0"/>
    <x v="1433"/>
    <x v="0"/>
    <n v="27"/>
    <x v="210"/>
    <n v="87.28"/>
    <n v="15.86"/>
    <n v="12.47"/>
    <n v="10.46"/>
    <n v="305.63"/>
    <n v="153"/>
    <n v="2"/>
    <n v="85"/>
  </r>
  <r>
    <n v="1676"/>
    <s v="2024-02-10"/>
    <n v="2024"/>
    <s v="Q1"/>
    <x v="1"/>
    <x v="4"/>
    <x v="1"/>
    <x v="685"/>
    <x v="0"/>
    <n v="49"/>
    <x v="469"/>
    <n v="82.72"/>
    <n v="26.55"/>
    <n v="9.1999999999999993"/>
    <n v="8.5500000000000007"/>
    <n v="465.13"/>
    <n v="401"/>
    <n v="2"/>
    <n v="79"/>
  </r>
  <r>
    <n v="1677"/>
    <s v="2024-02-01"/>
    <n v="2024"/>
    <s v="Q1"/>
    <x v="1"/>
    <x v="1"/>
    <x v="2"/>
    <x v="1434"/>
    <x v="4"/>
    <n v="12"/>
    <x v="328"/>
    <n v="80.84"/>
    <n v="20.05"/>
    <n v="18.7"/>
    <n v="15.28"/>
    <n v="221.15"/>
    <n v="318"/>
    <n v="2"/>
    <n v="107"/>
  </r>
  <r>
    <n v="1678"/>
    <s v="2024-02-14"/>
    <n v="2024"/>
    <s v="Q1"/>
    <x v="1"/>
    <x v="7"/>
    <x v="0"/>
    <x v="1435"/>
    <x v="1"/>
    <n v="42"/>
    <x v="200"/>
    <n v="93.61"/>
    <n v="20.399999999999999"/>
    <n v="4.13"/>
    <n v="8.82"/>
    <n v="256.97000000000003"/>
    <n v="734"/>
    <n v="4"/>
    <n v="116"/>
  </r>
  <r>
    <n v="1679"/>
    <s v="2024-02-04"/>
    <n v="2024"/>
    <s v="Q1"/>
    <x v="1"/>
    <x v="4"/>
    <x v="4"/>
    <x v="1436"/>
    <x v="4"/>
    <n v="42"/>
    <x v="115"/>
    <n v="78.22"/>
    <n v="8.2899999999999991"/>
    <n v="4.6399999999999997"/>
    <n v="12.6"/>
    <n v="306.17"/>
    <n v="778"/>
    <n v="4"/>
    <n v="213"/>
  </r>
  <r>
    <n v="1680"/>
    <s v="2024-02-09"/>
    <n v="2024"/>
    <s v="Q1"/>
    <x v="1"/>
    <x v="4"/>
    <x v="4"/>
    <x v="1437"/>
    <x v="3"/>
    <n v="2"/>
    <x v="367"/>
    <n v="78.930000000000007"/>
    <n v="22.06"/>
    <n v="2.4500000000000002"/>
    <n v="12.39"/>
    <n v="204.15"/>
    <n v="659"/>
    <n v="2"/>
    <n v="113"/>
  </r>
  <r>
    <n v="1681"/>
    <s v="2024-02-08"/>
    <n v="2024"/>
    <s v="Q1"/>
    <x v="1"/>
    <x v="6"/>
    <x v="3"/>
    <x v="1438"/>
    <x v="1"/>
    <n v="8"/>
    <x v="157"/>
    <n v="76.45"/>
    <n v="19.7"/>
    <n v="21.15"/>
    <n v="9.49"/>
    <n v="115.68"/>
    <n v="1070"/>
    <n v="3"/>
    <n v="153"/>
  </r>
  <r>
    <n v="1682"/>
    <s v="2024-02-14"/>
    <n v="2024"/>
    <s v="Q1"/>
    <x v="1"/>
    <x v="4"/>
    <x v="2"/>
    <x v="1439"/>
    <x v="1"/>
    <n v="1"/>
    <x v="401"/>
    <n v="87.29"/>
    <n v="23"/>
    <n v="20.58"/>
    <n v="15.8"/>
    <n v="211.34"/>
    <n v="112"/>
    <n v="1"/>
    <n v="111"/>
  </r>
  <r>
    <n v="1683"/>
    <s v="2024-02-15"/>
    <n v="2024"/>
    <s v="Q1"/>
    <x v="1"/>
    <x v="4"/>
    <x v="3"/>
    <x v="1440"/>
    <x v="0"/>
    <n v="12"/>
    <x v="206"/>
    <n v="81.77"/>
    <n v="32.630000000000003"/>
    <n v="21"/>
    <n v="5.17"/>
    <n v="478.42"/>
    <n v="381"/>
    <n v="3"/>
    <n v="200"/>
  </r>
  <r>
    <n v="1684"/>
    <s v="2024-02-01"/>
    <n v="2024"/>
    <s v="Q1"/>
    <x v="1"/>
    <x v="7"/>
    <x v="0"/>
    <x v="1441"/>
    <x v="4"/>
    <n v="41"/>
    <x v="288"/>
    <n v="91.58"/>
    <n v="9.7899999999999991"/>
    <n v="18.14"/>
    <n v="12.31"/>
    <n v="352.88"/>
    <n v="199"/>
    <n v="1"/>
    <n v="141"/>
  </r>
  <r>
    <n v="1685"/>
    <s v="2024-02-16"/>
    <n v="2024"/>
    <s v="Q1"/>
    <x v="1"/>
    <x v="2"/>
    <x v="1"/>
    <x v="1091"/>
    <x v="2"/>
    <n v="39"/>
    <x v="361"/>
    <n v="88.81"/>
    <n v="27.05"/>
    <n v="15.17"/>
    <n v="10.89"/>
    <n v="107.98"/>
    <n v="170"/>
    <n v="5"/>
    <n v="146"/>
  </r>
  <r>
    <n v="1686"/>
    <s v="2024-02-17"/>
    <n v="2024"/>
    <s v="Q1"/>
    <x v="1"/>
    <x v="1"/>
    <x v="2"/>
    <x v="69"/>
    <x v="1"/>
    <n v="47"/>
    <x v="108"/>
    <n v="88.6"/>
    <n v="16.11"/>
    <n v="7.65"/>
    <n v="2.4300000000000002"/>
    <n v="292.67"/>
    <n v="483"/>
    <n v="5"/>
    <n v="83"/>
  </r>
  <r>
    <n v="1687"/>
    <s v="2024-02-03"/>
    <n v="2024"/>
    <s v="Q1"/>
    <x v="1"/>
    <x v="6"/>
    <x v="3"/>
    <x v="1442"/>
    <x v="4"/>
    <n v="26"/>
    <x v="427"/>
    <n v="82.91"/>
    <n v="16.82"/>
    <n v="6.81"/>
    <n v="12.25"/>
    <n v="173.03"/>
    <n v="254"/>
    <n v="5"/>
    <n v="110"/>
  </r>
  <r>
    <n v="1688"/>
    <s v="2024-02-01"/>
    <n v="2024"/>
    <s v="Q1"/>
    <x v="1"/>
    <x v="6"/>
    <x v="4"/>
    <x v="1155"/>
    <x v="1"/>
    <n v="40"/>
    <x v="292"/>
    <n v="78.75"/>
    <n v="29.74"/>
    <n v="2.31"/>
    <n v="7.65"/>
    <n v="274.48"/>
    <n v="936"/>
    <n v="1"/>
    <n v="136"/>
  </r>
  <r>
    <n v="1689"/>
    <s v="2024-02-09"/>
    <n v="2024"/>
    <s v="Q1"/>
    <x v="1"/>
    <x v="4"/>
    <x v="0"/>
    <x v="1443"/>
    <x v="1"/>
    <n v="41"/>
    <x v="407"/>
    <n v="81.63"/>
    <n v="8.61"/>
    <n v="7.43"/>
    <n v="7.46"/>
    <n v="375.16"/>
    <n v="961"/>
    <n v="5"/>
    <n v="133"/>
  </r>
  <r>
    <n v="1690"/>
    <s v="2024-02-09"/>
    <n v="2024"/>
    <s v="Q1"/>
    <x v="1"/>
    <x v="6"/>
    <x v="4"/>
    <x v="1444"/>
    <x v="3"/>
    <n v="46"/>
    <x v="348"/>
    <n v="94.87"/>
    <n v="21.04"/>
    <n v="20.84"/>
    <n v="5.71"/>
    <n v="595.74"/>
    <n v="492"/>
    <n v="3"/>
    <n v="79"/>
  </r>
  <r>
    <n v="1691"/>
    <s v="2024-02-06"/>
    <n v="2024"/>
    <s v="Q1"/>
    <x v="1"/>
    <x v="6"/>
    <x v="0"/>
    <x v="1445"/>
    <x v="0"/>
    <n v="36"/>
    <x v="424"/>
    <n v="90.22"/>
    <n v="6.49"/>
    <n v="4.84"/>
    <n v="7.54"/>
    <n v="400.39"/>
    <n v="189"/>
    <n v="4"/>
    <n v="221"/>
  </r>
  <r>
    <n v="1692"/>
    <s v="2024-02-13"/>
    <n v="2024"/>
    <s v="Q1"/>
    <x v="1"/>
    <x v="3"/>
    <x v="1"/>
    <x v="1446"/>
    <x v="2"/>
    <n v="42"/>
    <x v="346"/>
    <n v="82.64"/>
    <n v="6.24"/>
    <n v="19.09"/>
    <n v="2.2000000000000002"/>
    <n v="556.99"/>
    <n v="316"/>
    <n v="2"/>
    <n v="147"/>
  </r>
  <r>
    <n v="1693"/>
    <s v="2024-02-21"/>
    <n v="2024"/>
    <s v="Q1"/>
    <x v="1"/>
    <x v="7"/>
    <x v="2"/>
    <x v="1447"/>
    <x v="4"/>
    <n v="15"/>
    <x v="98"/>
    <n v="85.26"/>
    <n v="32.93"/>
    <n v="13.81"/>
    <n v="15.91"/>
    <n v="331.3"/>
    <n v="1097"/>
    <n v="2"/>
    <n v="112"/>
  </r>
  <r>
    <n v="1694"/>
    <s v="2024-02-09"/>
    <n v="2024"/>
    <s v="Q1"/>
    <x v="1"/>
    <x v="6"/>
    <x v="0"/>
    <x v="1448"/>
    <x v="1"/>
    <n v="36"/>
    <x v="152"/>
    <n v="83.28"/>
    <n v="10.69"/>
    <n v="3.03"/>
    <n v="3.02"/>
    <n v="169.2"/>
    <n v="184"/>
    <n v="2"/>
    <n v="90"/>
  </r>
  <r>
    <n v="1695"/>
    <s v="2024-02-02"/>
    <n v="2024"/>
    <s v="Q1"/>
    <x v="1"/>
    <x v="0"/>
    <x v="4"/>
    <x v="1449"/>
    <x v="0"/>
    <n v="11"/>
    <x v="378"/>
    <n v="93.89"/>
    <n v="8.8800000000000008"/>
    <n v="21.99"/>
    <n v="10.96"/>
    <n v="579.67999999999995"/>
    <n v="668"/>
    <n v="1"/>
    <n v="171"/>
  </r>
  <r>
    <n v="1696"/>
    <s v="2024-02-22"/>
    <n v="2024"/>
    <s v="Q1"/>
    <x v="1"/>
    <x v="5"/>
    <x v="3"/>
    <x v="1450"/>
    <x v="1"/>
    <n v="6"/>
    <x v="482"/>
    <n v="85.41"/>
    <n v="5.46"/>
    <n v="15.56"/>
    <n v="1.19"/>
    <n v="542.16999999999996"/>
    <n v="786"/>
    <n v="4"/>
    <n v="128"/>
  </r>
  <r>
    <n v="1697"/>
    <s v="2024-02-15"/>
    <n v="2024"/>
    <s v="Q1"/>
    <x v="1"/>
    <x v="5"/>
    <x v="0"/>
    <x v="743"/>
    <x v="0"/>
    <n v="22"/>
    <x v="431"/>
    <n v="88.53"/>
    <n v="23.69"/>
    <n v="18.28"/>
    <n v="3.32"/>
    <n v="465.75"/>
    <n v="414"/>
    <n v="5"/>
    <n v="167"/>
  </r>
  <r>
    <n v="1698"/>
    <s v="2024-02-11"/>
    <n v="2024"/>
    <s v="Q1"/>
    <x v="1"/>
    <x v="6"/>
    <x v="1"/>
    <x v="1451"/>
    <x v="0"/>
    <n v="1"/>
    <x v="67"/>
    <n v="89.26"/>
    <n v="26.35"/>
    <n v="8.59"/>
    <n v="9.67"/>
    <n v="390.92"/>
    <n v="320"/>
    <n v="4"/>
    <n v="156"/>
  </r>
  <r>
    <n v="1699"/>
    <s v="2024-02-20"/>
    <n v="2024"/>
    <s v="Q1"/>
    <x v="1"/>
    <x v="6"/>
    <x v="1"/>
    <x v="1452"/>
    <x v="0"/>
    <n v="10"/>
    <x v="410"/>
    <n v="76.290000000000006"/>
    <n v="8.9"/>
    <n v="7.56"/>
    <n v="1.03"/>
    <n v="138.63"/>
    <n v="1067"/>
    <n v="4"/>
    <n v="93"/>
  </r>
  <r>
    <n v="1700"/>
    <s v="2024-02-14"/>
    <n v="2024"/>
    <s v="Q1"/>
    <x v="1"/>
    <x v="7"/>
    <x v="2"/>
    <x v="1453"/>
    <x v="3"/>
    <n v="18"/>
    <x v="440"/>
    <n v="76.599999999999994"/>
    <n v="23.19"/>
    <n v="2.79"/>
    <n v="14.85"/>
    <n v="257.48"/>
    <n v="571"/>
    <n v="4"/>
    <n v="150"/>
  </r>
  <r>
    <n v="1701"/>
    <s v="2024-03-14"/>
    <n v="2024"/>
    <s v="Q1"/>
    <x v="2"/>
    <x v="4"/>
    <x v="4"/>
    <x v="94"/>
    <x v="0"/>
    <n v="1"/>
    <x v="168"/>
    <n v="75.989999999999995"/>
    <n v="24.45"/>
    <n v="11.95"/>
    <n v="9.44"/>
    <n v="106.85"/>
    <n v="336"/>
    <n v="1"/>
    <n v="61"/>
  </r>
  <r>
    <n v="1702"/>
    <s v="2024-03-26"/>
    <n v="2024"/>
    <s v="Q1"/>
    <x v="2"/>
    <x v="0"/>
    <x v="2"/>
    <x v="201"/>
    <x v="3"/>
    <n v="27"/>
    <x v="433"/>
    <n v="78.13"/>
    <n v="32.57"/>
    <n v="10.41"/>
    <n v="9.1300000000000008"/>
    <n v="513.33000000000004"/>
    <n v="385"/>
    <n v="1"/>
    <n v="89"/>
  </r>
  <r>
    <n v="1703"/>
    <s v="2024-03-21"/>
    <n v="2024"/>
    <s v="Q1"/>
    <x v="2"/>
    <x v="7"/>
    <x v="1"/>
    <x v="1454"/>
    <x v="1"/>
    <n v="17"/>
    <x v="175"/>
    <n v="77.95"/>
    <n v="14.21"/>
    <n v="11.32"/>
    <n v="15.38"/>
    <n v="133.04"/>
    <n v="859"/>
    <n v="5"/>
    <n v="167"/>
  </r>
  <r>
    <n v="1704"/>
    <s v="2024-03-10"/>
    <n v="2024"/>
    <s v="Q1"/>
    <x v="2"/>
    <x v="4"/>
    <x v="0"/>
    <x v="1455"/>
    <x v="4"/>
    <n v="41"/>
    <x v="19"/>
    <n v="84.43"/>
    <n v="28.5"/>
    <n v="21.45"/>
    <n v="12.7"/>
    <n v="394.23"/>
    <n v="866"/>
    <n v="3"/>
    <n v="50"/>
  </r>
  <r>
    <n v="1705"/>
    <s v="2024-03-08"/>
    <n v="2024"/>
    <s v="Q1"/>
    <x v="2"/>
    <x v="4"/>
    <x v="1"/>
    <x v="1456"/>
    <x v="4"/>
    <n v="17"/>
    <x v="327"/>
    <n v="91.62"/>
    <n v="18.27"/>
    <n v="14.62"/>
    <n v="5.89"/>
    <n v="449.79"/>
    <n v="544"/>
    <n v="2"/>
    <n v="142"/>
  </r>
  <r>
    <n v="1706"/>
    <s v="2024-03-18"/>
    <n v="2024"/>
    <s v="Q1"/>
    <x v="2"/>
    <x v="0"/>
    <x v="0"/>
    <x v="1457"/>
    <x v="1"/>
    <n v="29"/>
    <x v="431"/>
    <n v="79.540000000000006"/>
    <n v="14.35"/>
    <n v="8.06"/>
    <n v="6.7"/>
    <n v="576.12"/>
    <n v="894"/>
    <n v="1"/>
    <n v="92"/>
  </r>
  <r>
    <n v="1707"/>
    <s v="2024-03-08"/>
    <n v="2024"/>
    <s v="Q1"/>
    <x v="2"/>
    <x v="1"/>
    <x v="1"/>
    <x v="1458"/>
    <x v="2"/>
    <n v="6"/>
    <x v="347"/>
    <n v="86.58"/>
    <n v="32.35"/>
    <n v="17.12"/>
    <n v="9.02"/>
    <n v="510.26"/>
    <n v="509"/>
    <n v="3"/>
    <n v="216"/>
  </r>
  <r>
    <n v="1708"/>
    <s v="2024-03-18"/>
    <n v="2024"/>
    <s v="Q1"/>
    <x v="2"/>
    <x v="4"/>
    <x v="0"/>
    <x v="1459"/>
    <x v="3"/>
    <n v="13"/>
    <x v="267"/>
    <n v="86.46"/>
    <n v="34.83"/>
    <n v="18.57"/>
    <n v="5.3"/>
    <n v="543.17999999999995"/>
    <n v="928"/>
    <n v="3"/>
    <n v="214"/>
  </r>
  <r>
    <n v="1709"/>
    <s v="2024-03-26"/>
    <n v="2024"/>
    <s v="Q1"/>
    <x v="2"/>
    <x v="7"/>
    <x v="2"/>
    <x v="1460"/>
    <x v="4"/>
    <n v="50"/>
    <x v="34"/>
    <n v="93.19"/>
    <n v="31.96"/>
    <n v="20.74"/>
    <n v="8.24"/>
    <n v="428.83"/>
    <n v="106"/>
    <n v="4"/>
    <n v="131"/>
  </r>
  <r>
    <n v="1710"/>
    <s v="2024-03-21"/>
    <n v="2024"/>
    <s v="Q1"/>
    <x v="2"/>
    <x v="6"/>
    <x v="1"/>
    <x v="1461"/>
    <x v="3"/>
    <n v="7"/>
    <x v="433"/>
    <n v="93.03"/>
    <n v="28.55"/>
    <n v="15.52"/>
    <n v="13.53"/>
    <n v="442.65"/>
    <n v="142"/>
    <n v="3"/>
    <n v="127"/>
  </r>
  <r>
    <n v="1711"/>
    <s v="2024-03-05"/>
    <n v="2024"/>
    <s v="Q1"/>
    <x v="2"/>
    <x v="3"/>
    <x v="3"/>
    <x v="1462"/>
    <x v="4"/>
    <n v="30"/>
    <x v="319"/>
    <n v="79.400000000000006"/>
    <n v="28.77"/>
    <n v="13.33"/>
    <n v="12.22"/>
    <n v="466.74"/>
    <n v="413"/>
    <n v="2"/>
    <n v="77"/>
  </r>
  <r>
    <n v="1712"/>
    <s v="2024-03-19"/>
    <n v="2024"/>
    <s v="Q1"/>
    <x v="2"/>
    <x v="5"/>
    <x v="4"/>
    <x v="1463"/>
    <x v="0"/>
    <n v="31"/>
    <x v="59"/>
    <n v="92.63"/>
    <n v="19.38"/>
    <n v="15.38"/>
    <n v="14.08"/>
    <n v="590.04999999999995"/>
    <n v="1017"/>
    <n v="2"/>
    <n v="81"/>
  </r>
  <r>
    <n v="1713"/>
    <s v="2024-03-01"/>
    <n v="2024"/>
    <s v="Q1"/>
    <x v="2"/>
    <x v="1"/>
    <x v="2"/>
    <x v="1464"/>
    <x v="2"/>
    <n v="18"/>
    <x v="448"/>
    <n v="75.930000000000007"/>
    <n v="12.64"/>
    <n v="6.84"/>
    <n v="14.43"/>
    <n v="502.43"/>
    <n v="207"/>
    <n v="3"/>
    <n v="231"/>
  </r>
  <r>
    <n v="1714"/>
    <s v="2024-03-10"/>
    <n v="2024"/>
    <s v="Q1"/>
    <x v="2"/>
    <x v="4"/>
    <x v="2"/>
    <x v="1348"/>
    <x v="2"/>
    <n v="50"/>
    <x v="48"/>
    <n v="84.93"/>
    <n v="13.46"/>
    <n v="19.7"/>
    <n v="13.31"/>
    <n v="198.21"/>
    <n v="509"/>
    <n v="4"/>
    <n v="175"/>
  </r>
  <r>
    <n v="1715"/>
    <s v="2024-03-06"/>
    <n v="2024"/>
    <s v="Q1"/>
    <x v="2"/>
    <x v="5"/>
    <x v="2"/>
    <x v="386"/>
    <x v="2"/>
    <n v="33"/>
    <x v="70"/>
    <n v="76.83"/>
    <n v="29"/>
    <n v="13.9"/>
    <n v="14.53"/>
    <n v="205.29"/>
    <n v="821"/>
    <n v="3"/>
    <n v="221"/>
  </r>
  <r>
    <n v="1716"/>
    <s v="2024-03-26"/>
    <n v="2024"/>
    <s v="Q1"/>
    <x v="2"/>
    <x v="2"/>
    <x v="0"/>
    <x v="44"/>
    <x v="3"/>
    <n v="22"/>
    <x v="319"/>
    <n v="77.17"/>
    <n v="25.52"/>
    <n v="10.1"/>
    <n v="7.46"/>
    <n v="595.59"/>
    <n v="1039"/>
    <n v="5"/>
    <n v="139"/>
  </r>
  <r>
    <n v="1717"/>
    <s v="2024-03-24"/>
    <n v="2024"/>
    <s v="Q1"/>
    <x v="2"/>
    <x v="1"/>
    <x v="2"/>
    <x v="167"/>
    <x v="0"/>
    <n v="39"/>
    <x v="139"/>
    <n v="88"/>
    <n v="23.81"/>
    <n v="3.57"/>
    <n v="3.76"/>
    <n v="590.87"/>
    <n v="1064"/>
    <n v="5"/>
    <n v="78"/>
  </r>
  <r>
    <n v="1718"/>
    <s v="2024-03-16"/>
    <n v="2024"/>
    <s v="Q1"/>
    <x v="2"/>
    <x v="0"/>
    <x v="4"/>
    <x v="1465"/>
    <x v="1"/>
    <n v="39"/>
    <x v="363"/>
    <n v="87.16"/>
    <n v="13.83"/>
    <n v="21.02"/>
    <n v="5.6"/>
    <n v="224.01"/>
    <n v="811"/>
    <n v="2"/>
    <n v="119"/>
  </r>
  <r>
    <n v="1719"/>
    <s v="2024-03-11"/>
    <n v="2024"/>
    <s v="Q1"/>
    <x v="2"/>
    <x v="2"/>
    <x v="2"/>
    <x v="1466"/>
    <x v="4"/>
    <n v="38"/>
    <x v="246"/>
    <n v="81.489999999999995"/>
    <n v="31.09"/>
    <n v="6.54"/>
    <n v="6.51"/>
    <n v="225.38"/>
    <n v="160"/>
    <n v="3"/>
    <n v="221"/>
  </r>
  <r>
    <n v="1720"/>
    <s v="2024-03-05"/>
    <n v="2024"/>
    <s v="Q1"/>
    <x v="2"/>
    <x v="4"/>
    <x v="2"/>
    <x v="1467"/>
    <x v="2"/>
    <n v="11"/>
    <x v="150"/>
    <n v="81.650000000000006"/>
    <n v="33.409999999999997"/>
    <n v="21.03"/>
    <n v="11.64"/>
    <n v="135.28"/>
    <n v="635"/>
    <n v="1"/>
    <n v="80"/>
  </r>
  <r>
    <n v="1721"/>
    <s v="2024-03-14"/>
    <n v="2024"/>
    <s v="Q1"/>
    <x v="2"/>
    <x v="0"/>
    <x v="1"/>
    <x v="1468"/>
    <x v="1"/>
    <n v="40"/>
    <x v="214"/>
    <n v="91.18"/>
    <n v="20.55"/>
    <n v="4.8600000000000003"/>
    <n v="12.07"/>
    <n v="562.58000000000004"/>
    <n v="1045"/>
    <n v="5"/>
    <n v="187"/>
  </r>
  <r>
    <n v="1722"/>
    <s v="2024-03-02"/>
    <n v="2024"/>
    <s v="Q1"/>
    <x v="2"/>
    <x v="6"/>
    <x v="1"/>
    <x v="1469"/>
    <x v="4"/>
    <n v="22"/>
    <x v="44"/>
    <n v="94.43"/>
    <n v="21.37"/>
    <n v="17.170000000000002"/>
    <n v="14.28"/>
    <n v="208.51"/>
    <n v="1019"/>
    <n v="2"/>
    <n v="228"/>
  </r>
  <r>
    <n v="1723"/>
    <s v="2024-03-13"/>
    <n v="2024"/>
    <s v="Q1"/>
    <x v="2"/>
    <x v="7"/>
    <x v="4"/>
    <x v="1470"/>
    <x v="4"/>
    <n v="6"/>
    <x v="355"/>
    <n v="86.47"/>
    <n v="11.58"/>
    <n v="10.5"/>
    <n v="3.94"/>
    <n v="520.54"/>
    <n v="999"/>
    <n v="1"/>
    <n v="105"/>
  </r>
  <r>
    <n v="1724"/>
    <s v="2024-03-26"/>
    <n v="2024"/>
    <s v="Q1"/>
    <x v="2"/>
    <x v="4"/>
    <x v="1"/>
    <x v="1471"/>
    <x v="1"/>
    <n v="44"/>
    <x v="50"/>
    <n v="80.38"/>
    <n v="23.59"/>
    <n v="21.23"/>
    <n v="7.89"/>
    <n v="485.34"/>
    <n v="112"/>
    <n v="5"/>
    <n v="226"/>
  </r>
  <r>
    <n v="1725"/>
    <s v="2024-03-01"/>
    <n v="2024"/>
    <s v="Q1"/>
    <x v="2"/>
    <x v="3"/>
    <x v="4"/>
    <x v="1472"/>
    <x v="2"/>
    <n v="11"/>
    <x v="102"/>
    <n v="94.56"/>
    <n v="18.649999999999999"/>
    <n v="21.79"/>
    <n v="15.12"/>
    <n v="149.22999999999999"/>
    <n v="1014"/>
    <n v="1"/>
    <n v="233"/>
  </r>
  <r>
    <n v="1726"/>
    <s v="2024-03-11"/>
    <n v="2024"/>
    <s v="Q1"/>
    <x v="2"/>
    <x v="7"/>
    <x v="2"/>
    <x v="640"/>
    <x v="4"/>
    <n v="32"/>
    <x v="243"/>
    <n v="90.98"/>
    <n v="16.260000000000002"/>
    <n v="5.81"/>
    <n v="6.1"/>
    <n v="231.45"/>
    <n v="895"/>
    <n v="1"/>
    <n v="134"/>
  </r>
  <r>
    <n v="1727"/>
    <s v="2024-03-08"/>
    <n v="2024"/>
    <s v="Q1"/>
    <x v="2"/>
    <x v="1"/>
    <x v="2"/>
    <x v="1473"/>
    <x v="4"/>
    <n v="45"/>
    <x v="272"/>
    <n v="82.25"/>
    <n v="26.05"/>
    <n v="4.49"/>
    <n v="5.91"/>
    <n v="433.79"/>
    <n v="709"/>
    <n v="5"/>
    <n v="239"/>
  </r>
  <r>
    <n v="1728"/>
    <s v="2024-03-19"/>
    <n v="2024"/>
    <s v="Q1"/>
    <x v="2"/>
    <x v="3"/>
    <x v="2"/>
    <x v="1474"/>
    <x v="3"/>
    <n v="45"/>
    <x v="305"/>
    <n v="91.53"/>
    <n v="5.69"/>
    <n v="13.9"/>
    <n v="6.93"/>
    <n v="420.68"/>
    <n v="936"/>
    <n v="4"/>
    <n v="111"/>
  </r>
  <r>
    <n v="1729"/>
    <s v="2024-03-05"/>
    <n v="2024"/>
    <s v="Q1"/>
    <x v="2"/>
    <x v="5"/>
    <x v="0"/>
    <x v="1475"/>
    <x v="0"/>
    <n v="21"/>
    <x v="475"/>
    <n v="92.55"/>
    <n v="26.26"/>
    <n v="19.93"/>
    <n v="4.5199999999999996"/>
    <n v="452.7"/>
    <n v="731"/>
    <n v="5"/>
    <n v="245"/>
  </r>
  <r>
    <n v="1730"/>
    <s v="2024-03-19"/>
    <n v="2024"/>
    <s v="Q1"/>
    <x v="2"/>
    <x v="2"/>
    <x v="2"/>
    <x v="1476"/>
    <x v="3"/>
    <n v="31"/>
    <x v="36"/>
    <n v="86.64"/>
    <n v="33.22"/>
    <n v="7.36"/>
    <n v="10.63"/>
    <n v="404.79"/>
    <n v="248"/>
    <n v="4"/>
    <n v="95"/>
  </r>
  <r>
    <n v="1731"/>
    <s v="2024-03-19"/>
    <n v="2024"/>
    <s v="Q1"/>
    <x v="2"/>
    <x v="0"/>
    <x v="4"/>
    <x v="1477"/>
    <x v="3"/>
    <n v="43"/>
    <x v="434"/>
    <n v="92.14"/>
    <n v="22.04"/>
    <n v="13.75"/>
    <n v="8.7799999999999994"/>
    <n v="191.87"/>
    <n v="572"/>
    <n v="2"/>
    <n v="243"/>
  </r>
  <r>
    <n v="1732"/>
    <s v="2024-03-22"/>
    <n v="2024"/>
    <s v="Q1"/>
    <x v="2"/>
    <x v="7"/>
    <x v="1"/>
    <x v="1478"/>
    <x v="2"/>
    <n v="34"/>
    <x v="455"/>
    <n v="84.37"/>
    <n v="17.2"/>
    <n v="16.68"/>
    <n v="8.4600000000000009"/>
    <n v="556.47"/>
    <n v="871"/>
    <n v="4"/>
    <n v="238"/>
  </r>
  <r>
    <n v="1733"/>
    <s v="2024-03-04"/>
    <n v="2024"/>
    <s v="Q1"/>
    <x v="2"/>
    <x v="6"/>
    <x v="3"/>
    <x v="1479"/>
    <x v="0"/>
    <n v="8"/>
    <x v="126"/>
    <n v="84.68"/>
    <n v="12.05"/>
    <n v="17.05"/>
    <n v="2.31"/>
    <n v="380.32"/>
    <n v="170"/>
    <n v="5"/>
    <n v="171"/>
  </r>
  <r>
    <n v="1734"/>
    <s v="2024-03-12"/>
    <n v="2024"/>
    <s v="Q1"/>
    <x v="2"/>
    <x v="6"/>
    <x v="1"/>
    <x v="1480"/>
    <x v="2"/>
    <n v="14"/>
    <x v="64"/>
    <n v="85.9"/>
    <n v="20.03"/>
    <n v="10.08"/>
    <n v="4.16"/>
    <n v="573.16999999999996"/>
    <n v="417"/>
    <n v="1"/>
    <n v="156"/>
  </r>
  <r>
    <n v="1735"/>
    <s v="2024-04-14"/>
    <n v="2024"/>
    <s v="Q2"/>
    <x v="3"/>
    <x v="5"/>
    <x v="3"/>
    <x v="1481"/>
    <x v="2"/>
    <n v="37"/>
    <x v="73"/>
    <n v="81.75"/>
    <n v="20.6"/>
    <n v="4.3899999999999997"/>
    <n v="8.15"/>
    <n v="532.74"/>
    <n v="335"/>
    <n v="5"/>
    <n v="86"/>
  </r>
  <r>
    <n v="1736"/>
    <s v="2024-04-24"/>
    <n v="2024"/>
    <s v="Q2"/>
    <x v="3"/>
    <x v="1"/>
    <x v="4"/>
    <x v="1482"/>
    <x v="0"/>
    <n v="50"/>
    <x v="308"/>
    <n v="75.3"/>
    <n v="20.32"/>
    <n v="10.29"/>
    <n v="2.44"/>
    <n v="519.36"/>
    <n v="796"/>
    <n v="2"/>
    <n v="159"/>
  </r>
  <r>
    <n v="1737"/>
    <s v="2024-04-10"/>
    <n v="2024"/>
    <s v="Q2"/>
    <x v="3"/>
    <x v="3"/>
    <x v="3"/>
    <x v="1483"/>
    <x v="0"/>
    <n v="34"/>
    <x v="308"/>
    <n v="82.04"/>
    <n v="10.210000000000001"/>
    <n v="9.36"/>
    <n v="3.48"/>
    <n v="208.89"/>
    <n v="984"/>
    <n v="3"/>
    <n v="80"/>
  </r>
  <r>
    <n v="1738"/>
    <s v="2024-04-01"/>
    <n v="2024"/>
    <s v="Q2"/>
    <x v="3"/>
    <x v="0"/>
    <x v="3"/>
    <x v="1484"/>
    <x v="3"/>
    <n v="37"/>
    <x v="367"/>
    <n v="88.28"/>
    <n v="9.25"/>
    <n v="18.18"/>
    <n v="10.85"/>
    <n v="498.66"/>
    <n v="437"/>
    <n v="4"/>
    <n v="76"/>
  </r>
  <r>
    <n v="1739"/>
    <s v="2024-04-10"/>
    <n v="2024"/>
    <s v="Q2"/>
    <x v="3"/>
    <x v="2"/>
    <x v="3"/>
    <x v="1430"/>
    <x v="0"/>
    <n v="46"/>
    <x v="207"/>
    <n v="76.150000000000006"/>
    <n v="19.8"/>
    <n v="3.61"/>
    <n v="11.08"/>
    <n v="105.26"/>
    <n v="976"/>
    <n v="5"/>
    <n v="116"/>
  </r>
  <r>
    <n v="1740"/>
    <s v="2024-04-15"/>
    <n v="2024"/>
    <s v="Q2"/>
    <x v="3"/>
    <x v="6"/>
    <x v="3"/>
    <x v="1485"/>
    <x v="4"/>
    <n v="34"/>
    <x v="63"/>
    <n v="84.5"/>
    <n v="20.25"/>
    <n v="6.03"/>
    <n v="1.33"/>
    <n v="326.76"/>
    <n v="473"/>
    <n v="5"/>
    <n v="75"/>
  </r>
  <r>
    <n v="1741"/>
    <s v="2024-04-15"/>
    <n v="2024"/>
    <s v="Q2"/>
    <x v="3"/>
    <x v="2"/>
    <x v="0"/>
    <x v="1486"/>
    <x v="2"/>
    <n v="31"/>
    <x v="409"/>
    <n v="78.81"/>
    <n v="31.27"/>
    <n v="13.97"/>
    <n v="2.2799999999999998"/>
    <n v="293.49"/>
    <n v="1062"/>
    <n v="4"/>
    <n v="67"/>
  </r>
  <r>
    <n v="1742"/>
    <s v="2024-04-11"/>
    <n v="2024"/>
    <s v="Q2"/>
    <x v="3"/>
    <x v="4"/>
    <x v="1"/>
    <x v="1487"/>
    <x v="2"/>
    <n v="8"/>
    <x v="132"/>
    <n v="79.67"/>
    <n v="23.01"/>
    <n v="4.1500000000000004"/>
    <n v="15.61"/>
    <n v="206.16"/>
    <n v="429"/>
    <n v="4"/>
    <n v="183"/>
  </r>
  <r>
    <n v="1743"/>
    <s v="2024-04-06"/>
    <n v="2024"/>
    <s v="Q2"/>
    <x v="3"/>
    <x v="2"/>
    <x v="2"/>
    <x v="1488"/>
    <x v="1"/>
    <n v="37"/>
    <x v="305"/>
    <n v="86.45"/>
    <n v="8.16"/>
    <n v="8.84"/>
    <n v="4.5"/>
    <n v="206.55"/>
    <n v="791"/>
    <n v="1"/>
    <n v="115"/>
  </r>
  <r>
    <n v="1744"/>
    <s v="2024-04-19"/>
    <n v="2024"/>
    <s v="Q2"/>
    <x v="3"/>
    <x v="4"/>
    <x v="3"/>
    <x v="1489"/>
    <x v="3"/>
    <n v="8"/>
    <x v="9"/>
    <n v="88.8"/>
    <n v="33.6"/>
    <n v="4.4400000000000004"/>
    <n v="14.48"/>
    <n v="360.14"/>
    <n v="994"/>
    <n v="2"/>
    <n v="133"/>
  </r>
  <r>
    <n v="1745"/>
    <s v="2024-04-09"/>
    <n v="2024"/>
    <s v="Q2"/>
    <x v="3"/>
    <x v="4"/>
    <x v="2"/>
    <x v="1490"/>
    <x v="2"/>
    <n v="30"/>
    <x v="367"/>
    <n v="91.63"/>
    <n v="13.43"/>
    <n v="10.119999999999999"/>
    <n v="15.09"/>
    <n v="502.17"/>
    <n v="267"/>
    <n v="3"/>
    <n v="91"/>
  </r>
  <r>
    <n v="1746"/>
    <s v="2024-04-01"/>
    <n v="2024"/>
    <s v="Q2"/>
    <x v="3"/>
    <x v="1"/>
    <x v="4"/>
    <x v="1491"/>
    <x v="3"/>
    <n v="25"/>
    <x v="262"/>
    <n v="78.58"/>
    <n v="13.81"/>
    <n v="17.100000000000001"/>
    <n v="14.48"/>
    <n v="318.22000000000003"/>
    <n v="414"/>
    <n v="3"/>
    <n v="77"/>
  </r>
  <r>
    <n v="1747"/>
    <s v="2024-04-10"/>
    <n v="2024"/>
    <s v="Q2"/>
    <x v="3"/>
    <x v="7"/>
    <x v="1"/>
    <x v="1492"/>
    <x v="3"/>
    <n v="43"/>
    <x v="351"/>
    <n v="85.92"/>
    <n v="9.67"/>
    <n v="13.96"/>
    <n v="12.91"/>
    <n v="500.52"/>
    <n v="343"/>
    <n v="5"/>
    <n v="76"/>
  </r>
  <r>
    <n v="1748"/>
    <s v="2024-04-20"/>
    <n v="2024"/>
    <s v="Q2"/>
    <x v="3"/>
    <x v="7"/>
    <x v="0"/>
    <x v="1493"/>
    <x v="0"/>
    <n v="10"/>
    <x v="126"/>
    <n v="80.599999999999994"/>
    <n v="34.450000000000003"/>
    <n v="12.23"/>
    <n v="15.32"/>
    <n v="139.24"/>
    <n v="759"/>
    <n v="3"/>
    <n v="61"/>
  </r>
  <r>
    <n v="1749"/>
    <s v="2024-04-22"/>
    <n v="2024"/>
    <s v="Q2"/>
    <x v="3"/>
    <x v="2"/>
    <x v="0"/>
    <x v="1494"/>
    <x v="1"/>
    <n v="47"/>
    <x v="86"/>
    <n v="75.989999999999995"/>
    <n v="6.06"/>
    <n v="6.2"/>
    <n v="14.23"/>
    <n v="221.81"/>
    <n v="461"/>
    <n v="3"/>
    <n v="111"/>
  </r>
  <r>
    <n v="1750"/>
    <s v="2024-04-05"/>
    <n v="2024"/>
    <s v="Q2"/>
    <x v="3"/>
    <x v="2"/>
    <x v="4"/>
    <x v="1495"/>
    <x v="0"/>
    <n v="17"/>
    <x v="428"/>
    <n v="79.989999999999995"/>
    <n v="25.66"/>
    <n v="13.61"/>
    <n v="11.28"/>
    <n v="143.80000000000001"/>
    <n v="146"/>
    <n v="4"/>
    <n v="144"/>
  </r>
  <r>
    <n v="1751"/>
    <s v="2024-04-20"/>
    <n v="2024"/>
    <s v="Q2"/>
    <x v="3"/>
    <x v="6"/>
    <x v="1"/>
    <x v="1496"/>
    <x v="2"/>
    <n v="3"/>
    <x v="1"/>
    <n v="90.14"/>
    <n v="30.27"/>
    <n v="17.760000000000002"/>
    <n v="6.8"/>
    <n v="559.67999999999995"/>
    <n v="937"/>
    <n v="4"/>
    <n v="188"/>
  </r>
  <r>
    <n v="1752"/>
    <s v="2024-04-07"/>
    <n v="2024"/>
    <s v="Q2"/>
    <x v="3"/>
    <x v="1"/>
    <x v="2"/>
    <x v="1497"/>
    <x v="4"/>
    <n v="42"/>
    <x v="326"/>
    <n v="93.61"/>
    <n v="18.16"/>
    <n v="3.33"/>
    <n v="11.82"/>
    <n v="195.59"/>
    <n v="770"/>
    <n v="3"/>
    <n v="61"/>
  </r>
  <r>
    <n v="1753"/>
    <s v="2024-04-04"/>
    <n v="2024"/>
    <s v="Q2"/>
    <x v="3"/>
    <x v="0"/>
    <x v="1"/>
    <x v="1498"/>
    <x v="3"/>
    <n v="42"/>
    <x v="154"/>
    <n v="75.09"/>
    <n v="29.95"/>
    <n v="11.3"/>
    <n v="10.07"/>
    <n v="300.17"/>
    <n v="588"/>
    <n v="1"/>
    <n v="51"/>
  </r>
  <r>
    <n v="1754"/>
    <s v="2024-04-26"/>
    <n v="2024"/>
    <s v="Q2"/>
    <x v="3"/>
    <x v="3"/>
    <x v="2"/>
    <x v="1499"/>
    <x v="2"/>
    <n v="23"/>
    <x v="353"/>
    <n v="75.25"/>
    <n v="17.18"/>
    <n v="8.2200000000000006"/>
    <n v="2.59"/>
    <n v="100.07"/>
    <n v="582"/>
    <n v="3"/>
    <n v="93"/>
  </r>
  <r>
    <n v="1755"/>
    <s v="2024-04-23"/>
    <n v="2024"/>
    <s v="Q2"/>
    <x v="3"/>
    <x v="5"/>
    <x v="2"/>
    <x v="466"/>
    <x v="1"/>
    <n v="38"/>
    <x v="479"/>
    <n v="90.47"/>
    <n v="24.02"/>
    <n v="9.91"/>
    <n v="5.76"/>
    <n v="216.76"/>
    <n v="994"/>
    <n v="3"/>
    <n v="60"/>
  </r>
  <r>
    <n v="1756"/>
    <s v="2024-04-17"/>
    <n v="2024"/>
    <s v="Q2"/>
    <x v="3"/>
    <x v="2"/>
    <x v="0"/>
    <x v="277"/>
    <x v="3"/>
    <n v="38"/>
    <x v="238"/>
    <n v="86.29"/>
    <n v="5.37"/>
    <n v="5.08"/>
    <n v="6.82"/>
    <n v="147.84"/>
    <n v="965"/>
    <n v="5"/>
    <n v="95"/>
  </r>
  <r>
    <n v="1757"/>
    <s v="2024-04-16"/>
    <n v="2024"/>
    <s v="Q2"/>
    <x v="3"/>
    <x v="5"/>
    <x v="0"/>
    <x v="1201"/>
    <x v="4"/>
    <n v="37"/>
    <x v="328"/>
    <n v="77.97"/>
    <n v="21.48"/>
    <n v="7.57"/>
    <n v="11.92"/>
    <n v="171.79"/>
    <n v="655"/>
    <n v="1"/>
    <n v="157"/>
  </r>
  <r>
    <n v="1758"/>
    <s v="2024-04-06"/>
    <n v="2024"/>
    <s v="Q2"/>
    <x v="3"/>
    <x v="3"/>
    <x v="3"/>
    <x v="1500"/>
    <x v="1"/>
    <n v="39"/>
    <x v="205"/>
    <n v="89"/>
    <n v="5.56"/>
    <n v="11.76"/>
    <n v="4.63"/>
    <n v="266.05"/>
    <n v="906"/>
    <n v="1"/>
    <n v="118"/>
  </r>
  <r>
    <n v="1759"/>
    <s v="2024-04-16"/>
    <n v="2024"/>
    <s v="Q2"/>
    <x v="3"/>
    <x v="0"/>
    <x v="3"/>
    <x v="1501"/>
    <x v="4"/>
    <n v="32"/>
    <x v="218"/>
    <n v="90.84"/>
    <n v="23.94"/>
    <n v="20.190000000000001"/>
    <n v="10.119999999999999"/>
    <n v="488.92"/>
    <n v="386"/>
    <n v="5"/>
    <n v="175"/>
  </r>
  <r>
    <n v="1760"/>
    <s v="2024-04-27"/>
    <n v="2024"/>
    <s v="Q2"/>
    <x v="3"/>
    <x v="3"/>
    <x v="0"/>
    <x v="1459"/>
    <x v="2"/>
    <n v="38"/>
    <x v="271"/>
    <n v="91.19"/>
    <n v="27.17"/>
    <n v="20.6"/>
    <n v="10.1"/>
    <n v="182.82"/>
    <n v="236"/>
    <n v="3"/>
    <n v="175"/>
  </r>
  <r>
    <n v="1761"/>
    <s v="2024-04-12"/>
    <n v="2024"/>
    <s v="Q2"/>
    <x v="3"/>
    <x v="5"/>
    <x v="4"/>
    <x v="1456"/>
    <x v="4"/>
    <n v="38"/>
    <x v="413"/>
    <n v="81.93"/>
    <n v="5.48"/>
    <n v="3.56"/>
    <n v="1.44"/>
    <n v="424.12"/>
    <n v="217"/>
    <n v="1"/>
    <n v="236"/>
  </r>
  <r>
    <n v="1762"/>
    <s v="2024-04-27"/>
    <n v="2024"/>
    <s v="Q2"/>
    <x v="3"/>
    <x v="2"/>
    <x v="0"/>
    <x v="329"/>
    <x v="3"/>
    <n v="17"/>
    <x v="417"/>
    <n v="87.18"/>
    <n v="28.12"/>
    <n v="21.62"/>
    <n v="11.89"/>
    <n v="300.36"/>
    <n v="633"/>
    <n v="5"/>
    <n v="182"/>
  </r>
  <r>
    <n v="1763"/>
    <s v="2024-04-17"/>
    <n v="2024"/>
    <s v="Q2"/>
    <x v="3"/>
    <x v="0"/>
    <x v="0"/>
    <x v="415"/>
    <x v="2"/>
    <n v="49"/>
    <x v="179"/>
    <n v="85.99"/>
    <n v="17.739999999999998"/>
    <n v="17.16"/>
    <n v="10.99"/>
    <n v="197.16"/>
    <n v="237"/>
    <n v="3"/>
    <n v="123"/>
  </r>
  <r>
    <n v="1764"/>
    <s v="2024-04-09"/>
    <n v="2024"/>
    <s v="Q2"/>
    <x v="3"/>
    <x v="2"/>
    <x v="3"/>
    <x v="1502"/>
    <x v="0"/>
    <n v="50"/>
    <x v="462"/>
    <n v="77.239999999999995"/>
    <n v="6.83"/>
    <n v="19.21"/>
    <n v="2.44"/>
    <n v="310.25"/>
    <n v="1047"/>
    <n v="3"/>
    <n v="215"/>
  </r>
  <r>
    <n v="1765"/>
    <s v="2024-04-04"/>
    <n v="2024"/>
    <s v="Q2"/>
    <x v="3"/>
    <x v="3"/>
    <x v="0"/>
    <x v="1503"/>
    <x v="3"/>
    <n v="43"/>
    <x v="101"/>
    <n v="77.290000000000006"/>
    <n v="23.6"/>
    <n v="16.489999999999998"/>
    <n v="10.73"/>
    <n v="286.77999999999997"/>
    <n v="231"/>
    <n v="4"/>
    <n v="154"/>
  </r>
  <r>
    <n v="1766"/>
    <s v="2024-04-03"/>
    <n v="2024"/>
    <s v="Q2"/>
    <x v="3"/>
    <x v="2"/>
    <x v="3"/>
    <x v="1504"/>
    <x v="2"/>
    <n v="49"/>
    <x v="188"/>
    <n v="85.67"/>
    <n v="21.12"/>
    <n v="17.37"/>
    <n v="4.6500000000000004"/>
    <n v="451.89"/>
    <n v="165"/>
    <n v="3"/>
    <n v="52"/>
  </r>
  <r>
    <n v="1767"/>
    <s v="2024-04-05"/>
    <n v="2024"/>
    <s v="Q2"/>
    <x v="3"/>
    <x v="3"/>
    <x v="0"/>
    <x v="1505"/>
    <x v="1"/>
    <n v="38"/>
    <x v="181"/>
    <n v="94.82"/>
    <n v="32.9"/>
    <n v="16.38"/>
    <n v="14.76"/>
    <n v="550.1"/>
    <n v="784"/>
    <n v="1"/>
    <n v="72"/>
  </r>
  <r>
    <n v="1768"/>
    <s v="2024-04-07"/>
    <n v="2024"/>
    <s v="Q2"/>
    <x v="3"/>
    <x v="2"/>
    <x v="3"/>
    <x v="1368"/>
    <x v="3"/>
    <n v="43"/>
    <x v="426"/>
    <n v="88.66"/>
    <n v="30.2"/>
    <n v="7.74"/>
    <n v="9.01"/>
    <n v="598.69000000000005"/>
    <n v="1073"/>
    <n v="5"/>
    <n v="241"/>
  </r>
  <r>
    <n v="1769"/>
    <s v="2024-05-20"/>
    <n v="2024"/>
    <s v="Q2"/>
    <x v="4"/>
    <x v="4"/>
    <x v="2"/>
    <x v="1506"/>
    <x v="0"/>
    <n v="23"/>
    <x v="134"/>
    <n v="93.05"/>
    <n v="19.91"/>
    <n v="10.95"/>
    <n v="4.8099999999999996"/>
    <n v="103.38"/>
    <n v="274"/>
    <n v="2"/>
    <n v="53"/>
  </r>
  <r>
    <n v="1770"/>
    <s v="2024-05-26"/>
    <n v="2024"/>
    <s v="Q2"/>
    <x v="4"/>
    <x v="7"/>
    <x v="2"/>
    <x v="543"/>
    <x v="4"/>
    <n v="5"/>
    <x v="446"/>
    <n v="91.9"/>
    <n v="15.45"/>
    <n v="17.170000000000002"/>
    <n v="3.19"/>
    <n v="176.01"/>
    <n v="1045"/>
    <n v="5"/>
    <n v="144"/>
  </r>
  <r>
    <n v="1771"/>
    <s v="2024-05-11"/>
    <n v="2024"/>
    <s v="Q2"/>
    <x v="4"/>
    <x v="4"/>
    <x v="3"/>
    <x v="1507"/>
    <x v="0"/>
    <n v="37"/>
    <x v="483"/>
    <n v="82.91"/>
    <n v="26.19"/>
    <n v="7.06"/>
    <n v="12.06"/>
    <n v="123.65"/>
    <n v="847"/>
    <n v="1"/>
    <n v="58"/>
  </r>
  <r>
    <n v="1772"/>
    <s v="2024-05-20"/>
    <n v="2024"/>
    <s v="Q2"/>
    <x v="4"/>
    <x v="7"/>
    <x v="4"/>
    <x v="1508"/>
    <x v="1"/>
    <n v="30"/>
    <x v="129"/>
    <n v="75.38"/>
    <n v="18.559999999999999"/>
    <n v="9.15"/>
    <n v="6.4"/>
    <n v="441.05"/>
    <n v="814"/>
    <n v="3"/>
    <n v="105"/>
  </r>
  <r>
    <n v="1773"/>
    <s v="2024-05-23"/>
    <n v="2024"/>
    <s v="Q2"/>
    <x v="4"/>
    <x v="0"/>
    <x v="0"/>
    <x v="1509"/>
    <x v="1"/>
    <n v="18"/>
    <x v="92"/>
    <n v="79.099999999999994"/>
    <n v="18.670000000000002"/>
    <n v="6.24"/>
    <n v="9.9600000000000009"/>
    <n v="131.07"/>
    <n v="108"/>
    <n v="3"/>
    <n v="223"/>
  </r>
  <r>
    <n v="1774"/>
    <s v="2024-05-27"/>
    <n v="2024"/>
    <s v="Q2"/>
    <x v="4"/>
    <x v="0"/>
    <x v="0"/>
    <x v="1510"/>
    <x v="0"/>
    <n v="8"/>
    <x v="205"/>
    <n v="87.51"/>
    <n v="6.27"/>
    <n v="17.760000000000002"/>
    <n v="7.52"/>
    <n v="468.69"/>
    <n v="1095"/>
    <n v="3"/>
    <n v="99"/>
  </r>
  <r>
    <n v="1775"/>
    <s v="2024-05-25"/>
    <n v="2024"/>
    <s v="Q2"/>
    <x v="4"/>
    <x v="5"/>
    <x v="4"/>
    <x v="1511"/>
    <x v="1"/>
    <n v="46"/>
    <x v="256"/>
    <n v="82.75"/>
    <n v="15.41"/>
    <n v="14.31"/>
    <n v="11.3"/>
    <n v="296.55"/>
    <n v="185"/>
    <n v="5"/>
    <n v="154"/>
  </r>
  <r>
    <n v="1776"/>
    <s v="2024-05-04"/>
    <n v="2024"/>
    <s v="Q2"/>
    <x v="4"/>
    <x v="5"/>
    <x v="4"/>
    <x v="1512"/>
    <x v="2"/>
    <n v="16"/>
    <x v="7"/>
    <n v="78.73"/>
    <n v="23.67"/>
    <n v="14.84"/>
    <n v="10.49"/>
    <n v="546.54999999999995"/>
    <n v="565"/>
    <n v="2"/>
    <n v="153"/>
  </r>
  <r>
    <n v="1777"/>
    <s v="2024-04-30"/>
    <n v="2024"/>
    <s v="Q2"/>
    <x v="4"/>
    <x v="7"/>
    <x v="0"/>
    <x v="1119"/>
    <x v="4"/>
    <n v="14"/>
    <x v="17"/>
    <n v="90.41"/>
    <n v="33.15"/>
    <n v="8.81"/>
    <n v="4.22"/>
    <n v="446.17"/>
    <n v="929"/>
    <n v="2"/>
    <n v="81"/>
  </r>
  <r>
    <n v="1778"/>
    <s v="2024-05-03"/>
    <n v="2024"/>
    <s v="Q2"/>
    <x v="4"/>
    <x v="2"/>
    <x v="3"/>
    <x v="1513"/>
    <x v="0"/>
    <n v="36"/>
    <x v="132"/>
    <n v="82.4"/>
    <n v="22.24"/>
    <n v="5.79"/>
    <n v="3.15"/>
    <n v="512.66999999999996"/>
    <n v="119"/>
    <n v="2"/>
    <n v="105"/>
  </r>
  <r>
    <n v="1779"/>
    <s v="2024-05-01"/>
    <n v="2024"/>
    <s v="Q2"/>
    <x v="4"/>
    <x v="2"/>
    <x v="0"/>
    <x v="823"/>
    <x v="1"/>
    <n v="18"/>
    <x v="324"/>
    <n v="93.91"/>
    <n v="9.18"/>
    <n v="8.08"/>
    <n v="14.82"/>
    <n v="499.35"/>
    <n v="1080"/>
    <n v="2"/>
    <n v="113"/>
  </r>
  <r>
    <n v="1780"/>
    <s v="2024-05-18"/>
    <n v="2024"/>
    <s v="Q2"/>
    <x v="4"/>
    <x v="2"/>
    <x v="3"/>
    <x v="1514"/>
    <x v="4"/>
    <n v="16"/>
    <x v="203"/>
    <n v="79.02"/>
    <n v="12.76"/>
    <n v="7.42"/>
    <n v="1.59"/>
    <n v="398.69"/>
    <n v="1032"/>
    <n v="1"/>
    <n v="121"/>
  </r>
  <r>
    <n v="1781"/>
    <s v="2024-04-30"/>
    <n v="2024"/>
    <s v="Q2"/>
    <x v="4"/>
    <x v="5"/>
    <x v="2"/>
    <x v="1515"/>
    <x v="4"/>
    <n v="34"/>
    <x v="223"/>
    <n v="80.319999999999993"/>
    <n v="20.32"/>
    <n v="16.64"/>
    <n v="12.28"/>
    <n v="341.01"/>
    <n v="672"/>
    <n v="4"/>
    <n v="57"/>
  </r>
  <r>
    <n v="1782"/>
    <s v="2024-05-23"/>
    <n v="2024"/>
    <s v="Q2"/>
    <x v="4"/>
    <x v="6"/>
    <x v="4"/>
    <x v="1282"/>
    <x v="1"/>
    <n v="34"/>
    <x v="369"/>
    <n v="82.12"/>
    <n v="27.54"/>
    <n v="4.8899999999999997"/>
    <n v="5.6"/>
    <n v="451.55"/>
    <n v="632"/>
    <n v="3"/>
    <n v="93"/>
  </r>
  <r>
    <n v="1783"/>
    <s v="2024-05-02"/>
    <n v="2024"/>
    <s v="Q2"/>
    <x v="4"/>
    <x v="0"/>
    <x v="4"/>
    <x v="1516"/>
    <x v="2"/>
    <n v="50"/>
    <x v="5"/>
    <n v="76.13"/>
    <n v="16.239999999999998"/>
    <n v="10.92"/>
    <n v="1.88"/>
    <n v="313.14"/>
    <n v="894"/>
    <n v="2"/>
    <n v="134"/>
  </r>
  <r>
    <n v="1784"/>
    <s v="2024-05-20"/>
    <n v="2024"/>
    <s v="Q2"/>
    <x v="4"/>
    <x v="4"/>
    <x v="1"/>
    <x v="1517"/>
    <x v="2"/>
    <n v="4"/>
    <x v="244"/>
    <n v="91.27"/>
    <n v="6.67"/>
    <n v="20.65"/>
    <n v="4.12"/>
    <n v="190.41"/>
    <n v="294"/>
    <n v="1"/>
    <n v="203"/>
  </r>
  <r>
    <n v="1785"/>
    <s v="2024-05-08"/>
    <n v="2024"/>
    <s v="Q2"/>
    <x v="4"/>
    <x v="1"/>
    <x v="0"/>
    <x v="1518"/>
    <x v="0"/>
    <n v="18"/>
    <x v="331"/>
    <n v="87.45"/>
    <n v="31.87"/>
    <n v="15.86"/>
    <n v="14.24"/>
    <n v="243.5"/>
    <n v="976"/>
    <n v="3"/>
    <n v="87"/>
  </r>
  <r>
    <n v="1786"/>
    <s v="2024-05-08"/>
    <n v="2024"/>
    <s v="Q2"/>
    <x v="4"/>
    <x v="2"/>
    <x v="1"/>
    <x v="1519"/>
    <x v="2"/>
    <n v="24"/>
    <x v="387"/>
    <n v="85.42"/>
    <n v="33.14"/>
    <n v="17.23"/>
    <n v="15.44"/>
    <n v="566.27"/>
    <n v="1088"/>
    <n v="4"/>
    <n v="58"/>
  </r>
  <r>
    <n v="1787"/>
    <s v="2024-05-20"/>
    <n v="2024"/>
    <s v="Q2"/>
    <x v="4"/>
    <x v="4"/>
    <x v="1"/>
    <x v="1520"/>
    <x v="4"/>
    <n v="43"/>
    <x v="269"/>
    <n v="91.34"/>
    <n v="14.33"/>
    <n v="16.829999999999998"/>
    <n v="10.4"/>
    <n v="593.74"/>
    <n v="371"/>
    <n v="5"/>
    <n v="122"/>
  </r>
  <r>
    <n v="1788"/>
    <s v="2024-05-24"/>
    <n v="2024"/>
    <s v="Q2"/>
    <x v="4"/>
    <x v="6"/>
    <x v="3"/>
    <x v="1165"/>
    <x v="3"/>
    <n v="27"/>
    <x v="246"/>
    <n v="93.54"/>
    <n v="24.58"/>
    <n v="7.29"/>
    <n v="15.25"/>
    <n v="121.54"/>
    <n v="351"/>
    <n v="1"/>
    <n v="135"/>
  </r>
  <r>
    <n v="1789"/>
    <s v="2024-05-05"/>
    <n v="2024"/>
    <s v="Q2"/>
    <x v="4"/>
    <x v="7"/>
    <x v="2"/>
    <x v="1521"/>
    <x v="3"/>
    <n v="9"/>
    <x v="156"/>
    <n v="88.48"/>
    <n v="18.2"/>
    <n v="11.05"/>
    <n v="7.93"/>
    <n v="415.94"/>
    <n v="296"/>
    <n v="3"/>
    <n v="94"/>
  </r>
  <r>
    <n v="1790"/>
    <s v="2024-05-11"/>
    <n v="2024"/>
    <s v="Q2"/>
    <x v="4"/>
    <x v="5"/>
    <x v="1"/>
    <x v="1522"/>
    <x v="4"/>
    <n v="24"/>
    <x v="384"/>
    <n v="84"/>
    <n v="15"/>
    <n v="19.98"/>
    <n v="2.2999999999999998"/>
    <n v="174.1"/>
    <n v="670"/>
    <n v="4"/>
    <n v="167"/>
  </r>
  <r>
    <n v="1791"/>
    <s v="2024-05-11"/>
    <n v="2024"/>
    <s v="Q2"/>
    <x v="4"/>
    <x v="5"/>
    <x v="3"/>
    <x v="1523"/>
    <x v="3"/>
    <n v="7"/>
    <x v="203"/>
    <n v="89.23"/>
    <n v="27.1"/>
    <n v="15.09"/>
    <n v="15.58"/>
    <n v="388.45"/>
    <n v="879"/>
    <n v="3"/>
    <n v="169"/>
  </r>
  <r>
    <n v="1792"/>
    <s v="2024-05-22"/>
    <n v="2024"/>
    <s v="Q2"/>
    <x v="4"/>
    <x v="2"/>
    <x v="0"/>
    <x v="1299"/>
    <x v="1"/>
    <n v="4"/>
    <x v="484"/>
    <n v="84.59"/>
    <n v="30.67"/>
    <n v="12.74"/>
    <n v="11.26"/>
    <n v="229.42"/>
    <n v="839"/>
    <n v="5"/>
    <n v="81"/>
  </r>
  <r>
    <n v="1793"/>
    <s v="2024-05-08"/>
    <n v="2024"/>
    <s v="Q2"/>
    <x v="4"/>
    <x v="6"/>
    <x v="1"/>
    <x v="1496"/>
    <x v="3"/>
    <n v="38"/>
    <x v="450"/>
    <n v="86.25"/>
    <n v="15.29"/>
    <n v="9.0399999999999991"/>
    <n v="2.2000000000000002"/>
    <n v="286.72000000000003"/>
    <n v="731"/>
    <n v="5"/>
    <n v="160"/>
  </r>
  <r>
    <n v="1794"/>
    <s v="2024-05-08"/>
    <n v="2024"/>
    <s v="Q2"/>
    <x v="4"/>
    <x v="3"/>
    <x v="2"/>
    <x v="1524"/>
    <x v="0"/>
    <n v="2"/>
    <x v="134"/>
    <n v="91.68"/>
    <n v="20.85"/>
    <n v="18.39"/>
    <n v="12.76"/>
    <n v="130.93"/>
    <n v="192"/>
    <n v="1"/>
    <n v="198"/>
  </r>
  <r>
    <n v="1795"/>
    <s v="2024-05-19"/>
    <n v="2024"/>
    <s v="Q2"/>
    <x v="4"/>
    <x v="3"/>
    <x v="0"/>
    <x v="1525"/>
    <x v="2"/>
    <n v="7"/>
    <x v="447"/>
    <n v="77.19"/>
    <n v="19.5"/>
    <n v="2.34"/>
    <n v="9.7200000000000006"/>
    <n v="307.26"/>
    <n v="311"/>
    <n v="1"/>
    <n v="92"/>
  </r>
  <r>
    <n v="1796"/>
    <s v="2024-05-22"/>
    <n v="2024"/>
    <s v="Q2"/>
    <x v="4"/>
    <x v="0"/>
    <x v="3"/>
    <x v="1526"/>
    <x v="1"/>
    <n v="27"/>
    <x v="242"/>
    <n v="81.06"/>
    <n v="6.56"/>
    <n v="15.75"/>
    <n v="9.9499999999999993"/>
    <n v="470.5"/>
    <n v="543"/>
    <n v="5"/>
    <n v="216"/>
  </r>
  <r>
    <n v="1797"/>
    <s v="2024-05-04"/>
    <n v="2024"/>
    <s v="Q2"/>
    <x v="4"/>
    <x v="2"/>
    <x v="4"/>
    <x v="1527"/>
    <x v="4"/>
    <n v="21"/>
    <x v="320"/>
    <n v="78.88"/>
    <n v="21.83"/>
    <n v="11.53"/>
    <n v="13.89"/>
    <n v="334.05"/>
    <n v="1098"/>
    <n v="1"/>
    <n v="81"/>
  </r>
  <r>
    <n v="1798"/>
    <s v="2024-05-24"/>
    <n v="2024"/>
    <s v="Q2"/>
    <x v="4"/>
    <x v="7"/>
    <x v="3"/>
    <x v="1528"/>
    <x v="2"/>
    <n v="10"/>
    <x v="231"/>
    <n v="87.61"/>
    <n v="6.02"/>
    <n v="17.93"/>
    <n v="5.09"/>
    <n v="278.14"/>
    <n v="372"/>
    <n v="4"/>
    <n v="80"/>
  </r>
  <r>
    <n v="1799"/>
    <s v="2024-05-03"/>
    <n v="2024"/>
    <s v="Q2"/>
    <x v="4"/>
    <x v="4"/>
    <x v="2"/>
    <x v="1529"/>
    <x v="3"/>
    <n v="39"/>
    <x v="223"/>
    <n v="76.099999999999994"/>
    <n v="30.79"/>
    <n v="18.63"/>
    <n v="1.08"/>
    <n v="304.04000000000002"/>
    <n v="394"/>
    <n v="3"/>
    <n v="134"/>
  </r>
  <r>
    <n v="1800"/>
    <s v="2024-05-01"/>
    <n v="2024"/>
    <s v="Q2"/>
    <x v="4"/>
    <x v="4"/>
    <x v="1"/>
    <x v="1530"/>
    <x v="1"/>
    <n v="48"/>
    <x v="210"/>
    <n v="77.86"/>
    <n v="7.01"/>
    <n v="17.579999999999998"/>
    <n v="8.7200000000000006"/>
    <n v="445.13"/>
    <n v="537"/>
    <n v="1"/>
    <n v="239"/>
  </r>
  <r>
    <n v="1801"/>
    <s v="2024-05-01"/>
    <n v="2024"/>
    <s v="Q2"/>
    <x v="4"/>
    <x v="5"/>
    <x v="3"/>
    <x v="1356"/>
    <x v="4"/>
    <n v="38"/>
    <x v="146"/>
    <n v="81.2"/>
    <n v="6.07"/>
    <n v="11.6"/>
    <n v="11.35"/>
    <n v="557.09"/>
    <n v="589"/>
    <n v="4"/>
    <n v="186"/>
  </r>
  <r>
    <n v="1802"/>
    <s v="2024-05-04"/>
    <n v="2024"/>
    <s v="Q2"/>
    <x v="4"/>
    <x v="7"/>
    <x v="0"/>
    <x v="377"/>
    <x v="0"/>
    <n v="34"/>
    <x v="379"/>
    <n v="91.67"/>
    <n v="7.26"/>
    <n v="18.8"/>
    <n v="3"/>
    <n v="335.92"/>
    <n v="573"/>
    <n v="2"/>
    <n v="185"/>
  </r>
  <r>
    <n v="1803"/>
    <s v="2024-06-09"/>
    <n v="2024"/>
    <s v="Q2"/>
    <x v="5"/>
    <x v="2"/>
    <x v="3"/>
    <x v="1294"/>
    <x v="1"/>
    <n v="13"/>
    <x v="64"/>
    <n v="92.36"/>
    <n v="14.95"/>
    <n v="9.25"/>
    <n v="4.9000000000000004"/>
    <n v="354.46"/>
    <n v="810"/>
    <n v="2"/>
    <n v="165"/>
  </r>
  <r>
    <n v="1804"/>
    <s v="2024-06-02"/>
    <n v="2024"/>
    <s v="Q2"/>
    <x v="5"/>
    <x v="1"/>
    <x v="0"/>
    <x v="1531"/>
    <x v="3"/>
    <n v="44"/>
    <x v="485"/>
    <n v="84.32"/>
    <n v="34.74"/>
    <n v="13.49"/>
    <n v="11.19"/>
    <n v="486.87"/>
    <n v="961"/>
    <n v="3"/>
    <n v="90"/>
  </r>
  <r>
    <n v="1805"/>
    <s v="2024-06-26"/>
    <n v="2024"/>
    <s v="Q2"/>
    <x v="5"/>
    <x v="7"/>
    <x v="3"/>
    <x v="1532"/>
    <x v="3"/>
    <n v="8"/>
    <x v="213"/>
    <n v="82.87"/>
    <n v="29.93"/>
    <n v="8.67"/>
    <n v="12.78"/>
    <n v="222.31"/>
    <n v="319"/>
    <n v="5"/>
    <n v="118"/>
  </r>
  <r>
    <n v="1806"/>
    <s v="2024-06-01"/>
    <n v="2024"/>
    <s v="Q2"/>
    <x v="5"/>
    <x v="5"/>
    <x v="1"/>
    <x v="1533"/>
    <x v="0"/>
    <n v="49"/>
    <x v="486"/>
    <n v="87.54"/>
    <n v="19.579999999999998"/>
    <n v="20.71"/>
    <n v="9.49"/>
    <n v="351.42"/>
    <n v="586"/>
    <n v="4"/>
    <n v="221"/>
  </r>
  <r>
    <n v="1807"/>
    <s v="2024-06-13"/>
    <n v="2024"/>
    <s v="Q2"/>
    <x v="5"/>
    <x v="0"/>
    <x v="4"/>
    <x v="1534"/>
    <x v="0"/>
    <n v="50"/>
    <x v="95"/>
    <n v="81.62"/>
    <n v="20.3"/>
    <n v="10.46"/>
    <n v="1.39"/>
    <n v="121.83"/>
    <n v="952"/>
    <n v="1"/>
    <n v="241"/>
  </r>
  <r>
    <n v="1808"/>
    <s v="2024-06-24"/>
    <n v="2024"/>
    <s v="Q2"/>
    <x v="5"/>
    <x v="6"/>
    <x v="2"/>
    <x v="702"/>
    <x v="2"/>
    <n v="38"/>
    <x v="294"/>
    <n v="76.989999999999995"/>
    <n v="23"/>
    <n v="16.39"/>
    <n v="4.54"/>
    <n v="107.32"/>
    <n v="113"/>
    <n v="5"/>
    <n v="87"/>
  </r>
  <r>
    <n v="1809"/>
    <s v="2024-06-24"/>
    <n v="2024"/>
    <s v="Q2"/>
    <x v="5"/>
    <x v="7"/>
    <x v="1"/>
    <x v="808"/>
    <x v="2"/>
    <n v="31"/>
    <x v="3"/>
    <n v="82.92"/>
    <n v="33.299999999999997"/>
    <n v="19.52"/>
    <n v="13.46"/>
    <n v="173.2"/>
    <n v="389"/>
    <n v="4"/>
    <n v="212"/>
  </r>
  <r>
    <n v="1810"/>
    <s v="2024-06-05"/>
    <n v="2024"/>
    <s v="Q2"/>
    <x v="5"/>
    <x v="4"/>
    <x v="1"/>
    <x v="1535"/>
    <x v="1"/>
    <n v="32"/>
    <x v="7"/>
    <n v="93.63"/>
    <n v="5.12"/>
    <n v="2.52"/>
    <n v="1.8"/>
    <n v="392.86"/>
    <n v="142"/>
    <n v="2"/>
    <n v="106"/>
  </r>
  <r>
    <n v="1811"/>
    <s v="2024-06-03"/>
    <n v="2024"/>
    <s v="Q2"/>
    <x v="5"/>
    <x v="3"/>
    <x v="1"/>
    <x v="1536"/>
    <x v="1"/>
    <n v="12"/>
    <x v="143"/>
    <n v="75.099999999999994"/>
    <n v="25.78"/>
    <n v="9.42"/>
    <n v="2.67"/>
    <n v="342.73"/>
    <n v="473"/>
    <n v="3"/>
    <n v="89"/>
  </r>
  <r>
    <n v="1812"/>
    <s v="2024-06-15"/>
    <n v="2024"/>
    <s v="Q2"/>
    <x v="5"/>
    <x v="7"/>
    <x v="4"/>
    <x v="1537"/>
    <x v="3"/>
    <n v="9"/>
    <x v="92"/>
    <n v="84.89"/>
    <n v="17.93"/>
    <n v="2.82"/>
    <n v="7"/>
    <n v="334.41"/>
    <n v="483"/>
    <n v="1"/>
    <n v="193"/>
  </r>
  <r>
    <n v="1813"/>
    <s v="2024-06-09"/>
    <n v="2024"/>
    <s v="Q2"/>
    <x v="5"/>
    <x v="1"/>
    <x v="2"/>
    <x v="848"/>
    <x v="3"/>
    <n v="28"/>
    <x v="321"/>
    <n v="90.67"/>
    <n v="9.32"/>
    <n v="19.63"/>
    <n v="14.8"/>
    <n v="409.24"/>
    <n v="148"/>
    <n v="3"/>
    <n v="98"/>
  </r>
  <r>
    <n v="1814"/>
    <s v="2024-06-11"/>
    <n v="2024"/>
    <s v="Q2"/>
    <x v="5"/>
    <x v="7"/>
    <x v="1"/>
    <x v="1538"/>
    <x v="4"/>
    <n v="30"/>
    <x v="389"/>
    <n v="82.59"/>
    <n v="16.32"/>
    <n v="8.6300000000000008"/>
    <n v="14.56"/>
    <n v="123.62"/>
    <n v="1039"/>
    <n v="1"/>
    <n v="220"/>
  </r>
  <r>
    <n v="1815"/>
    <s v="2024-06-11"/>
    <n v="2024"/>
    <s v="Q2"/>
    <x v="5"/>
    <x v="7"/>
    <x v="3"/>
    <x v="1539"/>
    <x v="1"/>
    <n v="13"/>
    <x v="298"/>
    <n v="89.05"/>
    <n v="23.76"/>
    <n v="15.88"/>
    <n v="3.44"/>
    <n v="444.28"/>
    <n v="1069"/>
    <n v="5"/>
    <n v="194"/>
  </r>
  <r>
    <n v="1816"/>
    <s v="2024-06-26"/>
    <n v="2024"/>
    <s v="Q2"/>
    <x v="5"/>
    <x v="0"/>
    <x v="0"/>
    <x v="1540"/>
    <x v="4"/>
    <n v="6"/>
    <x v="58"/>
    <n v="75.14"/>
    <n v="17.46"/>
    <n v="13.17"/>
    <n v="15.54"/>
    <n v="451.51"/>
    <n v="742"/>
    <n v="4"/>
    <n v="230"/>
  </r>
  <r>
    <n v="1817"/>
    <s v="2024-06-24"/>
    <n v="2024"/>
    <s v="Q2"/>
    <x v="5"/>
    <x v="5"/>
    <x v="3"/>
    <x v="1541"/>
    <x v="0"/>
    <n v="3"/>
    <x v="463"/>
    <n v="86.43"/>
    <n v="10.33"/>
    <n v="8.42"/>
    <n v="4.9000000000000004"/>
    <n v="292.24"/>
    <n v="1088"/>
    <n v="2"/>
    <n v="220"/>
  </r>
  <r>
    <n v="1818"/>
    <s v="2024-06-23"/>
    <n v="2024"/>
    <s v="Q2"/>
    <x v="5"/>
    <x v="5"/>
    <x v="4"/>
    <x v="1542"/>
    <x v="2"/>
    <n v="17"/>
    <x v="165"/>
    <n v="80.52"/>
    <n v="12.57"/>
    <n v="16.59"/>
    <n v="8.4600000000000009"/>
    <n v="533.36"/>
    <n v="726"/>
    <n v="2"/>
    <n v="135"/>
  </r>
  <r>
    <n v="1819"/>
    <s v="2024-06-09"/>
    <n v="2024"/>
    <s v="Q2"/>
    <x v="5"/>
    <x v="4"/>
    <x v="4"/>
    <x v="1543"/>
    <x v="1"/>
    <n v="43"/>
    <x v="341"/>
    <n v="89.32"/>
    <n v="21.8"/>
    <n v="13.34"/>
    <n v="2.4900000000000002"/>
    <n v="456.94"/>
    <n v="1051"/>
    <n v="1"/>
    <n v="137"/>
  </r>
  <r>
    <n v="1820"/>
    <s v="2024-06-26"/>
    <n v="2024"/>
    <s v="Q2"/>
    <x v="5"/>
    <x v="4"/>
    <x v="0"/>
    <x v="1544"/>
    <x v="2"/>
    <n v="16"/>
    <x v="208"/>
    <n v="88.89"/>
    <n v="28.75"/>
    <n v="7.81"/>
    <n v="5.33"/>
    <n v="534.58000000000004"/>
    <n v="191"/>
    <n v="5"/>
    <n v="67"/>
  </r>
  <r>
    <n v="1821"/>
    <s v="2024-06-22"/>
    <n v="2024"/>
    <s v="Q2"/>
    <x v="5"/>
    <x v="1"/>
    <x v="0"/>
    <x v="1545"/>
    <x v="1"/>
    <n v="16"/>
    <x v="292"/>
    <n v="82.5"/>
    <n v="13.92"/>
    <n v="21.45"/>
    <n v="3.09"/>
    <n v="528.65"/>
    <n v="420"/>
    <n v="3"/>
    <n v="213"/>
  </r>
  <r>
    <n v="1822"/>
    <s v="2024-06-01"/>
    <n v="2024"/>
    <s v="Q2"/>
    <x v="5"/>
    <x v="5"/>
    <x v="0"/>
    <x v="582"/>
    <x v="4"/>
    <n v="33"/>
    <x v="331"/>
    <n v="86.64"/>
    <n v="8.01"/>
    <n v="6.46"/>
    <n v="7.16"/>
    <n v="181.37"/>
    <n v="217"/>
    <n v="2"/>
    <n v="62"/>
  </r>
  <r>
    <n v="1823"/>
    <s v="2024-05-31"/>
    <n v="2024"/>
    <s v="Q2"/>
    <x v="5"/>
    <x v="4"/>
    <x v="4"/>
    <x v="1353"/>
    <x v="1"/>
    <n v="20"/>
    <x v="15"/>
    <n v="82.05"/>
    <n v="33.99"/>
    <n v="13.32"/>
    <n v="6.12"/>
    <n v="227.71"/>
    <n v="493"/>
    <n v="3"/>
    <n v="181"/>
  </r>
  <r>
    <n v="1824"/>
    <s v="2024-06-04"/>
    <n v="2024"/>
    <s v="Q2"/>
    <x v="5"/>
    <x v="7"/>
    <x v="3"/>
    <x v="1546"/>
    <x v="2"/>
    <n v="29"/>
    <x v="279"/>
    <n v="86.23"/>
    <n v="25.55"/>
    <n v="6.59"/>
    <n v="11.59"/>
    <n v="350.28"/>
    <n v="1016"/>
    <n v="2"/>
    <n v="115"/>
  </r>
  <r>
    <n v="1825"/>
    <s v="2024-06-09"/>
    <n v="2024"/>
    <s v="Q2"/>
    <x v="5"/>
    <x v="6"/>
    <x v="4"/>
    <x v="1547"/>
    <x v="2"/>
    <n v="27"/>
    <x v="362"/>
    <n v="94.07"/>
    <n v="25.86"/>
    <n v="20.27"/>
    <n v="13.25"/>
    <n v="176.58"/>
    <n v="287"/>
    <n v="4"/>
    <n v="208"/>
  </r>
  <r>
    <n v="1826"/>
    <s v="2024-06-03"/>
    <n v="2024"/>
    <s v="Q2"/>
    <x v="5"/>
    <x v="3"/>
    <x v="3"/>
    <x v="1548"/>
    <x v="1"/>
    <n v="42"/>
    <x v="267"/>
    <n v="75.510000000000005"/>
    <n v="25.46"/>
    <n v="2.57"/>
    <n v="4.22"/>
    <n v="465.36"/>
    <n v="986"/>
    <n v="3"/>
    <n v="52"/>
  </r>
  <r>
    <n v="1827"/>
    <s v="2024-06-10"/>
    <n v="2024"/>
    <s v="Q2"/>
    <x v="5"/>
    <x v="4"/>
    <x v="2"/>
    <x v="1549"/>
    <x v="1"/>
    <n v="25"/>
    <x v="214"/>
    <n v="89.2"/>
    <n v="10.54"/>
    <n v="16.07"/>
    <n v="4"/>
    <n v="324.57"/>
    <n v="867"/>
    <n v="4"/>
    <n v="208"/>
  </r>
  <r>
    <n v="1828"/>
    <s v="2024-06-22"/>
    <n v="2024"/>
    <s v="Q2"/>
    <x v="5"/>
    <x v="5"/>
    <x v="3"/>
    <x v="1550"/>
    <x v="2"/>
    <n v="28"/>
    <x v="130"/>
    <n v="77.72"/>
    <n v="10.56"/>
    <n v="11.4"/>
    <n v="14.54"/>
    <n v="532.1"/>
    <n v="1051"/>
    <n v="2"/>
    <n v="153"/>
  </r>
  <r>
    <n v="1829"/>
    <s v="2024-06-02"/>
    <n v="2024"/>
    <s v="Q2"/>
    <x v="5"/>
    <x v="3"/>
    <x v="0"/>
    <x v="1551"/>
    <x v="3"/>
    <n v="41"/>
    <x v="197"/>
    <n v="90.42"/>
    <n v="19.7"/>
    <n v="18.68"/>
    <n v="3.25"/>
    <n v="591.99"/>
    <n v="522"/>
    <n v="3"/>
    <n v="134"/>
  </r>
  <r>
    <n v="1830"/>
    <s v="2024-06-05"/>
    <n v="2024"/>
    <s v="Q2"/>
    <x v="5"/>
    <x v="2"/>
    <x v="4"/>
    <x v="1552"/>
    <x v="2"/>
    <n v="36"/>
    <x v="487"/>
    <n v="76.14"/>
    <n v="25.79"/>
    <n v="14.37"/>
    <n v="14.13"/>
    <n v="408.17"/>
    <n v="797"/>
    <n v="3"/>
    <n v="232"/>
  </r>
  <r>
    <n v="1831"/>
    <s v="2024-06-19"/>
    <n v="2024"/>
    <s v="Q2"/>
    <x v="5"/>
    <x v="1"/>
    <x v="4"/>
    <x v="957"/>
    <x v="1"/>
    <n v="35"/>
    <x v="21"/>
    <n v="80.2"/>
    <n v="23.42"/>
    <n v="2.59"/>
    <n v="9.1999999999999993"/>
    <n v="490.01"/>
    <n v="418"/>
    <n v="4"/>
    <n v="133"/>
  </r>
  <r>
    <n v="1832"/>
    <s v="2024-06-27"/>
    <n v="2024"/>
    <s v="Q2"/>
    <x v="5"/>
    <x v="2"/>
    <x v="3"/>
    <x v="1553"/>
    <x v="4"/>
    <n v="39"/>
    <x v="397"/>
    <n v="92.65"/>
    <n v="13.91"/>
    <n v="19.13"/>
    <n v="7.8"/>
    <n v="379.02"/>
    <n v="800"/>
    <n v="1"/>
    <n v="136"/>
  </r>
  <r>
    <n v="1833"/>
    <s v="2024-06-07"/>
    <n v="2024"/>
    <s v="Q2"/>
    <x v="5"/>
    <x v="0"/>
    <x v="0"/>
    <x v="1554"/>
    <x v="3"/>
    <n v="30"/>
    <x v="176"/>
    <n v="75.510000000000005"/>
    <n v="18.010000000000002"/>
    <n v="15.02"/>
    <n v="1.76"/>
    <n v="102.97"/>
    <n v="942"/>
    <n v="5"/>
    <n v="52"/>
  </r>
  <r>
    <n v="1834"/>
    <s v="2024-06-10"/>
    <n v="2024"/>
    <s v="Q2"/>
    <x v="5"/>
    <x v="0"/>
    <x v="2"/>
    <x v="1555"/>
    <x v="4"/>
    <n v="7"/>
    <x v="378"/>
    <n v="84.33"/>
    <n v="24.32"/>
    <n v="18.600000000000001"/>
    <n v="5.16"/>
    <n v="388.22"/>
    <n v="555"/>
    <n v="3"/>
    <n v="109"/>
  </r>
  <r>
    <n v="1835"/>
    <s v="2024-06-08"/>
    <n v="2024"/>
    <s v="Q2"/>
    <x v="5"/>
    <x v="7"/>
    <x v="2"/>
    <x v="1556"/>
    <x v="3"/>
    <n v="47"/>
    <x v="389"/>
    <n v="81.42"/>
    <n v="24.68"/>
    <n v="2.02"/>
    <n v="10.42"/>
    <n v="240.73"/>
    <n v="142"/>
    <n v="2"/>
    <n v="201"/>
  </r>
  <r>
    <n v="1836"/>
    <s v="2024-06-17"/>
    <n v="2024"/>
    <s v="Q2"/>
    <x v="5"/>
    <x v="4"/>
    <x v="4"/>
    <x v="1557"/>
    <x v="3"/>
    <n v="44"/>
    <x v="220"/>
    <n v="91.6"/>
    <n v="23.51"/>
    <n v="8.91"/>
    <n v="1.6"/>
    <n v="195.04"/>
    <n v="413"/>
    <n v="3"/>
    <n v="231"/>
  </r>
  <r>
    <n v="1837"/>
    <s v="2024-07-20"/>
    <n v="2024"/>
    <s v="Q3"/>
    <x v="6"/>
    <x v="2"/>
    <x v="4"/>
    <x v="612"/>
    <x v="2"/>
    <n v="30"/>
    <x v="346"/>
    <n v="88"/>
    <n v="8.83"/>
    <n v="20.51"/>
    <n v="5.7"/>
    <n v="317.01"/>
    <n v="575"/>
    <n v="5"/>
    <n v="180"/>
  </r>
  <r>
    <n v="1838"/>
    <s v="2024-07-24"/>
    <n v="2024"/>
    <s v="Q3"/>
    <x v="6"/>
    <x v="2"/>
    <x v="3"/>
    <x v="1558"/>
    <x v="0"/>
    <n v="48"/>
    <x v="186"/>
    <n v="86.26"/>
    <n v="31.87"/>
    <n v="16.5"/>
    <n v="3.06"/>
    <n v="577.79999999999995"/>
    <n v="498"/>
    <n v="4"/>
    <n v="219"/>
  </r>
  <r>
    <n v="1839"/>
    <s v="2024-07-16"/>
    <n v="2024"/>
    <s v="Q3"/>
    <x v="6"/>
    <x v="4"/>
    <x v="0"/>
    <x v="1559"/>
    <x v="0"/>
    <n v="28"/>
    <x v="86"/>
    <n v="76.41"/>
    <n v="6.13"/>
    <n v="7.52"/>
    <n v="13.41"/>
    <n v="358.96"/>
    <n v="314"/>
    <n v="2"/>
    <n v="61"/>
  </r>
  <r>
    <n v="1840"/>
    <s v="2024-07-24"/>
    <n v="2024"/>
    <s v="Q3"/>
    <x v="6"/>
    <x v="0"/>
    <x v="0"/>
    <x v="1560"/>
    <x v="4"/>
    <n v="12"/>
    <x v="367"/>
    <n v="86.02"/>
    <n v="15"/>
    <n v="5.19"/>
    <n v="9.48"/>
    <n v="201.86"/>
    <n v="243"/>
    <n v="1"/>
    <n v="226"/>
  </r>
  <r>
    <n v="1841"/>
    <s v="2024-07-17"/>
    <n v="2024"/>
    <s v="Q3"/>
    <x v="6"/>
    <x v="3"/>
    <x v="1"/>
    <x v="1561"/>
    <x v="3"/>
    <n v="24"/>
    <x v="91"/>
    <n v="92.55"/>
    <n v="8.9600000000000009"/>
    <n v="11.7"/>
    <n v="4.7"/>
    <n v="261.66000000000003"/>
    <n v="237"/>
    <n v="1"/>
    <n v="144"/>
  </r>
  <r>
    <n v="1842"/>
    <s v="2024-07-17"/>
    <n v="2024"/>
    <s v="Q3"/>
    <x v="6"/>
    <x v="3"/>
    <x v="4"/>
    <x v="1562"/>
    <x v="1"/>
    <n v="8"/>
    <x v="271"/>
    <n v="94.74"/>
    <n v="25.07"/>
    <n v="17.87"/>
    <n v="1.96"/>
    <n v="147.55000000000001"/>
    <n v="186"/>
    <n v="1"/>
    <n v="118"/>
  </r>
  <r>
    <n v="1843"/>
    <s v="2024-06-30"/>
    <n v="2024"/>
    <s v="Q3"/>
    <x v="6"/>
    <x v="2"/>
    <x v="3"/>
    <x v="1563"/>
    <x v="4"/>
    <n v="25"/>
    <x v="165"/>
    <n v="83.4"/>
    <n v="16.46"/>
    <n v="10.82"/>
    <n v="10.85"/>
    <n v="529.86"/>
    <n v="775"/>
    <n v="2"/>
    <n v="249"/>
  </r>
  <r>
    <n v="1844"/>
    <s v="2024-07-26"/>
    <n v="2024"/>
    <s v="Q3"/>
    <x v="6"/>
    <x v="7"/>
    <x v="0"/>
    <x v="1564"/>
    <x v="2"/>
    <n v="45"/>
    <x v="42"/>
    <n v="92.06"/>
    <n v="20.54"/>
    <n v="11.61"/>
    <n v="9.25"/>
    <n v="431.65"/>
    <n v="144"/>
    <n v="3"/>
    <n v="96"/>
  </r>
  <r>
    <n v="1845"/>
    <s v="2024-07-01"/>
    <n v="2024"/>
    <s v="Q3"/>
    <x v="6"/>
    <x v="6"/>
    <x v="2"/>
    <x v="1565"/>
    <x v="1"/>
    <n v="43"/>
    <x v="425"/>
    <n v="94.82"/>
    <n v="34.04"/>
    <n v="20.63"/>
    <n v="9.14"/>
    <n v="318.19"/>
    <n v="113"/>
    <n v="1"/>
    <n v="80"/>
  </r>
  <r>
    <n v="1846"/>
    <s v="2024-07-07"/>
    <n v="2024"/>
    <s v="Q3"/>
    <x v="6"/>
    <x v="0"/>
    <x v="1"/>
    <x v="172"/>
    <x v="1"/>
    <n v="49"/>
    <x v="274"/>
    <n v="92.48"/>
    <n v="30.51"/>
    <n v="19.579999999999998"/>
    <n v="7.99"/>
    <n v="264.8"/>
    <n v="619"/>
    <n v="3"/>
    <n v="55"/>
  </r>
  <r>
    <n v="1847"/>
    <s v="2024-07-23"/>
    <n v="2024"/>
    <s v="Q3"/>
    <x v="6"/>
    <x v="5"/>
    <x v="1"/>
    <x v="1566"/>
    <x v="0"/>
    <n v="8"/>
    <x v="323"/>
    <n v="78.64"/>
    <n v="17.600000000000001"/>
    <n v="2.54"/>
    <n v="15.84"/>
    <n v="432.09"/>
    <n v="580"/>
    <n v="5"/>
    <n v="184"/>
  </r>
  <r>
    <n v="1848"/>
    <s v="2024-07-20"/>
    <n v="2024"/>
    <s v="Q3"/>
    <x v="6"/>
    <x v="3"/>
    <x v="3"/>
    <x v="1567"/>
    <x v="4"/>
    <n v="12"/>
    <x v="180"/>
    <n v="94.94"/>
    <n v="17.309999999999999"/>
    <n v="17.3"/>
    <n v="10.81"/>
    <n v="465.26"/>
    <n v="827"/>
    <n v="1"/>
    <n v="218"/>
  </r>
  <r>
    <n v="1849"/>
    <s v="2024-07-16"/>
    <n v="2024"/>
    <s v="Q3"/>
    <x v="6"/>
    <x v="7"/>
    <x v="3"/>
    <x v="1568"/>
    <x v="4"/>
    <n v="23"/>
    <x v="50"/>
    <n v="80.989999999999995"/>
    <n v="15.33"/>
    <n v="21.19"/>
    <n v="13.64"/>
    <n v="488.91"/>
    <n v="1091"/>
    <n v="3"/>
    <n v="207"/>
  </r>
  <r>
    <n v="1850"/>
    <s v="2024-07-07"/>
    <n v="2024"/>
    <s v="Q3"/>
    <x v="6"/>
    <x v="6"/>
    <x v="0"/>
    <x v="1569"/>
    <x v="4"/>
    <n v="15"/>
    <x v="199"/>
    <n v="77.2"/>
    <n v="5.31"/>
    <n v="19.510000000000002"/>
    <n v="12.33"/>
    <n v="263.68"/>
    <n v="991"/>
    <n v="4"/>
    <n v="84"/>
  </r>
  <r>
    <n v="1851"/>
    <s v="2024-07-12"/>
    <n v="2024"/>
    <s v="Q3"/>
    <x v="6"/>
    <x v="4"/>
    <x v="4"/>
    <x v="1570"/>
    <x v="1"/>
    <n v="6"/>
    <x v="251"/>
    <n v="84.92"/>
    <n v="21.55"/>
    <n v="7.57"/>
    <n v="1.47"/>
    <n v="394.95"/>
    <n v="793"/>
    <n v="4"/>
    <n v="134"/>
  </r>
  <r>
    <n v="1852"/>
    <s v="2024-07-05"/>
    <n v="2024"/>
    <s v="Q3"/>
    <x v="6"/>
    <x v="2"/>
    <x v="1"/>
    <x v="997"/>
    <x v="3"/>
    <n v="23"/>
    <x v="487"/>
    <n v="77.489999999999995"/>
    <n v="29.76"/>
    <n v="13.11"/>
    <n v="7.68"/>
    <n v="523.09"/>
    <n v="439"/>
    <n v="1"/>
    <n v="194"/>
  </r>
  <r>
    <n v="1853"/>
    <s v="2024-07-12"/>
    <n v="2024"/>
    <s v="Q3"/>
    <x v="6"/>
    <x v="7"/>
    <x v="0"/>
    <x v="1571"/>
    <x v="0"/>
    <n v="28"/>
    <x v="478"/>
    <n v="94.75"/>
    <n v="5.69"/>
    <n v="21.15"/>
    <n v="11.61"/>
    <n v="540.77"/>
    <n v="577"/>
    <n v="2"/>
    <n v="66"/>
  </r>
  <r>
    <n v="1854"/>
    <s v="2024-07-09"/>
    <n v="2024"/>
    <s v="Q3"/>
    <x v="6"/>
    <x v="0"/>
    <x v="0"/>
    <x v="1572"/>
    <x v="1"/>
    <n v="5"/>
    <x v="264"/>
    <n v="88.88"/>
    <n v="32.51"/>
    <n v="10.17"/>
    <n v="6.47"/>
    <n v="486.49"/>
    <n v="723"/>
    <n v="2"/>
    <n v="103"/>
  </r>
  <r>
    <n v="1855"/>
    <s v="2024-07-16"/>
    <n v="2024"/>
    <s v="Q3"/>
    <x v="6"/>
    <x v="3"/>
    <x v="1"/>
    <x v="1573"/>
    <x v="4"/>
    <n v="14"/>
    <x v="475"/>
    <n v="90.76"/>
    <n v="30.42"/>
    <n v="8.26"/>
    <n v="6.49"/>
    <n v="553.88"/>
    <n v="457"/>
    <n v="3"/>
    <n v="157"/>
  </r>
  <r>
    <n v="1856"/>
    <s v="2024-07-12"/>
    <n v="2024"/>
    <s v="Q3"/>
    <x v="6"/>
    <x v="2"/>
    <x v="1"/>
    <x v="1574"/>
    <x v="2"/>
    <n v="30"/>
    <x v="139"/>
    <n v="86.07"/>
    <n v="29.07"/>
    <n v="14.3"/>
    <n v="8.68"/>
    <n v="144.26"/>
    <n v="152"/>
    <n v="5"/>
    <n v="51"/>
  </r>
  <r>
    <n v="1857"/>
    <s v="2024-07-15"/>
    <n v="2024"/>
    <s v="Q3"/>
    <x v="6"/>
    <x v="2"/>
    <x v="4"/>
    <x v="887"/>
    <x v="3"/>
    <n v="9"/>
    <x v="39"/>
    <n v="92.29"/>
    <n v="15.1"/>
    <n v="2.14"/>
    <n v="1.2"/>
    <n v="461.51"/>
    <n v="606"/>
    <n v="4"/>
    <n v="112"/>
  </r>
  <r>
    <n v="1858"/>
    <s v="2024-07-13"/>
    <n v="2024"/>
    <s v="Q3"/>
    <x v="6"/>
    <x v="3"/>
    <x v="3"/>
    <x v="1575"/>
    <x v="1"/>
    <n v="44"/>
    <x v="256"/>
    <n v="80.150000000000006"/>
    <n v="33.75"/>
    <n v="11.87"/>
    <n v="7.92"/>
    <n v="599.64"/>
    <n v="329"/>
    <n v="3"/>
    <n v="70"/>
  </r>
  <r>
    <n v="1859"/>
    <s v="2024-07-18"/>
    <n v="2024"/>
    <s v="Q3"/>
    <x v="6"/>
    <x v="0"/>
    <x v="0"/>
    <x v="1576"/>
    <x v="4"/>
    <n v="13"/>
    <x v="159"/>
    <n v="87.6"/>
    <n v="28.76"/>
    <n v="13.89"/>
    <n v="14.18"/>
    <n v="231.24"/>
    <n v="967"/>
    <n v="2"/>
    <n v="79"/>
  </r>
  <r>
    <n v="1860"/>
    <s v="2024-07-06"/>
    <n v="2024"/>
    <s v="Q3"/>
    <x v="6"/>
    <x v="6"/>
    <x v="3"/>
    <x v="599"/>
    <x v="3"/>
    <n v="50"/>
    <x v="260"/>
    <n v="77.63"/>
    <n v="17.32"/>
    <n v="7.93"/>
    <n v="6.14"/>
    <n v="264.89"/>
    <n v="694"/>
    <n v="5"/>
    <n v="179"/>
  </r>
  <r>
    <n v="1861"/>
    <s v="2024-07-06"/>
    <n v="2024"/>
    <s v="Q3"/>
    <x v="6"/>
    <x v="1"/>
    <x v="3"/>
    <x v="1577"/>
    <x v="2"/>
    <n v="30"/>
    <x v="458"/>
    <n v="94.58"/>
    <n v="12.02"/>
    <n v="18.5"/>
    <n v="6.92"/>
    <n v="271.58999999999997"/>
    <n v="791"/>
    <n v="2"/>
    <n v="121"/>
  </r>
  <r>
    <n v="1862"/>
    <s v="2024-07-23"/>
    <n v="2024"/>
    <s v="Q3"/>
    <x v="6"/>
    <x v="3"/>
    <x v="4"/>
    <x v="1197"/>
    <x v="1"/>
    <n v="47"/>
    <x v="377"/>
    <n v="93.78"/>
    <n v="24.95"/>
    <n v="2.48"/>
    <n v="11.15"/>
    <n v="349.38"/>
    <n v="414"/>
    <n v="1"/>
    <n v="79"/>
  </r>
  <r>
    <n v="1863"/>
    <s v="2024-07-09"/>
    <n v="2024"/>
    <s v="Q3"/>
    <x v="6"/>
    <x v="4"/>
    <x v="1"/>
    <x v="1578"/>
    <x v="2"/>
    <n v="39"/>
    <x v="183"/>
    <n v="82.44"/>
    <n v="11.87"/>
    <n v="16.25"/>
    <n v="7"/>
    <n v="295.23"/>
    <n v="585"/>
    <n v="5"/>
    <n v="171"/>
  </r>
  <r>
    <n v="1864"/>
    <s v="2024-07-12"/>
    <n v="2024"/>
    <s v="Q3"/>
    <x v="6"/>
    <x v="6"/>
    <x v="1"/>
    <x v="1579"/>
    <x v="4"/>
    <n v="10"/>
    <x v="72"/>
    <n v="85.01"/>
    <n v="29.36"/>
    <n v="5.0599999999999996"/>
    <n v="8.9700000000000006"/>
    <n v="159.65"/>
    <n v="166"/>
    <n v="2"/>
    <n v="81"/>
  </r>
  <r>
    <n v="1865"/>
    <s v="2024-07-16"/>
    <n v="2024"/>
    <s v="Q3"/>
    <x v="6"/>
    <x v="5"/>
    <x v="4"/>
    <x v="1580"/>
    <x v="3"/>
    <n v="11"/>
    <x v="39"/>
    <n v="76.8"/>
    <n v="22.86"/>
    <n v="10.02"/>
    <n v="5.39"/>
    <n v="253.93"/>
    <n v="997"/>
    <n v="3"/>
    <n v="104"/>
  </r>
  <r>
    <n v="1866"/>
    <s v="2024-07-08"/>
    <n v="2024"/>
    <s v="Q3"/>
    <x v="6"/>
    <x v="3"/>
    <x v="3"/>
    <x v="1202"/>
    <x v="1"/>
    <n v="30"/>
    <x v="139"/>
    <n v="83.67"/>
    <n v="26.21"/>
    <n v="19.600000000000001"/>
    <n v="8.0500000000000007"/>
    <n v="416.8"/>
    <n v="400"/>
    <n v="5"/>
    <n v="213"/>
  </r>
  <r>
    <n v="1867"/>
    <s v="2024-07-15"/>
    <n v="2024"/>
    <s v="Q3"/>
    <x v="6"/>
    <x v="4"/>
    <x v="1"/>
    <x v="1581"/>
    <x v="4"/>
    <n v="44"/>
    <x v="325"/>
    <n v="87.83"/>
    <n v="11.72"/>
    <n v="7.7"/>
    <n v="8.73"/>
    <n v="174.17"/>
    <n v="810"/>
    <n v="1"/>
    <n v="127"/>
  </r>
  <r>
    <n v="1868"/>
    <s v="2024-07-04"/>
    <n v="2024"/>
    <s v="Q3"/>
    <x v="6"/>
    <x v="3"/>
    <x v="1"/>
    <x v="1582"/>
    <x v="2"/>
    <n v="14"/>
    <x v="53"/>
    <n v="75.430000000000007"/>
    <n v="33.6"/>
    <n v="14.68"/>
    <n v="6.6"/>
    <n v="562.42999999999995"/>
    <n v="903"/>
    <n v="4"/>
    <n v="146"/>
  </r>
  <r>
    <n v="1869"/>
    <s v="2024-07-22"/>
    <n v="2024"/>
    <s v="Q3"/>
    <x v="6"/>
    <x v="1"/>
    <x v="2"/>
    <x v="200"/>
    <x v="0"/>
    <n v="30"/>
    <x v="180"/>
    <n v="80.900000000000006"/>
    <n v="10.81"/>
    <n v="3.63"/>
    <n v="15.79"/>
    <n v="225.16"/>
    <n v="377"/>
    <n v="4"/>
    <n v="84"/>
  </r>
  <r>
    <n v="1870"/>
    <s v="2024-07-18"/>
    <n v="2024"/>
    <s v="Q3"/>
    <x v="6"/>
    <x v="7"/>
    <x v="4"/>
    <x v="698"/>
    <x v="0"/>
    <n v="21"/>
    <x v="117"/>
    <n v="87.85"/>
    <n v="10.6"/>
    <n v="14.72"/>
    <n v="10.5"/>
    <n v="461.91"/>
    <n v="467"/>
    <n v="1"/>
    <n v="217"/>
  </r>
  <r>
    <n v="1871"/>
    <s v="2024-08-05"/>
    <n v="2024"/>
    <s v="Q3"/>
    <x v="7"/>
    <x v="1"/>
    <x v="1"/>
    <x v="21"/>
    <x v="0"/>
    <n v="10"/>
    <x v="330"/>
    <n v="76.040000000000006"/>
    <n v="22.56"/>
    <n v="9.44"/>
    <n v="2.09"/>
    <n v="460.58"/>
    <n v="726"/>
    <n v="5"/>
    <n v="88"/>
  </r>
  <r>
    <n v="1872"/>
    <s v="2024-08-18"/>
    <n v="2024"/>
    <s v="Q3"/>
    <x v="7"/>
    <x v="7"/>
    <x v="1"/>
    <x v="1583"/>
    <x v="4"/>
    <n v="36"/>
    <x v="46"/>
    <n v="78.209999999999994"/>
    <n v="17.329999999999998"/>
    <n v="5.14"/>
    <n v="4.99"/>
    <n v="587.76"/>
    <n v="731"/>
    <n v="5"/>
    <n v="87"/>
  </r>
  <r>
    <n v="1873"/>
    <s v="2024-08-01"/>
    <n v="2024"/>
    <s v="Q3"/>
    <x v="7"/>
    <x v="6"/>
    <x v="2"/>
    <x v="1584"/>
    <x v="1"/>
    <n v="8"/>
    <x v="429"/>
    <n v="87.48"/>
    <n v="19.45"/>
    <n v="15.39"/>
    <n v="2.2200000000000002"/>
    <n v="164.51"/>
    <n v="260"/>
    <n v="5"/>
    <n v="133"/>
  </r>
  <r>
    <n v="1874"/>
    <s v="2024-08-09"/>
    <n v="2024"/>
    <s v="Q3"/>
    <x v="7"/>
    <x v="1"/>
    <x v="4"/>
    <x v="1585"/>
    <x v="1"/>
    <n v="27"/>
    <x v="2"/>
    <n v="87.12"/>
    <n v="18.18"/>
    <n v="11.03"/>
    <n v="7.6"/>
    <n v="402.01"/>
    <n v="282"/>
    <n v="4"/>
    <n v="190"/>
  </r>
  <r>
    <n v="1875"/>
    <s v="2024-08-05"/>
    <n v="2024"/>
    <s v="Q3"/>
    <x v="7"/>
    <x v="5"/>
    <x v="0"/>
    <x v="328"/>
    <x v="2"/>
    <n v="38"/>
    <x v="324"/>
    <n v="88.87"/>
    <n v="32.78"/>
    <n v="5.04"/>
    <n v="2.74"/>
    <n v="365.32"/>
    <n v="127"/>
    <n v="5"/>
    <n v="71"/>
  </r>
  <r>
    <n v="1876"/>
    <s v="2024-08-27"/>
    <n v="2024"/>
    <s v="Q3"/>
    <x v="7"/>
    <x v="4"/>
    <x v="1"/>
    <x v="1586"/>
    <x v="1"/>
    <n v="50"/>
    <x v="183"/>
    <n v="81.96"/>
    <n v="29.85"/>
    <n v="21.55"/>
    <n v="7.95"/>
    <n v="444.5"/>
    <n v="561"/>
    <n v="1"/>
    <n v="191"/>
  </r>
  <r>
    <n v="1877"/>
    <s v="2024-08-01"/>
    <n v="2024"/>
    <s v="Q3"/>
    <x v="7"/>
    <x v="4"/>
    <x v="2"/>
    <x v="1587"/>
    <x v="2"/>
    <n v="21"/>
    <x v="178"/>
    <n v="84.12"/>
    <n v="5.13"/>
    <n v="20.350000000000001"/>
    <n v="13.16"/>
    <n v="242.73"/>
    <n v="310"/>
    <n v="5"/>
    <n v="156"/>
  </r>
  <r>
    <n v="1878"/>
    <s v="2024-08-12"/>
    <n v="2024"/>
    <s v="Q3"/>
    <x v="7"/>
    <x v="1"/>
    <x v="0"/>
    <x v="410"/>
    <x v="1"/>
    <n v="37"/>
    <x v="61"/>
    <n v="90.4"/>
    <n v="18.559999999999999"/>
    <n v="8.2899999999999991"/>
    <n v="3.93"/>
    <n v="581.55999999999995"/>
    <n v="731"/>
    <n v="3"/>
    <n v="188"/>
  </r>
  <r>
    <n v="1879"/>
    <s v="2024-08-04"/>
    <n v="2024"/>
    <s v="Q3"/>
    <x v="7"/>
    <x v="6"/>
    <x v="1"/>
    <x v="1588"/>
    <x v="3"/>
    <n v="6"/>
    <x v="447"/>
    <n v="81.37"/>
    <n v="28.24"/>
    <n v="7.96"/>
    <n v="11.31"/>
    <n v="145.69"/>
    <n v="126"/>
    <n v="4"/>
    <n v="52"/>
  </r>
  <r>
    <n v="1880"/>
    <s v="2024-08-12"/>
    <n v="2024"/>
    <s v="Q3"/>
    <x v="7"/>
    <x v="0"/>
    <x v="0"/>
    <x v="1589"/>
    <x v="3"/>
    <n v="7"/>
    <x v="355"/>
    <n v="90.65"/>
    <n v="8.91"/>
    <n v="20.329999999999998"/>
    <n v="8.3800000000000008"/>
    <n v="524.5"/>
    <n v="849"/>
    <n v="4"/>
    <n v="154"/>
  </r>
  <r>
    <n v="1881"/>
    <s v="2024-08-04"/>
    <n v="2024"/>
    <s v="Q3"/>
    <x v="7"/>
    <x v="4"/>
    <x v="1"/>
    <x v="1590"/>
    <x v="1"/>
    <n v="23"/>
    <x v="81"/>
    <n v="82.72"/>
    <n v="27.57"/>
    <n v="5.65"/>
    <n v="6.91"/>
    <n v="129.47"/>
    <n v="790"/>
    <n v="3"/>
    <n v="116"/>
  </r>
  <r>
    <n v="1882"/>
    <s v="2024-08-24"/>
    <n v="2024"/>
    <s v="Q3"/>
    <x v="7"/>
    <x v="7"/>
    <x v="2"/>
    <x v="1591"/>
    <x v="1"/>
    <n v="23"/>
    <x v="95"/>
    <n v="83.88"/>
    <n v="16.7"/>
    <n v="4.16"/>
    <n v="2.33"/>
    <n v="408.86"/>
    <n v="968"/>
    <n v="2"/>
    <n v="74"/>
  </r>
  <r>
    <n v="1883"/>
    <s v="2024-08-05"/>
    <n v="2024"/>
    <s v="Q3"/>
    <x v="7"/>
    <x v="4"/>
    <x v="2"/>
    <x v="1592"/>
    <x v="4"/>
    <n v="11"/>
    <x v="462"/>
    <n v="83.21"/>
    <n v="17.82"/>
    <n v="14.74"/>
    <n v="12.32"/>
    <n v="398.32"/>
    <n v="203"/>
    <n v="3"/>
    <n v="217"/>
  </r>
  <r>
    <n v="1884"/>
    <s v="2024-08-14"/>
    <n v="2024"/>
    <s v="Q3"/>
    <x v="7"/>
    <x v="4"/>
    <x v="0"/>
    <x v="80"/>
    <x v="0"/>
    <n v="31"/>
    <x v="297"/>
    <n v="89.81"/>
    <n v="17.02"/>
    <n v="12.69"/>
    <n v="10.66"/>
    <n v="155.91999999999999"/>
    <n v="991"/>
    <n v="4"/>
    <n v="228"/>
  </r>
  <r>
    <n v="1885"/>
    <s v="2024-08-08"/>
    <n v="2024"/>
    <s v="Q3"/>
    <x v="7"/>
    <x v="2"/>
    <x v="0"/>
    <x v="1593"/>
    <x v="3"/>
    <n v="8"/>
    <x v="217"/>
    <n v="85.27"/>
    <n v="28.14"/>
    <n v="13.9"/>
    <n v="12.99"/>
    <n v="114.61"/>
    <n v="262"/>
    <n v="4"/>
    <n v="170"/>
  </r>
  <r>
    <n v="1886"/>
    <s v="2024-08-18"/>
    <n v="2024"/>
    <s v="Q3"/>
    <x v="7"/>
    <x v="1"/>
    <x v="4"/>
    <x v="1594"/>
    <x v="3"/>
    <n v="33"/>
    <x v="273"/>
    <n v="78.400000000000006"/>
    <n v="7.68"/>
    <n v="21.94"/>
    <n v="11.42"/>
    <n v="471.48"/>
    <n v="543"/>
    <n v="5"/>
    <n v="182"/>
  </r>
  <r>
    <n v="1887"/>
    <s v="2024-08-12"/>
    <n v="2024"/>
    <s v="Q3"/>
    <x v="7"/>
    <x v="1"/>
    <x v="0"/>
    <x v="1467"/>
    <x v="1"/>
    <n v="1"/>
    <x v="377"/>
    <n v="84.11"/>
    <n v="32.69"/>
    <n v="7.39"/>
    <n v="8.19"/>
    <n v="433.97"/>
    <n v="522"/>
    <n v="2"/>
    <n v="170"/>
  </r>
  <r>
    <n v="1888"/>
    <s v="2024-08-17"/>
    <n v="2024"/>
    <s v="Q3"/>
    <x v="7"/>
    <x v="6"/>
    <x v="2"/>
    <x v="1595"/>
    <x v="2"/>
    <n v="19"/>
    <x v="416"/>
    <n v="89.32"/>
    <n v="8.11"/>
    <n v="19.86"/>
    <n v="3.6"/>
    <n v="289.36"/>
    <n v="647"/>
    <n v="1"/>
    <n v="69"/>
  </r>
  <r>
    <n v="1889"/>
    <s v="2024-08-12"/>
    <n v="2024"/>
    <s v="Q3"/>
    <x v="7"/>
    <x v="2"/>
    <x v="0"/>
    <x v="1596"/>
    <x v="0"/>
    <n v="41"/>
    <x v="69"/>
    <n v="83.35"/>
    <n v="18.09"/>
    <n v="2.0499999999999998"/>
    <n v="5.84"/>
    <n v="342.4"/>
    <n v="1084"/>
    <n v="3"/>
    <n v="96"/>
  </r>
  <r>
    <n v="1890"/>
    <s v="2024-08-16"/>
    <n v="2024"/>
    <s v="Q3"/>
    <x v="7"/>
    <x v="0"/>
    <x v="4"/>
    <x v="1597"/>
    <x v="1"/>
    <n v="35"/>
    <x v="311"/>
    <n v="83.69"/>
    <n v="14.79"/>
    <n v="12.51"/>
    <n v="10.78"/>
    <n v="101.88"/>
    <n v="257"/>
    <n v="5"/>
    <n v="168"/>
  </r>
  <r>
    <n v="1891"/>
    <s v="2024-08-23"/>
    <n v="2024"/>
    <s v="Q3"/>
    <x v="7"/>
    <x v="2"/>
    <x v="0"/>
    <x v="719"/>
    <x v="3"/>
    <n v="33"/>
    <x v="410"/>
    <n v="94.26"/>
    <n v="22.2"/>
    <n v="9.64"/>
    <n v="4.62"/>
    <n v="340.2"/>
    <n v="560"/>
    <n v="4"/>
    <n v="182"/>
  </r>
  <r>
    <n v="1892"/>
    <s v="2024-08-13"/>
    <n v="2024"/>
    <s v="Q3"/>
    <x v="7"/>
    <x v="5"/>
    <x v="1"/>
    <x v="1598"/>
    <x v="2"/>
    <n v="11"/>
    <x v="336"/>
    <n v="93.05"/>
    <n v="26.01"/>
    <n v="10.74"/>
    <n v="13.11"/>
    <n v="527.11"/>
    <n v="887"/>
    <n v="2"/>
    <n v="67"/>
  </r>
  <r>
    <n v="1893"/>
    <s v="2024-08-02"/>
    <n v="2024"/>
    <s v="Q3"/>
    <x v="7"/>
    <x v="6"/>
    <x v="0"/>
    <x v="1599"/>
    <x v="4"/>
    <n v="43"/>
    <x v="139"/>
    <n v="83.5"/>
    <n v="6.04"/>
    <n v="11.77"/>
    <n v="2.48"/>
    <n v="502.99"/>
    <n v="495"/>
    <n v="5"/>
    <n v="185"/>
  </r>
  <r>
    <n v="1894"/>
    <s v="2024-08-10"/>
    <n v="2024"/>
    <s v="Q3"/>
    <x v="7"/>
    <x v="5"/>
    <x v="3"/>
    <x v="218"/>
    <x v="4"/>
    <n v="27"/>
    <x v="357"/>
    <n v="87.24"/>
    <n v="34.53"/>
    <n v="6.68"/>
    <n v="4.29"/>
    <n v="221.86"/>
    <n v="524"/>
    <n v="5"/>
    <n v="86"/>
  </r>
  <r>
    <n v="1895"/>
    <s v="2024-08-15"/>
    <n v="2024"/>
    <s v="Q3"/>
    <x v="7"/>
    <x v="2"/>
    <x v="2"/>
    <x v="468"/>
    <x v="0"/>
    <n v="40"/>
    <x v="434"/>
    <n v="81.67"/>
    <n v="17.03"/>
    <n v="8.44"/>
    <n v="2.16"/>
    <n v="173.57"/>
    <n v="873"/>
    <n v="2"/>
    <n v="146"/>
  </r>
  <r>
    <n v="1896"/>
    <s v="2024-08-15"/>
    <n v="2024"/>
    <s v="Q3"/>
    <x v="7"/>
    <x v="4"/>
    <x v="3"/>
    <x v="1600"/>
    <x v="4"/>
    <n v="14"/>
    <x v="364"/>
    <n v="93.51"/>
    <n v="6.53"/>
    <n v="16.68"/>
    <n v="14.53"/>
    <n v="277.02"/>
    <n v="482"/>
    <n v="1"/>
    <n v="54"/>
  </r>
  <r>
    <n v="1897"/>
    <s v="2024-08-19"/>
    <n v="2024"/>
    <s v="Q3"/>
    <x v="7"/>
    <x v="6"/>
    <x v="2"/>
    <x v="1601"/>
    <x v="2"/>
    <n v="44"/>
    <x v="476"/>
    <n v="80.2"/>
    <n v="34.78"/>
    <n v="4.72"/>
    <n v="11.24"/>
    <n v="346.63"/>
    <n v="705"/>
    <n v="2"/>
    <n v="238"/>
  </r>
  <r>
    <n v="1898"/>
    <s v="2024-08-27"/>
    <n v="2024"/>
    <s v="Q3"/>
    <x v="7"/>
    <x v="7"/>
    <x v="2"/>
    <x v="1602"/>
    <x v="0"/>
    <n v="20"/>
    <x v="226"/>
    <n v="94.54"/>
    <n v="9.1199999999999992"/>
    <n v="5.78"/>
    <n v="2.15"/>
    <n v="478.89"/>
    <n v="899"/>
    <n v="2"/>
    <n v="160"/>
  </r>
  <r>
    <n v="1899"/>
    <s v="2024-08-19"/>
    <n v="2024"/>
    <s v="Q3"/>
    <x v="7"/>
    <x v="3"/>
    <x v="0"/>
    <x v="759"/>
    <x v="1"/>
    <n v="11"/>
    <x v="312"/>
    <n v="77.19"/>
    <n v="16.34"/>
    <n v="13.69"/>
    <n v="11.23"/>
    <n v="506.18"/>
    <n v="253"/>
    <n v="3"/>
    <n v="221"/>
  </r>
  <r>
    <n v="1900"/>
    <s v="2024-08-02"/>
    <n v="2024"/>
    <s v="Q3"/>
    <x v="7"/>
    <x v="5"/>
    <x v="2"/>
    <x v="1603"/>
    <x v="4"/>
    <n v="21"/>
    <x v="480"/>
    <n v="86.16"/>
    <n v="27.2"/>
    <n v="19.16"/>
    <n v="4.16"/>
    <n v="198.79"/>
    <n v="483"/>
    <n v="2"/>
    <n v="95"/>
  </r>
  <r>
    <n v="1901"/>
    <s v="2024-08-20"/>
    <n v="2024"/>
    <s v="Q3"/>
    <x v="7"/>
    <x v="7"/>
    <x v="2"/>
    <x v="1604"/>
    <x v="2"/>
    <n v="5"/>
    <x v="471"/>
    <n v="75.790000000000006"/>
    <n v="18.3"/>
    <n v="15.24"/>
    <n v="5.34"/>
    <n v="568.5"/>
    <n v="339"/>
    <n v="5"/>
    <n v="69"/>
  </r>
  <r>
    <n v="1902"/>
    <s v="2024-08-01"/>
    <n v="2024"/>
    <s v="Q3"/>
    <x v="7"/>
    <x v="2"/>
    <x v="2"/>
    <x v="1605"/>
    <x v="4"/>
    <n v="5"/>
    <x v="240"/>
    <n v="84.13"/>
    <n v="22.43"/>
    <n v="7.67"/>
    <n v="5.39"/>
    <n v="220.18"/>
    <n v="268"/>
    <n v="5"/>
    <n v="181"/>
  </r>
  <r>
    <n v="1903"/>
    <s v="2024-08-01"/>
    <n v="2024"/>
    <s v="Q3"/>
    <x v="7"/>
    <x v="0"/>
    <x v="4"/>
    <x v="1606"/>
    <x v="2"/>
    <n v="47"/>
    <x v="243"/>
    <n v="76.55"/>
    <n v="18.38"/>
    <n v="7.44"/>
    <n v="10.1"/>
    <n v="526.91"/>
    <n v="437"/>
    <n v="5"/>
    <n v="182"/>
  </r>
  <r>
    <n v="1904"/>
    <s v="2024-08-26"/>
    <n v="2024"/>
    <s v="Q3"/>
    <x v="7"/>
    <x v="5"/>
    <x v="1"/>
    <x v="1607"/>
    <x v="4"/>
    <n v="13"/>
    <x v="194"/>
    <n v="90.59"/>
    <n v="26.76"/>
    <n v="21.48"/>
    <n v="1.74"/>
    <n v="210.3"/>
    <n v="733"/>
    <n v="2"/>
    <n v="100"/>
  </r>
  <r>
    <n v="1905"/>
    <s v="2024-09-26"/>
    <n v="2024"/>
    <s v="Q3"/>
    <x v="8"/>
    <x v="3"/>
    <x v="4"/>
    <x v="1398"/>
    <x v="1"/>
    <n v="10"/>
    <x v="7"/>
    <n v="93.1"/>
    <n v="20.76"/>
    <n v="2.82"/>
    <n v="13.4"/>
    <n v="269.54000000000002"/>
    <n v="853"/>
    <n v="2"/>
    <n v="72"/>
  </r>
  <r>
    <n v="1906"/>
    <s v="2024-09-04"/>
    <n v="2024"/>
    <s v="Q3"/>
    <x v="8"/>
    <x v="3"/>
    <x v="4"/>
    <x v="1608"/>
    <x v="1"/>
    <n v="15"/>
    <x v="199"/>
    <n v="84.43"/>
    <n v="6.31"/>
    <n v="3.94"/>
    <n v="14.55"/>
    <n v="120.77"/>
    <n v="182"/>
    <n v="5"/>
    <n v="183"/>
  </r>
  <r>
    <n v="1907"/>
    <s v="2024-09-07"/>
    <n v="2024"/>
    <s v="Q3"/>
    <x v="8"/>
    <x v="4"/>
    <x v="2"/>
    <x v="1609"/>
    <x v="3"/>
    <n v="20"/>
    <x v="345"/>
    <n v="89.46"/>
    <n v="29.39"/>
    <n v="14.33"/>
    <n v="9.4600000000000009"/>
    <n v="385.28"/>
    <n v="825"/>
    <n v="4"/>
    <n v="80"/>
  </r>
  <r>
    <n v="1908"/>
    <s v="2024-09-04"/>
    <n v="2024"/>
    <s v="Q3"/>
    <x v="8"/>
    <x v="7"/>
    <x v="2"/>
    <x v="464"/>
    <x v="1"/>
    <n v="5"/>
    <x v="205"/>
    <n v="92.84"/>
    <n v="20.5"/>
    <n v="6.65"/>
    <n v="1.41"/>
    <n v="505.15"/>
    <n v="843"/>
    <n v="3"/>
    <n v="231"/>
  </r>
  <r>
    <n v="1909"/>
    <s v="2024-09-16"/>
    <n v="2024"/>
    <s v="Q3"/>
    <x v="8"/>
    <x v="5"/>
    <x v="0"/>
    <x v="1610"/>
    <x v="2"/>
    <n v="47"/>
    <x v="101"/>
    <n v="90.05"/>
    <n v="15.73"/>
    <n v="16.809999999999999"/>
    <n v="4.43"/>
    <n v="521.42999999999995"/>
    <n v="514"/>
    <n v="4"/>
    <n v="181"/>
  </r>
  <r>
    <n v="1910"/>
    <s v="2024-09-07"/>
    <n v="2024"/>
    <s v="Q3"/>
    <x v="8"/>
    <x v="3"/>
    <x v="3"/>
    <x v="1611"/>
    <x v="2"/>
    <n v="32"/>
    <x v="136"/>
    <n v="92.53"/>
    <n v="34.549999999999997"/>
    <n v="17.75"/>
    <n v="10.93"/>
    <n v="121.2"/>
    <n v="179"/>
    <n v="1"/>
    <n v="202"/>
  </r>
  <r>
    <n v="1911"/>
    <s v="2024-09-20"/>
    <n v="2024"/>
    <s v="Q3"/>
    <x v="8"/>
    <x v="4"/>
    <x v="3"/>
    <x v="1612"/>
    <x v="0"/>
    <n v="28"/>
    <x v="274"/>
    <n v="79.91"/>
    <n v="31.79"/>
    <n v="8.27"/>
    <n v="11.66"/>
    <n v="286.79000000000002"/>
    <n v="625"/>
    <n v="2"/>
    <n v="132"/>
  </r>
  <r>
    <n v="1912"/>
    <s v="2024-09-10"/>
    <n v="2024"/>
    <s v="Q3"/>
    <x v="8"/>
    <x v="4"/>
    <x v="2"/>
    <x v="1613"/>
    <x v="4"/>
    <n v="27"/>
    <x v="150"/>
    <n v="92.61"/>
    <n v="6.88"/>
    <n v="16.61"/>
    <n v="6.09"/>
    <n v="331.2"/>
    <n v="586"/>
    <n v="3"/>
    <n v="156"/>
  </r>
  <r>
    <n v="1913"/>
    <s v="2024-09-13"/>
    <n v="2024"/>
    <s v="Q3"/>
    <x v="8"/>
    <x v="5"/>
    <x v="4"/>
    <x v="1614"/>
    <x v="4"/>
    <n v="24"/>
    <x v="477"/>
    <n v="89.68"/>
    <n v="10.87"/>
    <n v="20.28"/>
    <n v="12.19"/>
    <n v="572.76"/>
    <n v="130"/>
    <n v="2"/>
    <n v="70"/>
  </r>
  <r>
    <n v="1914"/>
    <s v="2024-09-20"/>
    <n v="2024"/>
    <s v="Q3"/>
    <x v="8"/>
    <x v="3"/>
    <x v="2"/>
    <x v="1615"/>
    <x v="3"/>
    <n v="18"/>
    <x v="484"/>
    <n v="90.54"/>
    <n v="20.23"/>
    <n v="3.17"/>
    <n v="10.199999999999999"/>
    <n v="289.02"/>
    <n v="661"/>
    <n v="3"/>
    <n v="157"/>
  </r>
  <r>
    <n v="1915"/>
    <s v="2024-09-26"/>
    <n v="2024"/>
    <s v="Q3"/>
    <x v="8"/>
    <x v="0"/>
    <x v="4"/>
    <x v="1616"/>
    <x v="4"/>
    <n v="26"/>
    <x v="467"/>
    <n v="86.81"/>
    <n v="13.86"/>
    <n v="17.62"/>
    <n v="2.31"/>
    <n v="445.41"/>
    <n v="737"/>
    <n v="1"/>
    <n v="78"/>
  </r>
  <r>
    <n v="1916"/>
    <s v="2024-09-13"/>
    <n v="2024"/>
    <s v="Q3"/>
    <x v="8"/>
    <x v="1"/>
    <x v="4"/>
    <x v="1617"/>
    <x v="2"/>
    <n v="47"/>
    <x v="457"/>
    <n v="80.16"/>
    <n v="9.52"/>
    <n v="15.92"/>
    <n v="9.0299999999999994"/>
    <n v="276.41000000000003"/>
    <n v="394"/>
    <n v="2"/>
    <n v="143"/>
  </r>
  <r>
    <n v="1917"/>
    <s v="2024-09-14"/>
    <n v="2024"/>
    <s v="Q3"/>
    <x v="8"/>
    <x v="0"/>
    <x v="1"/>
    <x v="1321"/>
    <x v="2"/>
    <n v="17"/>
    <x v="488"/>
    <n v="93.48"/>
    <n v="5.81"/>
    <n v="3.97"/>
    <n v="4.43"/>
    <n v="175.02"/>
    <n v="578"/>
    <n v="2"/>
    <n v="207"/>
  </r>
  <r>
    <n v="1918"/>
    <s v="2024-09-11"/>
    <n v="2024"/>
    <s v="Q3"/>
    <x v="8"/>
    <x v="5"/>
    <x v="1"/>
    <x v="490"/>
    <x v="4"/>
    <n v="49"/>
    <x v="233"/>
    <n v="85.85"/>
    <n v="17"/>
    <n v="6.84"/>
    <n v="7.77"/>
    <n v="229.69"/>
    <n v="1041"/>
    <n v="4"/>
    <n v="143"/>
  </r>
  <r>
    <n v="1919"/>
    <s v="2024-09-15"/>
    <n v="2024"/>
    <s v="Q3"/>
    <x v="8"/>
    <x v="0"/>
    <x v="4"/>
    <x v="1618"/>
    <x v="4"/>
    <n v="42"/>
    <x v="489"/>
    <n v="86.41"/>
    <n v="8.1"/>
    <n v="19.52"/>
    <n v="13.5"/>
    <n v="147.51"/>
    <n v="1050"/>
    <n v="1"/>
    <n v="100"/>
  </r>
  <r>
    <n v="1920"/>
    <s v="2024-09-22"/>
    <n v="2024"/>
    <s v="Q3"/>
    <x v="8"/>
    <x v="6"/>
    <x v="3"/>
    <x v="587"/>
    <x v="4"/>
    <n v="27"/>
    <x v="439"/>
    <n v="81.8"/>
    <n v="18.010000000000002"/>
    <n v="4.95"/>
    <n v="7.32"/>
    <n v="488.4"/>
    <n v="1051"/>
    <n v="1"/>
    <n v="245"/>
  </r>
  <r>
    <n v="1921"/>
    <s v="2024-09-19"/>
    <n v="2024"/>
    <s v="Q3"/>
    <x v="8"/>
    <x v="0"/>
    <x v="1"/>
    <x v="1619"/>
    <x v="0"/>
    <n v="13"/>
    <x v="1"/>
    <n v="76.760000000000005"/>
    <n v="20.03"/>
    <n v="2.94"/>
    <n v="4.1900000000000004"/>
    <n v="391.54"/>
    <n v="393"/>
    <n v="2"/>
    <n v="69"/>
  </r>
  <r>
    <n v="1922"/>
    <s v="2024-09-04"/>
    <n v="2024"/>
    <s v="Q3"/>
    <x v="8"/>
    <x v="4"/>
    <x v="1"/>
    <x v="655"/>
    <x v="4"/>
    <n v="15"/>
    <x v="365"/>
    <n v="84.54"/>
    <n v="24.94"/>
    <n v="3.43"/>
    <n v="7.85"/>
    <n v="496.44"/>
    <n v="929"/>
    <n v="4"/>
    <n v="139"/>
  </r>
  <r>
    <n v="1923"/>
    <s v="2024-09-23"/>
    <n v="2024"/>
    <s v="Q3"/>
    <x v="8"/>
    <x v="7"/>
    <x v="3"/>
    <x v="1620"/>
    <x v="0"/>
    <n v="2"/>
    <x v="21"/>
    <n v="78.14"/>
    <n v="5.9"/>
    <n v="7.51"/>
    <n v="9.75"/>
    <n v="386.12"/>
    <n v="492"/>
    <n v="1"/>
    <n v="60"/>
  </r>
  <r>
    <n v="1924"/>
    <s v="2024-09-07"/>
    <n v="2024"/>
    <s v="Q3"/>
    <x v="8"/>
    <x v="3"/>
    <x v="0"/>
    <x v="1621"/>
    <x v="0"/>
    <n v="28"/>
    <x v="147"/>
    <n v="78.39"/>
    <n v="20.66"/>
    <n v="6.73"/>
    <n v="6.29"/>
    <n v="351.78"/>
    <n v="825"/>
    <n v="5"/>
    <n v="122"/>
  </r>
  <r>
    <n v="1925"/>
    <s v="2024-09-10"/>
    <n v="2024"/>
    <s v="Q3"/>
    <x v="8"/>
    <x v="6"/>
    <x v="4"/>
    <x v="313"/>
    <x v="0"/>
    <n v="15"/>
    <x v="175"/>
    <n v="82.5"/>
    <n v="6.7"/>
    <n v="12.14"/>
    <n v="11.37"/>
    <n v="256.83"/>
    <n v="290"/>
    <n v="1"/>
    <n v="59"/>
  </r>
  <r>
    <n v="1926"/>
    <s v="2024-09-23"/>
    <n v="2024"/>
    <s v="Q3"/>
    <x v="8"/>
    <x v="4"/>
    <x v="1"/>
    <x v="1067"/>
    <x v="1"/>
    <n v="20"/>
    <x v="68"/>
    <n v="87.19"/>
    <n v="22.71"/>
    <n v="18.52"/>
    <n v="11.67"/>
    <n v="387.72"/>
    <n v="768"/>
    <n v="4"/>
    <n v="181"/>
  </r>
  <r>
    <n v="1927"/>
    <s v="2024-09-16"/>
    <n v="2024"/>
    <s v="Q3"/>
    <x v="8"/>
    <x v="4"/>
    <x v="0"/>
    <x v="125"/>
    <x v="4"/>
    <n v="22"/>
    <x v="259"/>
    <n v="93.01"/>
    <n v="31.38"/>
    <n v="12.75"/>
    <n v="7.63"/>
    <n v="375.77"/>
    <n v="1042"/>
    <n v="4"/>
    <n v="198"/>
  </r>
  <r>
    <n v="1928"/>
    <s v="2024-09-06"/>
    <n v="2024"/>
    <s v="Q3"/>
    <x v="8"/>
    <x v="4"/>
    <x v="4"/>
    <x v="903"/>
    <x v="0"/>
    <n v="44"/>
    <x v="238"/>
    <n v="83.53"/>
    <n v="18.41"/>
    <n v="15.03"/>
    <n v="13.83"/>
    <n v="331.25"/>
    <n v="870"/>
    <n v="2"/>
    <n v="100"/>
  </r>
  <r>
    <n v="1929"/>
    <s v="2024-09-09"/>
    <n v="2024"/>
    <s v="Q3"/>
    <x v="8"/>
    <x v="0"/>
    <x v="0"/>
    <x v="1622"/>
    <x v="1"/>
    <n v="45"/>
    <x v="268"/>
    <n v="87.84"/>
    <n v="20.47"/>
    <n v="9.7899999999999991"/>
    <n v="5.29"/>
    <n v="370.23"/>
    <n v="265"/>
    <n v="2"/>
    <n v="197"/>
  </r>
  <r>
    <n v="1930"/>
    <s v="2024-09-18"/>
    <n v="2024"/>
    <s v="Q3"/>
    <x v="8"/>
    <x v="3"/>
    <x v="3"/>
    <x v="108"/>
    <x v="4"/>
    <n v="49"/>
    <x v="471"/>
    <n v="85.87"/>
    <n v="7.56"/>
    <n v="18.64"/>
    <n v="6.23"/>
    <n v="199.71"/>
    <n v="600"/>
    <n v="3"/>
    <n v="236"/>
  </r>
  <r>
    <n v="1931"/>
    <s v="2024-09-05"/>
    <n v="2024"/>
    <s v="Q3"/>
    <x v="8"/>
    <x v="5"/>
    <x v="0"/>
    <x v="1623"/>
    <x v="0"/>
    <n v="34"/>
    <x v="91"/>
    <n v="82.21"/>
    <n v="25.37"/>
    <n v="21.46"/>
    <n v="5.05"/>
    <n v="459.95"/>
    <n v="128"/>
    <n v="2"/>
    <n v="223"/>
  </r>
  <r>
    <n v="1932"/>
    <s v="2024-09-14"/>
    <n v="2024"/>
    <s v="Q3"/>
    <x v="8"/>
    <x v="1"/>
    <x v="3"/>
    <x v="1624"/>
    <x v="3"/>
    <n v="7"/>
    <x v="240"/>
    <n v="85.56"/>
    <n v="21.31"/>
    <n v="19.96"/>
    <n v="4.84"/>
    <n v="254.09"/>
    <n v="1083"/>
    <n v="1"/>
    <n v="93"/>
  </r>
  <r>
    <n v="1933"/>
    <s v="2024-09-24"/>
    <n v="2024"/>
    <s v="Q3"/>
    <x v="8"/>
    <x v="4"/>
    <x v="1"/>
    <x v="1625"/>
    <x v="0"/>
    <n v="32"/>
    <x v="293"/>
    <n v="83.91"/>
    <n v="9.01"/>
    <n v="9.85"/>
    <n v="2.21"/>
    <n v="491.26"/>
    <n v="393"/>
    <n v="3"/>
    <n v="211"/>
  </r>
  <r>
    <n v="1934"/>
    <s v="2024-09-01"/>
    <n v="2024"/>
    <s v="Q3"/>
    <x v="8"/>
    <x v="4"/>
    <x v="0"/>
    <x v="1453"/>
    <x v="2"/>
    <n v="44"/>
    <x v="249"/>
    <n v="81.099999999999994"/>
    <n v="7.91"/>
    <n v="12.85"/>
    <n v="6.52"/>
    <n v="425.25"/>
    <n v="1004"/>
    <n v="5"/>
    <n v="180"/>
  </r>
  <r>
    <n v="1935"/>
    <s v="2024-09-19"/>
    <n v="2024"/>
    <s v="Q3"/>
    <x v="8"/>
    <x v="4"/>
    <x v="1"/>
    <x v="1626"/>
    <x v="1"/>
    <n v="28"/>
    <x v="315"/>
    <n v="83.52"/>
    <n v="13.65"/>
    <n v="2.12"/>
    <n v="4.6500000000000004"/>
    <n v="520.38"/>
    <n v="913"/>
    <n v="4"/>
    <n v="209"/>
  </r>
  <r>
    <n v="1936"/>
    <s v="2024-09-16"/>
    <n v="2024"/>
    <s v="Q3"/>
    <x v="8"/>
    <x v="6"/>
    <x v="0"/>
    <x v="425"/>
    <x v="0"/>
    <n v="23"/>
    <x v="264"/>
    <n v="81.63"/>
    <n v="6.64"/>
    <n v="20.72"/>
    <n v="9.41"/>
    <n v="402.64"/>
    <n v="982"/>
    <n v="4"/>
    <n v="83"/>
  </r>
  <r>
    <n v="1937"/>
    <s v="2024-09-26"/>
    <n v="2024"/>
    <s v="Q3"/>
    <x v="8"/>
    <x v="1"/>
    <x v="2"/>
    <x v="1627"/>
    <x v="0"/>
    <n v="5"/>
    <x v="488"/>
    <n v="76.900000000000006"/>
    <n v="29.62"/>
    <n v="18.78"/>
    <n v="1.66"/>
    <n v="213.38"/>
    <n v="868"/>
    <n v="1"/>
    <n v="50"/>
  </r>
  <r>
    <n v="1938"/>
    <s v="2024-09-10"/>
    <n v="2024"/>
    <s v="Q3"/>
    <x v="8"/>
    <x v="5"/>
    <x v="2"/>
    <x v="1628"/>
    <x v="1"/>
    <n v="49"/>
    <x v="77"/>
    <n v="80.709999999999994"/>
    <n v="28.86"/>
    <n v="14.04"/>
    <n v="15.42"/>
    <n v="360.07"/>
    <n v="888"/>
    <n v="5"/>
    <n v="180"/>
  </r>
  <r>
    <n v="1939"/>
    <s v="2024-10-27"/>
    <n v="2024"/>
    <s v="Q4"/>
    <x v="9"/>
    <x v="6"/>
    <x v="0"/>
    <x v="1629"/>
    <x v="2"/>
    <n v="29"/>
    <x v="266"/>
    <n v="75.92"/>
    <n v="15.89"/>
    <n v="8.26"/>
    <n v="13.47"/>
    <n v="334.59"/>
    <n v="179"/>
    <n v="1"/>
    <n v="177"/>
  </r>
  <r>
    <n v="1940"/>
    <s v="2024-10-25"/>
    <n v="2024"/>
    <s v="Q4"/>
    <x v="9"/>
    <x v="0"/>
    <x v="4"/>
    <x v="1617"/>
    <x v="3"/>
    <n v="14"/>
    <x v="74"/>
    <n v="85.02"/>
    <n v="27.27"/>
    <n v="15.59"/>
    <n v="3.53"/>
    <n v="149.05000000000001"/>
    <n v="103"/>
    <n v="4"/>
    <n v="217"/>
  </r>
  <r>
    <n v="1941"/>
    <s v="2024-10-07"/>
    <n v="2024"/>
    <s v="Q4"/>
    <x v="9"/>
    <x v="7"/>
    <x v="4"/>
    <x v="1630"/>
    <x v="4"/>
    <n v="3"/>
    <x v="238"/>
    <n v="86.48"/>
    <n v="29.88"/>
    <n v="5.86"/>
    <n v="2.5"/>
    <n v="492.24"/>
    <n v="463"/>
    <n v="4"/>
    <n v="161"/>
  </r>
  <r>
    <n v="1942"/>
    <s v="2024-10-24"/>
    <n v="2024"/>
    <s v="Q4"/>
    <x v="9"/>
    <x v="1"/>
    <x v="3"/>
    <x v="1213"/>
    <x v="0"/>
    <n v="19"/>
    <x v="217"/>
    <n v="77.150000000000006"/>
    <n v="21.59"/>
    <n v="10.36"/>
    <n v="13.48"/>
    <n v="539.95000000000005"/>
    <n v="491"/>
    <n v="4"/>
    <n v="204"/>
  </r>
  <r>
    <n v="1943"/>
    <s v="2024-10-09"/>
    <n v="2024"/>
    <s v="Q4"/>
    <x v="9"/>
    <x v="6"/>
    <x v="2"/>
    <x v="1631"/>
    <x v="1"/>
    <n v="15"/>
    <x v="3"/>
    <n v="82.62"/>
    <n v="33.549999999999997"/>
    <n v="18.78"/>
    <n v="15.33"/>
    <n v="537.54"/>
    <n v="849"/>
    <n v="5"/>
    <n v="173"/>
  </r>
  <r>
    <n v="1944"/>
    <s v="2024-09-30"/>
    <n v="2024"/>
    <s v="Q4"/>
    <x v="9"/>
    <x v="7"/>
    <x v="2"/>
    <x v="1632"/>
    <x v="4"/>
    <n v="49"/>
    <x v="234"/>
    <n v="91.38"/>
    <n v="19.43"/>
    <n v="15.6"/>
    <n v="4.97"/>
    <n v="294.33"/>
    <n v="808"/>
    <n v="5"/>
    <n v="57"/>
  </r>
  <r>
    <n v="1945"/>
    <s v="2024-10-14"/>
    <n v="2024"/>
    <s v="Q4"/>
    <x v="9"/>
    <x v="2"/>
    <x v="3"/>
    <x v="1633"/>
    <x v="1"/>
    <n v="8"/>
    <x v="260"/>
    <n v="88.47"/>
    <n v="13.47"/>
    <n v="5.87"/>
    <n v="1.87"/>
    <n v="214.78"/>
    <n v="1044"/>
    <n v="1"/>
    <n v="232"/>
  </r>
  <r>
    <n v="1946"/>
    <s v="2024-10-14"/>
    <n v="2024"/>
    <s v="Q4"/>
    <x v="9"/>
    <x v="5"/>
    <x v="1"/>
    <x v="565"/>
    <x v="3"/>
    <n v="42"/>
    <x v="78"/>
    <n v="90.04"/>
    <n v="27.52"/>
    <n v="13.38"/>
    <n v="2.48"/>
    <n v="564.38"/>
    <n v="303"/>
    <n v="1"/>
    <n v="188"/>
  </r>
  <r>
    <n v="1947"/>
    <s v="2024-10-09"/>
    <n v="2024"/>
    <s v="Q4"/>
    <x v="9"/>
    <x v="5"/>
    <x v="2"/>
    <x v="112"/>
    <x v="4"/>
    <n v="33"/>
    <x v="119"/>
    <n v="90.54"/>
    <n v="14.08"/>
    <n v="3.98"/>
    <n v="10.96"/>
    <n v="313.70999999999998"/>
    <n v="1082"/>
    <n v="2"/>
    <n v="149"/>
  </r>
  <r>
    <n v="1948"/>
    <s v="2024-10-16"/>
    <n v="2024"/>
    <s v="Q4"/>
    <x v="9"/>
    <x v="6"/>
    <x v="2"/>
    <x v="1634"/>
    <x v="4"/>
    <n v="49"/>
    <x v="234"/>
    <n v="81.52"/>
    <n v="33.61"/>
    <n v="19.260000000000002"/>
    <n v="1.86"/>
    <n v="357.46"/>
    <n v="703"/>
    <n v="4"/>
    <n v="237"/>
  </r>
  <r>
    <n v="1949"/>
    <s v="2024-10-26"/>
    <n v="2024"/>
    <s v="Q4"/>
    <x v="9"/>
    <x v="5"/>
    <x v="1"/>
    <x v="804"/>
    <x v="0"/>
    <n v="29"/>
    <x v="263"/>
    <n v="86.48"/>
    <n v="6.57"/>
    <n v="21.08"/>
    <n v="4.5"/>
    <n v="267.72000000000003"/>
    <n v="841"/>
    <n v="5"/>
    <n v="105"/>
  </r>
  <r>
    <n v="1950"/>
    <s v="2024-10-11"/>
    <n v="2024"/>
    <s v="Q4"/>
    <x v="9"/>
    <x v="0"/>
    <x v="2"/>
    <x v="1635"/>
    <x v="4"/>
    <n v="14"/>
    <x v="403"/>
    <n v="86.59"/>
    <n v="34.99"/>
    <n v="14.63"/>
    <n v="3.8"/>
    <n v="279.14999999999998"/>
    <n v="403"/>
    <n v="5"/>
    <n v="73"/>
  </r>
  <r>
    <n v="1951"/>
    <s v="2024-10-22"/>
    <n v="2024"/>
    <s v="Q4"/>
    <x v="9"/>
    <x v="6"/>
    <x v="3"/>
    <x v="964"/>
    <x v="0"/>
    <n v="30"/>
    <x v="82"/>
    <n v="78.540000000000006"/>
    <n v="28.52"/>
    <n v="13.42"/>
    <n v="6.48"/>
    <n v="591.04"/>
    <n v="875"/>
    <n v="3"/>
    <n v="183"/>
  </r>
  <r>
    <n v="1952"/>
    <s v="2024-09-30"/>
    <n v="2024"/>
    <s v="Q4"/>
    <x v="9"/>
    <x v="6"/>
    <x v="4"/>
    <x v="1636"/>
    <x v="2"/>
    <n v="34"/>
    <x v="289"/>
    <n v="75.349999999999994"/>
    <n v="30.71"/>
    <n v="14.88"/>
    <n v="2.79"/>
    <n v="579.88"/>
    <n v="805"/>
    <n v="3"/>
    <n v="152"/>
  </r>
  <r>
    <n v="1953"/>
    <s v="2024-10-09"/>
    <n v="2024"/>
    <s v="Q4"/>
    <x v="9"/>
    <x v="6"/>
    <x v="4"/>
    <x v="1637"/>
    <x v="1"/>
    <n v="10"/>
    <x v="200"/>
    <n v="88.32"/>
    <n v="19.89"/>
    <n v="21.45"/>
    <n v="10.1"/>
    <n v="185.87"/>
    <n v="864"/>
    <n v="2"/>
    <n v="121"/>
  </r>
  <r>
    <n v="1954"/>
    <s v="2024-10-16"/>
    <n v="2024"/>
    <s v="Q4"/>
    <x v="9"/>
    <x v="1"/>
    <x v="1"/>
    <x v="1638"/>
    <x v="1"/>
    <n v="27"/>
    <x v="335"/>
    <n v="94.77"/>
    <n v="18.89"/>
    <n v="15.27"/>
    <n v="12.18"/>
    <n v="181.84"/>
    <n v="539"/>
    <n v="4"/>
    <n v="215"/>
  </r>
  <r>
    <n v="1955"/>
    <s v="2024-10-09"/>
    <n v="2024"/>
    <s v="Q4"/>
    <x v="9"/>
    <x v="2"/>
    <x v="1"/>
    <x v="1639"/>
    <x v="3"/>
    <n v="45"/>
    <x v="218"/>
    <n v="88.6"/>
    <n v="24.57"/>
    <n v="18.68"/>
    <n v="4.41"/>
    <n v="251.62"/>
    <n v="280"/>
    <n v="4"/>
    <n v="245"/>
  </r>
  <r>
    <n v="1956"/>
    <s v="2024-10-01"/>
    <n v="2024"/>
    <s v="Q4"/>
    <x v="9"/>
    <x v="0"/>
    <x v="1"/>
    <x v="1640"/>
    <x v="3"/>
    <n v="30"/>
    <x v="255"/>
    <n v="83.47"/>
    <n v="16.899999999999999"/>
    <n v="21.16"/>
    <n v="10.28"/>
    <n v="176.49"/>
    <n v="575"/>
    <n v="5"/>
    <n v="201"/>
  </r>
  <r>
    <n v="1957"/>
    <s v="2024-10-08"/>
    <n v="2024"/>
    <s v="Q4"/>
    <x v="9"/>
    <x v="2"/>
    <x v="4"/>
    <x v="1641"/>
    <x v="0"/>
    <n v="47"/>
    <x v="141"/>
    <n v="86.58"/>
    <n v="14.28"/>
    <n v="11.8"/>
    <n v="11.72"/>
    <n v="186.05"/>
    <n v="276"/>
    <n v="1"/>
    <n v="127"/>
  </r>
  <r>
    <n v="1958"/>
    <s v="2024-10-07"/>
    <n v="2024"/>
    <s v="Q4"/>
    <x v="9"/>
    <x v="1"/>
    <x v="2"/>
    <x v="1642"/>
    <x v="1"/>
    <n v="28"/>
    <x v="257"/>
    <n v="93.03"/>
    <n v="12.45"/>
    <n v="20.58"/>
    <n v="13.99"/>
    <n v="199.04"/>
    <n v="539"/>
    <n v="4"/>
    <n v="239"/>
  </r>
  <r>
    <n v="1959"/>
    <s v="2024-10-12"/>
    <n v="2024"/>
    <s v="Q4"/>
    <x v="9"/>
    <x v="1"/>
    <x v="0"/>
    <x v="1643"/>
    <x v="4"/>
    <n v="2"/>
    <x v="453"/>
    <n v="83.47"/>
    <n v="25.92"/>
    <n v="20.09"/>
    <n v="3.1"/>
    <n v="343.34"/>
    <n v="719"/>
    <n v="5"/>
    <n v="237"/>
  </r>
  <r>
    <n v="1960"/>
    <s v="2024-10-27"/>
    <n v="2024"/>
    <s v="Q4"/>
    <x v="9"/>
    <x v="0"/>
    <x v="1"/>
    <x v="1644"/>
    <x v="0"/>
    <n v="29"/>
    <x v="229"/>
    <n v="79.72"/>
    <n v="21.25"/>
    <n v="19.72"/>
    <n v="4.4800000000000004"/>
    <n v="543.02"/>
    <n v="263"/>
    <n v="5"/>
    <n v="112"/>
  </r>
  <r>
    <n v="1961"/>
    <s v="2024-10-04"/>
    <n v="2024"/>
    <s v="Q4"/>
    <x v="9"/>
    <x v="7"/>
    <x v="3"/>
    <x v="1645"/>
    <x v="3"/>
    <n v="47"/>
    <x v="20"/>
    <n v="87.12"/>
    <n v="6.34"/>
    <n v="8.6300000000000008"/>
    <n v="13.13"/>
    <n v="579.70000000000005"/>
    <n v="370"/>
    <n v="1"/>
    <n v="178"/>
  </r>
  <r>
    <n v="1962"/>
    <s v="2024-10-17"/>
    <n v="2024"/>
    <s v="Q4"/>
    <x v="9"/>
    <x v="5"/>
    <x v="4"/>
    <x v="1646"/>
    <x v="1"/>
    <n v="42"/>
    <x v="6"/>
    <n v="94.13"/>
    <n v="24.57"/>
    <n v="17.12"/>
    <n v="8.24"/>
    <n v="581.67999999999995"/>
    <n v="529"/>
    <n v="1"/>
    <n v="186"/>
  </r>
  <r>
    <n v="1963"/>
    <s v="2024-10-12"/>
    <n v="2024"/>
    <s v="Q4"/>
    <x v="9"/>
    <x v="7"/>
    <x v="3"/>
    <x v="311"/>
    <x v="2"/>
    <n v="5"/>
    <x v="6"/>
    <n v="93.68"/>
    <n v="7.35"/>
    <n v="13.59"/>
    <n v="11.95"/>
    <n v="295.2"/>
    <n v="926"/>
    <n v="1"/>
    <n v="56"/>
  </r>
  <r>
    <n v="1964"/>
    <s v="2024-10-04"/>
    <n v="2024"/>
    <s v="Q4"/>
    <x v="9"/>
    <x v="7"/>
    <x v="3"/>
    <x v="1647"/>
    <x v="2"/>
    <n v="13"/>
    <x v="425"/>
    <n v="87.29"/>
    <n v="15.9"/>
    <n v="3.51"/>
    <n v="12.24"/>
    <n v="451.66"/>
    <n v="925"/>
    <n v="3"/>
    <n v="213"/>
  </r>
  <r>
    <n v="1965"/>
    <s v="2024-10-05"/>
    <n v="2024"/>
    <s v="Q4"/>
    <x v="9"/>
    <x v="1"/>
    <x v="1"/>
    <x v="1648"/>
    <x v="4"/>
    <n v="16"/>
    <x v="481"/>
    <n v="86.88"/>
    <n v="21.19"/>
    <n v="21.54"/>
    <n v="14.22"/>
    <n v="149.97"/>
    <n v="280"/>
    <n v="3"/>
    <n v="90"/>
  </r>
  <r>
    <n v="1966"/>
    <s v="2024-10-24"/>
    <n v="2024"/>
    <s v="Q4"/>
    <x v="9"/>
    <x v="7"/>
    <x v="0"/>
    <x v="408"/>
    <x v="0"/>
    <n v="19"/>
    <x v="477"/>
    <n v="81.400000000000006"/>
    <n v="9.2100000000000009"/>
    <n v="3.13"/>
    <n v="15.37"/>
    <n v="467.79"/>
    <n v="648"/>
    <n v="3"/>
    <n v="110"/>
  </r>
  <r>
    <n v="1967"/>
    <s v="2024-10-06"/>
    <n v="2024"/>
    <s v="Q4"/>
    <x v="9"/>
    <x v="4"/>
    <x v="4"/>
    <x v="1649"/>
    <x v="3"/>
    <n v="31"/>
    <x v="135"/>
    <n v="85.14"/>
    <n v="11.17"/>
    <n v="18.45"/>
    <n v="13.16"/>
    <n v="150.13"/>
    <n v="584"/>
    <n v="5"/>
    <n v="60"/>
  </r>
  <r>
    <n v="1968"/>
    <s v="2024-10-16"/>
    <n v="2024"/>
    <s v="Q4"/>
    <x v="9"/>
    <x v="6"/>
    <x v="2"/>
    <x v="653"/>
    <x v="1"/>
    <n v="19"/>
    <x v="442"/>
    <n v="83.94"/>
    <n v="30.59"/>
    <n v="6"/>
    <n v="2.75"/>
    <n v="201.24"/>
    <n v="696"/>
    <n v="3"/>
    <n v="119"/>
  </r>
  <r>
    <n v="1969"/>
    <s v="2024-10-15"/>
    <n v="2024"/>
    <s v="Q4"/>
    <x v="9"/>
    <x v="1"/>
    <x v="4"/>
    <x v="1650"/>
    <x v="2"/>
    <n v="45"/>
    <x v="42"/>
    <n v="85.14"/>
    <n v="10.47"/>
    <n v="17.38"/>
    <n v="13.3"/>
    <n v="274.33999999999997"/>
    <n v="1064"/>
    <n v="5"/>
    <n v="128"/>
  </r>
  <r>
    <n v="1970"/>
    <s v="2024-10-20"/>
    <n v="2024"/>
    <s v="Q4"/>
    <x v="9"/>
    <x v="3"/>
    <x v="3"/>
    <x v="1651"/>
    <x v="0"/>
    <n v="19"/>
    <x v="219"/>
    <n v="87.57"/>
    <n v="18.440000000000001"/>
    <n v="14.23"/>
    <n v="9.8000000000000007"/>
    <n v="184.62"/>
    <n v="872"/>
    <n v="3"/>
    <n v="107"/>
  </r>
  <r>
    <n v="1971"/>
    <s v="2024-10-09"/>
    <n v="2024"/>
    <s v="Q4"/>
    <x v="9"/>
    <x v="0"/>
    <x v="4"/>
    <x v="1652"/>
    <x v="3"/>
    <n v="45"/>
    <x v="140"/>
    <n v="94.16"/>
    <n v="9.86"/>
    <n v="14.49"/>
    <n v="11.62"/>
    <n v="425.06"/>
    <n v="860"/>
    <n v="2"/>
    <n v="180"/>
  </r>
  <r>
    <n v="1972"/>
    <s v="2024-10-02"/>
    <n v="2024"/>
    <s v="Q4"/>
    <x v="9"/>
    <x v="1"/>
    <x v="0"/>
    <x v="1653"/>
    <x v="1"/>
    <n v="24"/>
    <x v="77"/>
    <n v="77.819999999999993"/>
    <n v="28.62"/>
    <n v="19.82"/>
    <n v="10.06"/>
    <n v="560.76"/>
    <n v="498"/>
    <n v="1"/>
    <n v="119"/>
  </r>
  <r>
    <n v="1973"/>
    <s v="2024-11-13"/>
    <n v="2024"/>
    <s v="Q4"/>
    <x v="10"/>
    <x v="0"/>
    <x v="0"/>
    <x v="1027"/>
    <x v="4"/>
    <n v="40"/>
    <x v="138"/>
    <n v="80.81"/>
    <n v="21.56"/>
    <n v="15.98"/>
    <n v="1.95"/>
    <n v="438.9"/>
    <n v="305"/>
    <n v="5"/>
    <n v="233"/>
  </r>
  <r>
    <n v="1974"/>
    <s v="2024-10-31"/>
    <n v="2024"/>
    <s v="Q4"/>
    <x v="10"/>
    <x v="5"/>
    <x v="4"/>
    <x v="785"/>
    <x v="4"/>
    <n v="16"/>
    <x v="446"/>
    <n v="87.18"/>
    <n v="21.07"/>
    <n v="16.28"/>
    <n v="2.62"/>
    <n v="269.31"/>
    <n v="1017"/>
    <n v="3"/>
    <n v="66"/>
  </r>
  <r>
    <n v="1975"/>
    <s v="2024-11-11"/>
    <n v="2024"/>
    <s v="Q4"/>
    <x v="10"/>
    <x v="1"/>
    <x v="1"/>
    <x v="1654"/>
    <x v="3"/>
    <n v="48"/>
    <x v="271"/>
    <n v="75.150000000000006"/>
    <n v="14.9"/>
    <n v="21.78"/>
    <n v="14.6"/>
    <n v="105.04"/>
    <n v="187"/>
    <n v="4"/>
    <n v="87"/>
  </r>
  <r>
    <n v="1976"/>
    <s v="2024-11-25"/>
    <n v="2024"/>
    <s v="Q4"/>
    <x v="10"/>
    <x v="5"/>
    <x v="2"/>
    <x v="366"/>
    <x v="0"/>
    <n v="34"/>
    <x v="122"/>
    <n v="91.13"/>
    <n v="23.97"/>
    <n v="8.36"/>
    <n v="4.59"/>
    <n v="167.23"/>
    <n v="528"/>
    <n v="1"/>
    <n v="118"/>
  </r>
  <r>
    <n v="1977"/>
    <s v="2024-11-12"/>
    <n v="2024"/>
    <s v="Q4"/>
    <x v="10"/>
    <x v="2"/>
    <x v="2"/>
    <x v="1655"/>
    <x v="1"/>
    <n v="42"/>
    <x v="372"/>
    <n v="78.72"/>
    <n v="12.72"/>
    <n v="12.2"/>
    <n v="9.34"/>
    <n v="205.49"/>
    <n v="377"/>
    <n v="3"/>
    <n v="119"/>
  </r>
  <r>
    <n v="1978"/>
    <s v="2024-11-13"/>
    <n v="2024"/>
    <s v="Q4"/>
    <x v="10"/>
    <x v="1"/>
    <x v="4"/>
    <x v="1656"/>
    <x v="2"/>
    <n v="41"/>
    <x v="13"/>
    <n v="77.72"/>
    <n v="28.65"/>
    <n v="8.75"/>
    <n v="11.51"/>
    <n v="344.48"/>
    <n v="841"/>
    <n v="5"/>
    <n v="92"/>
  </r>
  <r>
    <n v="1979"/>
    <s v="2024-11-10"/>
    <n v="2024"/>
    <s v="Q4"/>
    <x v="10"/>
    <x v="7"/>
    <x v="2"/>
    <x v="1657"/>
    <x v="2"/>
    <n v="24"/>
    <x v="10"/>
    <n v="79.45"/>
    <n v="17.46"/>
    <n v="12.75"/>
    <n v="11.1"/>
    <n v="405.99"/>
    <n v="359"/>
    <n v="5"/>
    <n v="50"/>
  </r>
  <r>
    <n v="1980"/>
    <s v="2024-10-31"/>
    <n v="2024"/>
    <s v="Q4"/>
    <x v="10"/>
    <x v="0"/>
    <x v="3"/>
    <x v="297"/>
    <x v="2"/>
    <n v="5"/>
    <x v="9"/>
    <n v="83.44"/>
    <n v="10.31"/>
    <n v="4.6399999999999997"/>
    <n v="7.4"/>
    <n v="498.26"/>
    <n v="957"/>
    <n v="5"/>
    <n v="115"/>
  </r>
  <r>
    <n v="1981"/>
    <s v="2024-11-17"/>
    <n v="2024"/>
    <s v="Q4"/>
    <x v="10"/>
    <x v="1"/>
    <x v="3"/>
    <x v="1658"/>
    <x v="1"/>
    <n v="11"/>
    <x v="115"/>
    <n v="94.05"/>
    <n v="7.81"/>
    <n v="4.3"/>
    <n v="6.95"/>
    <n v="147.46"/>
    <n v="965"/>
    <n v="2"/>
    <n v="174"/>
  </r>
  <r>
    <n v="1982"/>
    <s v="2024-11-08"/>
    <n v="2024"/>
    <s v="Q4"/>
    <x v="10"/>
    <x v="1"/>
    <x v="4"/>
    <x v="1659"/>
    <x v="3"/>
    <n v="31"/>
    <x v="223"/>
    <n v="90.37"/>
    <n v="19.95"/>
    <n v="10.199999999999999"/>
    <n v="13.6"/>
    <n v="136.69999999999999"/>
    <n v="814"/>
    <n v="2"/>
    <n v="159"/>
  </r>
  <r>
    <n v="1983"/>
    <s v="2024-11-03"/>
    <n v="2024"/>
    <s v="Q4"/>
    <x v="10"/>
    <x v="3"/>
    <x v="0"/>
    <x v="1351"/>
    <x v="1"/>
    <n v="41"/>
    <x v="287"/>
    <n v="76.36"/>
    <n v="9.5299999999999994"/>
    <n v="6.37"/>
    <n v="3.6"/>
    <n v="424.5"/>
    <n v="1047"/>
    <n v="3"/>
    <n v="189"/>
  </r>
  <r>
    <n v="1984"/>
    <s v="2024-10-31"/>
    <n v="2024"/>
    <s v="Q4"/>
    <x v="10"/>
    <x v="0"/>
    <x v="2"/>
    <x v="679"/>
    <x v="1"/>
    <n v="4"/>
    <x v="3"/>
    <n v="89.06"/>
    <n v="27.66"/>
    <n v="18.149999999999999"/>
    <n v="9.69"/>
    <n v="266.81"/>
    <n v="979"/>
    <n v="5"/>
    <n v="87"/>
  </r>
  <r>
    <n v="1985"/>
    <s v="2024-11-02"/>
    <n v="2024"/>
    <s v="Q4"/>
    <x v="10"/>
    <x v="3"/>
    <x v="1"/>
    <x v="1186"/>
    <x v="1"/>
    <n v="24"/>
    <x v="404"/>
    <n v="82.12"/>
    <n v="30.97"/>
    <n v="17.96"/>
    <n v="9.02"/>
    <n v="200.49"/>
    <n v="608"/>
    <n v="4"/>
    <n v="159"/>
  </r>
  <r>
    <n v="1986"/>
    <s v="2024-11-05"/>
    <n v="2024"/>
    <s v="Q4"/>
    <x v="10"/>
    <x v="0"/>
    <x v="2"/>
    <x v="1660"/>
    <x v="0"/>
    <n v="40"/>
    <x v="343"/>
    <n v="88.23"/>
    <n v="25.47"/>
    <n v="5.82"/>
    <n v="12.11"/>
    <n v="232.77"/>
    <n v="1018"/>
    <n v="2"/>
    <n v="246"/>
  </r>
  <r>
    <n v="1987"/>
    <s v="2024-11-01"/>
    <n v="2024"/>
    <s v="Q4"/>
    <x v="10"/>
    <x v="7"/>
    <x v="3"/>
    <x v="1661"/>
    <x v="1"/>
    <n v="9"/>
    <x v="490"/>
    <n v="79.739999999999995"/>
    <n v="16.16"/>
    <n v="5.99"/>
    <n v="6.98"/>
    <n v="115.54"/>
    <n v="221"/>
    <n v="4"/>
    <n v="222"/>
  </r>
  <r>
    <n v="1988"/>
    <s v="2024-11-23"/>
    <n v="2024"/>
    <s v="Q4"/>
    <x v="10"/>
    <x v="2"/>
    <x v="2"/>
    <x v="737"/>
    <x v="2"/>
    <n v="15"/>
    <x v="127"/>
    <n v="87.31"/>
    <n v="29.66"/>
    <n v="13.25"/>
    <n v="7.85"/>
    <n v="176.01"/>
    <n v="737"/>
    <n v="3"/>
    <n v="168"/>
  </r>
  <r>
    <n v="1989"/>
    <s v="2024-11-01"/>
    <n v="2024"/>
    <s v="Q4"/>
    <x v="10"/>
    <x v="4"/>
    <x v="1"/>
    <x v="546"/>
    <x v="1"/>
    <n v="23"/>
    <x v="203"/>
    <n v="81.58"/>
    <n v="27.05"/>
    <n v="17.850000000000001"/>
    <n v="3.42"/>
    <n v="504.23"/>
    <n v="1019"/>
    <n v="2"/>
    <n v="229"/>
  </r>
  <r>
    <n v="1990"/>
    <s v="2024-11-27"/>
    <n v="2024"/>
    <s v="Q4"/>
    <x v="10"/>
    <x v="1"/>
    <x v="1"/>
    <x v="1662"/>
    <x v="2"/>
    <n v="23"/>
    <x v="448"/>
    <n v="80.11"/>
    <n v="20.9"/>
    <n v="12.61"/>
    <n v="4.1399999999999997"/>
    <n v="520.64"/>
    <n v="829"/>
    <n v="3"/>
    <n v="115"/>
  </r>
  <r>
    <n v="1991"/>
    <s v="2024-11-04"/>
    <n v="2024"/>
    <s v="Q4"/>
    <x v="10"/>
    <x v="0"/>
    <x v="3"/>
    <x v="1663"/>
    <x v="1"/>
    <n v="45"/>
    <x v="180"/>
    <n v="93.97"/>
    <n v="24.23"/>
    <n v="14.84"/>
    <n v="12.41"/>
    <n v="169.32"/>
    <n v="735"/>
    <n v="4"/>
    <n v="125"/>
  </r>
  <r>
    <n v="1992"/>
    <s v="2024-11-03"/>
    <n v="2024"/>
    <s v="Q4"/>
    <x v="10"/>
    <x v="0"/>
    <x v="2"/>
    <x v="1664"/>
    <x v="1"/>
    <n v="47"/>
    <x v="25"/>
    <n v="86.45"/>
    <n v="17.600000000000001"/>
    <n v="14.9"/>
    <n v="6.5"/>
    <n v="496.24"/>
    <n v="359"/>
    <n v="2"/>
    <n v="58"/>
  </r>
  <r>
    <n v="1993"/>
    <s v="2024-11-17"/>
    <n v="2024"/>
    <s v="Q4"/>
    <x v="10"/>
    <x v="1"/>
    <x v="4"/>
    <x v="1665"/>
    <x v="4"/>
    <n v="44"/>
    <x v="422"/>
    <n v="94.78"/>
    <n v="13.23"/>
    <n v="9.7200000000000006"/>
    <n v="12.25"/>
    <n v="480.51"/>
    <n v="734"/>
    <n v="1"/>
    <n v="150"/>
  </r>
  <r>
    <n v="1994"/>
    <s v="2024-11-03"/>
    <n v="2024"/>
    <s v="Q4"/>
    <x v="10"/>
    <x v="5"/>
    <x v="3"/>
    <x v="1666"/>
    <x v="3"/>
    <n v="35"/>
    <x v="429"/>
    <n v="75.849999999999994"/>
    <n v="11.7"/>
    <n v="17.670000000000002"/>
    <n v="11.03"/>
    <n v="171.91"/>
    <n v="297"/>
    <n v="2"/>
    <n v="138"/>
  </r>
  <r>
    <n v="1995"/>
    <s v="2024-11-01"/>
    <n v="2024"/>
    <s v="Q4"/>
    <x v="10"/>
    <x v="1"/>
    <x v="0"/>
    <x v="808"/>
    <x v="1"/>
    <n v="5"/>
    <x v="333"/>
    <n v="90.51"/>
    <n v="15.39"/>
    <n v="7.44"/>
    <n v="1.07"/>
    <n v="215.36"/>
    <n v="904"/>
    <n v="3"/>
    <n v="91"/>
  </r>
  <r>
    <n v="1996"/>
    <s v="2024-11-15"/>
    <n v="2024"/>
    <s v="Q4"/>
    <x v="10"/>
    <x v="2"/>
    <x v="1"/>
    <x v="1629"/>
    <x v="4"/>
    <n v="17"/>
    <x v="366"/>
    <n v="83.1"/>
    <n v="28.67"/>
    <n v="13.76"/>
    <n v="5.48"/>
    <n v="193.25"/>
    <n v="258"/>
    <n v="1"/>
    <n v="215"/>
  </r>
  <r>
    <n v="1997"/>
    <s v="2024-11-25"/>
    <n v="2024"/>
    <s v="Q4"/>
    <x v="10"/>
    <x v="6"/>
    <x v="2"/>
    <x v="416"/>
    <x v="2"/>
    <n v="24"/>
    <x v="234"/>
    <n v="87.75"/>
    <n v="17.48"/>
    <n v="8.2799999999999994"/>
    <n v="10.01"/>
    <n v="279.99"/>
    <n v="857"/>
    <n v="1"/>
    <n v="248"/>
  </r>
  <r>
    <n v="1998"/>
    <s v="2024-11-10"/>
    <n v="2024"/>
    <s v="Q4"/>
    <x v="10"/>
    <x v="6"/>
    <x v="0"/>
    <x v="119"/>
    <x v="0"/>
    <n v="5"/>
    <x v="276"/>
    <n v="94.41"/>
    <n v="11.44"/>
    <n v="3.49"/>
    <n v="8.8699999999999992"/>
    <n v="438.71"/>
    <n v="777"/>
    <n v="5"/>
    <n v="113"/>
  </r>
  <r>
    <n v="1999"/>
    <s v="2024-11-02"/>
    <n v="2024"/>
    <s v="Q4"/>
    <x v="10"/>
    <x v="0"/>
    <x v="4"/>
    <x v="1667"/>
    <x v="4"/>
    <n v="21"/>
    <x v="357"/>
    <n v="82.04"/>
    <n v="5.05"/>
    <n v="7.02"/>
    <n v="10.130000000000001"/>
    <n v="433.8"/>
    <n v="844"/>
    <n v="4"/>
    <n v="189"/>
  </r>
  <r>
    <n v="2000"/>
    <s v="2024-11-17"/>
    <n v="2024"/>
    <s v="Q4"/>
    <x v="10"/>
    <x v="4"/>
    <x v="3"/>
    <x v="1668"/>
    <x v="1"/>
    <n v="49"/>
    <x v="191"/>
    <n v="79.38"/>
    <n v="18.68"/>
    <n v="13.01"/>
    <n v="7.93"/>
    <n v="299.44"/>
    <n v="1084"/>
    <n v="3"/>
    <n v="2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B7292C-20F8-4093-8A27-0BD25BDE22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9">
    <pivotField showAll="0"/>
    <pivotField showAll="0"/>
    <pivotField showAll="0"/>
    <pivotField showAll="0"/>
    <pivotField showAll="0"/>
    <pivotField showAll="0">
      <items count="9">
        <item x="6"/>
        <item x="1"/>
        <item x="4"/>
        <item x="2"/>
        <item x="3"/>
        <item x="7"/>
        <item x="5"/>
        <item x="0"/>
        <item t="default"/>
      </items>
    </pivotField>
    <pivotField axis="axisRow" showAll="0">
      <items count="6">
        <item x="3"/>
        <item x="0"/>
        <item x="1"/>
        <item x="4"/>
        <item x="2"/>
        <item t="default"/>
      </items>
    </pivotField>
    <pivotField dataField="1" showAll="0"/>
    <pivotField showAll="0">
      <items count="6">
        <item x="1"/>
        <item x="3"/>
        <item x="4"/>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Fund Raised ($M)" fld="7"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3" format="11">
      <pivotArea type="data" outline="0" fieldPosition="0">
        <references count="2">
          <reference field="4294967294" count="1" selected="0">
            <x v="0"/>
          </reference>
          <reference field="6" count="1" selected="0">
            <x v="3"/>
          </reference>
        </references>
      </pivotArea>
    </chartFormat>
    <chartFormat chart="3" format="12">
      <pivotArea type="data" outline="0" fieldPosition="0">
        <references count="2">
          <reference field="4294967294" count="1" selected="0">
            <x v="0"/>
          </reference>
          <reference field="6" count="1" selected="0">
            <x v="4"/>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FE4780-F1FC-40B4-94CE-D00CC82AAC3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9:D30" firstHeaderRow="1" firstDataRow="1" firstDataCol="0"/>
  <pivotFields count="19">
    <pivotField showAll="0"/>
    <pivotField showAll="0"/>
    <pivotField showAll="0"/>
    <pivotField showAll="0"/>
    <pivotField showAll="0"/>
    <pivotField showAll="0">
      <items count="9">
        <item x="6"/>
        <item x="1"/>
        <item x="4"/>
        <item x="2"/>
        <item x="3"/>
        <item x="7"/>
        <item x="5"/>
        <item x="0"/>
        <item t="default"/>
      </items>
    </pivotField>
    <pivotField showAll="0">
      <items count="6">
        <item x="3"/>
        <item x="0"/>
        <item x="1"/>
        <item x="4"/>
        <item x="2"/>
        <item t="default"/>
      </items>
    </pivotField>
    <pivotField showAll="0"/>
    <pivotField showAll="0">
      <items count="6">
        <item x="1"/>
        <item x="3"/>
        <item x="4"/>
        <item x="0"/>
        <item x="2"/>
        <item t="default"/>
      </items>
    </pivotField>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 Employees" fld="10"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A605B8-C807-4855-8E79-807CE1E31E9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8:C29" firstHeaderRow="1" firstDataRow="1" firstDataCol="0"/>
  <pivotFields count="19">
    <pivotField showAll="0"/>
    <pivotField showAll="0"/>
    <pivotField showAll="0"/>
    <pivotField showAll="0"/>
    <pivotField showAll="0"/>
    <pivotField showAll="0">
      <items count="9">
        <item x="6"/>
        <item x="1"/>
        <item x="4"/>
        <item x="2"/>
        <item x="3"/>
        <item x="7"/>
        <item x="5"/>
        <item x="0"/>
        <item t="default"/>
      </items>
    </pivotField>
    <pivotField showAll="0">
      <items count="6">
        <item x="3"/>
        <item x="0"/>
        <item x="1"/>
        <item x="4"/>
        <item x="2"/>
        <item t="default"/>
      </items>
    </pivotField>
    <pivotField dataField="1" showAll="0"/>
    <pivotField showAll="0">
      <items count="6">
        <item x="1"/>
        <item x="3"/>
        <item x="4"/>
        <item x="0"/>
        <item x="2"/>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Fund Raised ($M)" fld="7"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1727BC-829E-4E0F-8650-4FB9C434359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9:K26" firstHeaderRow="1" firstDataRow="2" firstDataCol="1"/>
  <pivotFields count="19">
    <pivotField showAll="0"/>
    <pivotField showAll="0"/>
    <pivotField showAll="0"/>
    <pivotField showAll="0"/>
    <pivotField showAll="0"/>
    <pivotField axis="axisCol" showAll="0">
      <items count="9">
        <item x="6"/>
        <item x="1"/>
        <item x="4"/>
        <item x="2"/>
        <item x="3"/>
        <item x="7"/>
        <item x="5"/>
        <item x="0"/>
        <item t="default"/>
      </items>
    </pivotField>
    <pivotField showAll="0">
      <items count="6">
        <item x="3"/>
        <item x="0"/>
        <item x="1"/>
        <item x="4"/>
        <item x="2"/>
        <item t="default"/>
      </items>
    </pivotField>
    <pivotField showAll="0"/>
    <pivotField axis="axisRow" showAll="0">
      <items count="6">
        <item x="1"/>
        <item x="3"/>
        <item x="4"/>
        <item x="0"/>
        <item x="2"/>
        <item t="default"/>
      </items>
    </pivotField>
    <pivotField dataField="1"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Fields count="1">
    <field x="5"/>
  </colFields>
  <colItems count="9">
    <i>
      <x/>
    </i>
    <i>
      <x v="1"/>
    </i>
    <i>
      <x v="2"/>
    </i>
    <i>
      <x v="3"/>
    </i>
    <i>
      <x v="4"/>
    </i>
    <i>
      <x v="5"/>
    </i>
    <i>
      <x v="6"/>
    </i>
    <i>
      <x v="7"/>
    </i>
    <i t="grand">
      <x/>
    </i>
  </colItems>
  <dataFields count="1">
    <dataField name="Sum of New Employees" fld="9" baseField="0" baseItem="0"/>
  </dataFields>
  <chartFormats count="8">
    <chartFormat chart="4" format="16" series="1">
      <pivotArea type="data" outline="0" fieldPosition="0">
        <references count="2">
          <reference field="4294967294" count="1" selected="0">
            <x v="0"/>
          </reference>
          <reference field="5" count="1" selected="0">
            <x v="0"/>
          </reference>
        </references>
      </pivotArea>
    </chartFormat>
    <chartFormat chart="4" format="17" series="1">
      <pivotArea type="data" outline="0" fieldPosition="0">
        <references count="2">
          <reference field="4294967294" count="1" selected="0">
            <x v="0"/>
          </reference>
          <reference field="5" count="1" selected="0">
            <x v="1"/>
          </reference>
        </references>
      </pivotArea>
    </chartFormat>
    <chartFormat chart="4" format="18" series="1">
      <pivotArea type="data" outline="0" fieldPosition="0">
        <references count="2">
          <reference field="4294967294" count="1" selected="0">
            <x v="0"/>
          </reference>
          <reference field="5" count="1" selected="0">
            <x v="2"/>
          </reference>
        </references>
      </pivotArea>
    </chartFormat>
    <chartFormat chart="4" format="19" series="1">
      <pivotArea type="data" outline="0" fieldPosition="0">
        <references count="2">
          <reference field="4294967294" count="1" selected="0">
            <x v="0"/>
          </reference>
          <reference field="5" count="1" selected="0">
            <x v="3"/>
          </reference>
        </references>
      </pivotArea>
    </chartFormat>
    <chartFormat chart="4" format="20" series="1">
      <pivotArea type="data" outline="0" fieldPosition="0">
        <references count="2">
          <reference field="4294967294" count="1" selected="0">
            <x v="0"/>
          </reference>
          <reference field="5" count="1" selected="0">
            <x v="4"/>
          </reference>
        </references>
      </pivotArea>
    </chartFormat>
    <chartFormat chart="4" format="21" series="1">
      <pivotArea type="data" outline="0" fieldPosition="0">
        <references count="2">
          <reference field="4294967294" count="1" selected="0">
            <x v="0"/>
          </reference>
          <reference field="5" count="1" selected="0">
            <x v="5"/>
          </reference>
        </references>
      </pivotArea>
    </chartFormat>
    <chartFormat chart="4" format="22" series="1">
      <pivotArea type="data" outline="0" fieldPosition="0">
        <references count="2">
          <reference field="4294967294" count="1" selected="0">
            <x v="0"/>
          </reference>
          <reference field="5" count="1" selected="0">
            <x v="6"/>
          </reference>
        </references>
      </pivotArea>
    </chartFormat>
    <chartFormat chart="4" format="23" series="1">
      <pivotArea type="data" outline="0" fieldPosition="0">
        <references count="2">
          <reference field="4294967294" count="1" selected="0">
            <x v="0"/>
          </reference>
          <reference field="5" count="1" selected="0">
            <x v="7"/>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71089D-290F-449C-B1C6-9D5881A082B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1:F32" firstHeaderRow="1" firstDataRow="1" firstDataCol="0"/>
  <pivotFields count="19">
    <pivotField showAll="0"/>
    <pivotField showAll="0"/>
    <pivotField showAll="0"/>
    <pivotField showAll="0"/>
    <pivotField showAll="0"/>
    <pivotField showAll="0">
      <items count="9">
        <item x="6"/>
        <item x="1"/>
        <item x="4"/>
        <item x="2"/>
        <item x="3"/>
        <item x="7"/>
        <item x="5"/>
        <item x="0"/>
        <item t="default"/>
      </items>
    </pivotField>
    <pivotField showAll="0">
      <items count="6">
        <item x="3"/>
        <item x="0"/>
        <item x="1"/>
        <item x="4"/>
        <item x="2"/>
        <item t="default"/>
      </items>
    </pivotField>
    <pivotField showAll="0"/>
    <pivotField showAll="0">
      <items count="6">
        <item x="1"/>
        <item x="3"/>
        <item x="4"/>
        <item x="0"/>
        <item x="2"/>
        <item t="default"/>
      </items>
    </pivotField>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Customer Acquisition" fld="16"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7716D8-ACBF-4F82-A4B5-EF6FFF01315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2:C33" firstHeaderRow="1" firstDataRow="1" firstDataCol="0"/>
  <pivotFields count="19">
    <pivotField showAll="0"/>
    <pivotField showAll="0"/>
    <pivotField showAll="0"/>
    <pivotField showAll="0"/>
    <pivotField showAll="0"/>
    <pivotField showAll="0">
      <items count="9">
        <item x="6"/>
        <item x="1"/>
        <item x="4"/>
        <item x="2"/>
        <item x="3"/>
        <item x="7"/>
        <item x="5"/>
        <item x="0"/>
        <item t="default"/>
      </items>
    </pivotField>
    <pivotField showAll="0">
      <items count="6">
        <item x="3"/>
        <item x="0"/>
        <item x="1"/>
        <item x="4"/>
        <item x="2"/>
        <item t="default"/>
      </items>
    </pivotField>
    <pivotField showAll="0"/>
    <pivotField showAll="0">
      <items count="6">
        <item x="1"/>
        <item x="3"/>
        <item x="4"/>
        <item x="0"/>
        <item x="2"/>
        <item t="default"/>
      </items>
    </pivotField>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Market Valuation ($M)" fld="15"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D5D735-80E2-48C3-B89D-AE4B7305E60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J17" firstHeaderRow="0" firstDataRow="1" firstDataCol="1"/>
  <pivotFields count="19">
    <pivotField showAll="0"/>
    <pivotField showAll="0"/>
    <pivotField showAll="0"/>
    <pivotField showAll="0"/>
    <pivotField axis="axisRow" showAll="0">
      <items count="13">
        <item x="0"/>
        <item x="1"/>
        <item x="2"/>
        <item x="3"/>
        <item x="4"/>
        <item x="5"/>
        <item x="6"/>
        <item x="7"/>
        <item x="8"/>
        <item x="9"/>
        <item x="10"/>
        <item x="11"/>
        <item t="default"/>
      </items>
    </pivotField>
    <pivotField showAll="0">
      <items count="9">
        <item x="6"/>
        <item x="1"/>
        <item x="4"/>
        <item x="2"/>
        <item x="3"/>
        <item x="7"/>
        <item x="5"/>
        <item x="0"/>
        <item t="default"/>
      </items>
    </pivotField>
    <pivotField showAll="0">
      <items count="6">
        <item x="3"/>
        <item x="0"/>
        <item x="1"/>
        <item x="4"/>
        <item x="2"/>
        <item t="default"/>
      </items>
    </pivotField>
    <pivotField showAll="0">
      <items count="1670">
        <item x="680"/>
        <item x="1444"/>
        <item x="527"/>
        <item x="562"/>
        <item x="1511"/>
        <item x="1159"/>
        <item x="1250"/>
        <item x="1017"/>
        <item x="482"/>
        <item x="1126"/>
        <item x="222"/>
        <item x="413"/>
        <item x="427"/>
        <item x="98"/>
        <item x="542"/>
        <item x="743"/>
        <item x="496"/>
        <item x="1385"/>
        <item x="1182"/>
        <item x="1003"/>
        <item x="1262"/>
        <item x="1643"/>
        <item x="1124"/>
        <item x="1028"/>
        <item x="1640"/>
        <item x="1055"/>
        <item x="88"/>
        <item x="1221"/>
        <item x="664"/>
        <item x="53"/>
        <item x="162"/>
        <item x="82"/>
        <item x="473"/>
        <item x="1239"/>
        <item x="1209"/>
        <item x="1395"/>
        <item x="1163"/>
        <item x="1585"/>
        <item x="785"/>
        <item x="1377"/>
        <item x="484"/>
        <item x="336"/>
        <item x="703"/>
        <item x="54"/>
        <item x="814"/>
        <item x="392"/>
        <item x="1009"/>
        <item x="368"/>
        <item x="1152"/>
        <item x="181"/>
        <item x="1471"/>
        <item x="1087"/>
        <item x="1605"/>
        <item x="1078"/>
        <item x="672"/>
        <item x="1634"/>
        <item x="1426"/>
        <item x="808"/>
        <item x="1293"/>
        <item x="428"/>
        <item x="1127"/>
        <item x="1440"/>
        <item x="1012"/>
        <item x="956"/>
        <item x="1011"/>
        <item x="454"/>
        <item x="255"/>
        <item x="254"/>
        <item x="1562"/>
        <item x="97"/>
        <item x="1569"/>
        <item x="1048"/>
        <item x="1371"/>
        <item x="926"/>
        <item x="1501"/>
        <item x="548"/>
        <item x="346"/>
        <item x="1615"/>
        <item x="716"/>
        <item x="1630"/>
        <item x="732"/>
        <item x="1663"/>
        <item x="874"/>
        <item x="1498"/>
        <item x="1641"/>
        <item x="1639"/>
        <item x="267"/>
        <item x="741"/>
        <item x="390"/>
        <item x="279"/>
        <item x="118"/>
        <item x="1283"/>
        <item x="909"/>
        <item x="1656"/>
        <item x="46"/>
        <item x="161"/>
        <item x="416"/>
        <item x="615"/>
        <item x="176"/>
        <item x="1199"/>
        <item x="1459"/>
        <item x="343"/>
        <item x="433"/>
        <item x="327"/>
        <item x="1225"/>
        <item x="47"/>
        <item x="855"/>
        <item x="1607"/>
        <item x="830"/>
        <item x="617"/>
        <item x="981"/>
        <item x="660"/>
        <item x="169"/>
        <item x="330"/>
        <item x="345"/>
        <item x="1186"/>
        <item x="411"/>
        <item x="30"/>
        <item x="853"/>
        <item x="365"/>
        <item x="885"/>
        <item x="154"/>
        <item x="43"/>
        <item x="1407"/>
        <item x="904"/>
        <item x="1326"/>
        <item x="1600"/>
        <item x="1434"/>
        <item x="646"/>
        <item x="531"/>
        <item x="1443"/>
        <item x="941"/>
        <item x="483"/>
        <item x="1050"/>
        <item x="64"/>
        <item x="1112"/>
        <item x="1234"/>
        <item x="1577"/>
        <item x="949"/>
        <item x="312"/>
        <item x="1416"/>
        <item x="449"/>
        <item x="429"/>
        <item x="1437"/>
        <item x="681"/>
        <item x="789"/>
        <item x="1143"/>
        <item x="848"/>
        <item x="1268"/>
        <item x="1153"/>
        <item x="529"/>
        <item x="713"/>
        <item x="195"/>
        <item x="12"/>
        <item x="389"/>
        <item x="804"/>
        <item x="72"/>
        <item x="1475"/>
        <item x="1655"/>
        <item x="825"/>
        <item x="86"/>
        <item x="1335"/>
        <item x="963"/>
        <item x="1390"/>
        <item x="1608"/>
        <item x="648"/>
        <item x="632"/>
        <item x="832"/>
        <item x="602"/>
        <item x="295"/>
        <item x="144"/>
        <item x="1545"/>
        <item x="1582"/>
        <item x="487"/>
        <item x="613"/>
        <item x="1591"/>
        <item x="679"/>
        <item x="1117"/>
        <item x="1288"/>
        <item x="266"/>
        <item x="1439"/>
        <item x="434"/>
        <item x="1356"/>
        <item x="1492"/>
        <item x="915"/>
        <item x="516"/>
        <item x="163"/>
        <item x="793"/>
        <item x="930"/>
        <item x="1084"/>
        <item x="1144"/>
        <item x="1574"/>
        <item x="405"/>
        <item x="216"/>
        <item x="1358"/>
        <item x="1565"/>
        <item x="1105"/>
        <item x="544"/>
        <item x="1001"/>
        <item x="1649"/>
        <item x="693"/>
        <item x="1072"/>
        <item x="557"/>
        <item x="934"/>
        <item x="308"/>
        <item x="1077"/>
        <item x="1286"/>
        <item x="253"/>
        <item x="1431"/>
        <item x="1552"/>
        <item x="566"/>
        <item x="380"/>
        <item x="387"/>
        <item x="1332"/>
        <item x="1510"/>
        <item x="1623"/>
        <item x="751"/>
        <item x="1200"/>
        <item x="1060"/>
        <item x="710"/>
        <item x="1550"/>
        <item x="252"/>
        <item x="160"/>
        <item x="190"/>
        <item x="1414"/>
        <item x="753"/>
        <item x="376"/>
        <item x="1465"/>
        <item x="565"/>
        <item x="1075"/>
        <item x="1148"/>
        <item x="1175"/>
        <item x="564"/>
        <item x="153"/>
        <item x="906"/>
        <item x="725"/>
        <item x="899"/>
        <item x="268"/>
        <item x="1461"/>
        <item x="202"/>
        <item x="228"/>
        <item x="87"/>
        <item x="588"/>
        <item x="1526"/>
        <item x="1198"/>
        <item x="226"/>
        <item x="695"/>
        <item x="1455"/>
        <item x="699"/>
        <item x="1160"/>
        <item x="532"/>
        <item x="235"/>
        <item x="1097"/>
        <item x="193"/>
        <item x="173"/>
        <item x="282"/>
        <item x="856"/>
        <item x="937"/>
        <item x="586"/>
        <item x="430"/>
        <item x="377"/>
        <item x="280"/>
        <item x="1301"/>
        <item x="1454"/>
        <item x="1346"/>
        <item x="851"/>
        <item x="210"/>
        <item x="1599"/>
        <item x="1474"/>
        <item x="424"/>
        <item x="570"/>
        <item x="543"/>
        <item x="1334"/>
        <item x="1662"/>
        <item x="375"/>
        <item x="572"/>
        <item x="1548"/>
        <item x="399"/>
        <item x="631"/>
        <item x="745"/>
        <item x="729"/>
        <item x="589"/>
        <item x="1495"/>
        <item x="438"/>
        <item x="211"/>
        <item x="623"/>
        <item x="816"/>
        <item x="1180"/>
        <item x="1637"/>
        <item x="1619"/>
        <item x="1240"/>
        <item x="1082"/>
        <item x="715"/>
        <item x="933"/>
        <item x="475"/>
        <item x="218"/>
        <item x="1598"/>
        <item x="273"/>
        <item x="811"/>
        <item x="1389"/>
        <item x="166"/>
        <item x="1308"/>
        <item x="1409"/>
        <item x="1631"/>
        <item x="568"/>
        <item x="322"/>
        <item x="535"/>
        <item x="742"/>
        <item x="797"/>
        <item x="124"/>
        <item x="461"/>
        <item x="598"/>
        <item x="260"/>
        <item x="410"/>
        <item x="1170"/>
        <item x="200"/>
        <item x="1063"/>
        <item x="583"/>
        <item x="167"/>
        <item x="1149"/>
        <item x="1596"/>
        <item x="1633"/>
        <item x="1532"/>
        <item x="1235"/>
        <item x="94"/>
        <item x="1406"/>
        <item x="879"/>
        <item x="770"/>
        <item x="1119"/>
        <item x="1251"/>
        <item x="792"/>
        <item x="109"/>
        <item x="1314"/>
        <item x="912"/>
        <item x="678"/>
        <item x="960"/>
        <item x="1137"/>
        <item x="276"/>
        <item x="1026"/>
        <item x="1644"/>
        <item x="1650"/>
        <item x="882"/>
        <item x="508"/>
        <item x="748"/>
        <item x="1118"/>
        <item x="712"/>
        <item x="815"/>
        <item x="1568"/>
        <item x="638"/>
        <item x="1393"/>
        <item x="537"/>
        <item x="1352"/>
        <item x="758"/>
        <item x="274"/>
        <item x="657"/>
        <item x="1025"/>
        <item x="1145"/>
        <item x="2"/>
        <item x="250"/>
        <item x="1233"/>
        <item x="621"/>
        <item x="1432"/>
        <item x="25"/>
        <item x="1243"/>
        <item x="340"/>
        <item x="1291"/>
        <item x="737"/>
        <item x="1281"/>
        <item x="359"/>
        <item x="887"/>
        <item x="246"/>
        <item x="1236"/>
        <item x="590"/>
        <item x="1566"/>
        <item x="214"/>
        <item x="1381"/>
        <item x="1214"/>
        <item x="689"/>
        <item x="1106"/>
        <item x="40"/>
        <item x="1128"/>
        <item x="101"/>
        <item x="822"/>
        <item x="335"/>
        <item x="1223"/>
        <item x="545"/>
        <item x="903"/>
        <item x="1659"/>
        <item x="651"/>
        <item x="717"/>
        <item x="1366"/>
        <item x="1593"/>
        <item x="866"/>
        <item x="1408"/>
        <item x="1035"/>
        <item x="966"/>
        <item x="1460"/>
        <item x="55"/>
        <item x="914"/>
        <item x="534"/>
        <item x="1229"/>
        <item x="1284"/>
        <item x="860"/>
        <item x="95"/>
        <item x="1052"/>
        <item x="1302"/>
        <item x="420"/>
        <item x="135"/>
        <item x="786"/>
        <item x="219"/>
        <item x="1210"/>
        <item x="519"/>
        <item x="352"/>
        <item x="1668"/>
        <item x="799"/>
        <item x="7"/>
        <item x="341"/>
        <item x="384"/>
        <item x="1594"/>
        <item x="443"/>
        <item x="1590"/>
        <item x="457"/>
        <item x="425"/>
        <item x="958"/>
        <item x="1193"/>
        <item x="1401"/>
        <item x="968"/>
        <item x="1587"/>
        <item x="1351"/>
        <item x="1039"/>
        <item x="1453"/>
        <item x="1280"/>
        <item x="78"/>
        <item x="1099"/>
        <item x="115"/>
        <item x="259"/>
        <item x="1204"/>
        <item x="892"/>
        <item x="1033"/>
        <item x="1524"/>
        <item x="1195"/>
        <item x="554"/>
        <item x="778"/>
        <item x="1008"/>
        <item x="593"/>
        <item x="1442"/>
        <item x="936"/>
        <item x="478"/>
        <item x="307"/>
        <item x="1424"/>
        <item x="262"/>
        <item x="972"/>
        <item x="26"/>
        <item x="1589"/>
        <item x="432"/>
        <item x="58"/>
        <item x="547"/>
        <item x="1375"/>
        <item x="1404"/>
        <item x="1248"/>
        <item x="397"/>
        <item x="1665"/>
        <item x="1190"/>
        <item x="692"/>
        <item x="1181"/>
        <item x="1571"/>
        <item x="90"/>
        <item x="1342"/>
        <item x="1024"/>
        <item x="1155"/>
        <item x="1392"/>
        <item x="876"/>
        <item x="719"/>
        <item x="466"/>
        <item x="1000"/>
        <item x="351"/>
        <item x="1603"/>
        <item x="1062"/>
        <item x="402"/>
        <item x="1651"/>
        <item x="812"/>
        <item x="967"/>
        <item x="38"/>
        <item x="763"/>
        <item x="1303"/>
        <item x="1533"/>
        <item x="1010"/>
        <item x="1287"/>
        <item x="675"/>
        <item x="1219"/>
        <item x="1364"/>
        <item x="209"/>
        <item x="764"/>
        <item x="1415"/>
        <item x="310"/>
        <item x="726"/>
        <item x="334"/>
        <item x="1448"/>
        <item x="215"/>
        <item x="684"/>
        <item x="1274"/>
        <item x="317"/>
        <item x="206"/>
        <item x="953"/>
        <item x="321"/>
        <item x="641"/>
        <item x="738"/>
        <item x="1184"/>
        <item x="546"/>
        <item x="857"/>
        <item x="1315"/>
        <item x="1497"/>
        <item x="864"/>
        <item x="460"/>
        <item x="148"/>
        <item x="122"/>
        <item x="525"/>
        <item x="437"/>
        <item x="1413"/>
        <item x="283"/>
        <item x="448"/>
        <item x="1573"/>
        <item x="901"/>
        <item x="669"/>
        <item x="1018"/>
        <item x="1530"/>
        <item x="918"/>
        <item x="1271"/>
        <item x="1172"/>
        <item x="205"/>
        <item x="1467"/>
        <item x="624"/>
        <item x="1328"/>
        <item x="1379"/>
        <item x="63"/>
        <item x="1627"/>
        <item x="1397"/>
        <item x="619"/>
        <item x="5"/>
        <item x="521"/>
        <item x="192"/>
        <item x="1484"/>
        <item x="1183"/>
        <item x="472"/>
        <item x="96"/>
        <item x="1216"/>
        <item x="444"/>
        <item x="80"/>
        <item x="591"/>
        <item x="1211"/>
        <item x="301"/>
        <item x="1070"/>
        <item x="977"/>
        <item x="1339"/>
        <item x="824"/>
        <item x="698"/>
        <item x="1441"/>
        <item x="152"/>
        <item x="971"/>
        <item x="788"/>
        <item x="1157"/>
        <item x="867"/>
        <item x="707"/>
        <item x="1245"/>
        <item x="1654"/>
        <item x="37"/>
        <item x="172"/>
        <item x="582"/>
        <item x="28"/>
        <item x="1462"/>
        <item x="1523"/>
        <item x="629"/>
        <item x="1203"/>
        <item x="1129"/>
        <item x="1502"/>
        <item x="1365"/>
        <item x="803"/>
        <item x="408"/>
        <item x="504"/>
        <item x="177"/>
        <item x="477"/>
        <item x="701"/>
        <item x="976"/>
        <item x="836"/>
        <item x="599"/>
        <item x="850"/>
        <item x="500"/>
        <item x="89"/>
        <item x="1653"/>
        <item x="69"/>
        <item x="488"/>
        <item x="1621"/>
        <item x="357"/>
        <item x="459"/>
        <item x="6"/>
        <item x="524"/>
        <item x="188"/>
        <item x="1100"/>
        <item x="306"/>
        <item x="818"/>
        <item x="1147"/>
        <item x="1561"/>
        <item x="1068"/>
        <item x="75"/>
        <item x="1480"/>
        <item x="1091"/>
        <item x="415"/>
        <item x="396"/>
        <item x="1378"/>
        <item x="1558"/>
        <item x="1647"/>
        <item x="318"/>
        <item x="1363"/>
        <item x="943"/>
        <item x="975"/>
        <item x="666"/>
        <item x="677"/>
        <item x="236"/>
        <item x="769"/>
        <item x="1138"/>
        <item x="360"/>
        <item x="1032"/>
        <item x="964"/>
        <item x="893"/>
        <item x="635"/>
        <item x="174"/>
        <item x="1629"/>
        <item x="1016"/>
        <item x="762"/>
        <item x="187"/>
        <item x="1259"/>
        <item x="1312"/>
        <item x="1625"/>
        <item x="526"/>
        <item x="27"/>
        <item x="1624"/>
        <item x="126"/>
        <item x="93"/>
        <item x="263"/>
        <item x="123"/>
        <item x="394"/>
        <item x="1369"/>
        <item x="1037"/>
        <item x="1553"/>
        <item x="939"/>
        <item x="1101"/>
        <item x="1151"/>
        <item x="1297"/>
        <item x="1189"/>
        <item x="551"/>
        <item x="959"/>
        <item x="1168"/>
        <item x="574"/>
        <item x="1343"/>
        <item x="686"/>
        <item x="1318"/>
        <item x="462"/>
        <item x="1430"/>
        <item x="1207"/>
        <item x="374"/>
        <item x="1602"/>
        <item x="731"/>
        <item x="418"/>
        <item x="1367"/>
        <item x="721"/>
        <item x="442"/>
        <item x="663"/>
        <item x="1023"/>
        <item x="863"/>
        <item x="1425"/>
        <item x="727"/>
        <item x="1464"/>
        <item x="1232"/>
        <item x="1027"/>
        <item x="559"/>
        <item x="1529"/>
        <item x="683"/>
        <item x="1398"/>
        <item x="1482"/>
        <item x="1054"/>
        <item x="1355"/>
        <item x="595"/>
        <item x="223"/>
        <item x="1636"/>
        <item x="1597"/>
        <item x="39"/>
        <item x="779"/>
        <item x="324"/>
        <item x="81"/>
        <item x="1073"/>
        <item x="1208"/>
        <item x="877"/>
        <item x="965"/>
        <item x="364"/>
        <item x="1260"/>
        <item x="49"/>
        <item x="749"/>
        <item x="611"/>
        <item x="1139"/>
        <item x="823"/>
        <item x="523"/>
        <item x="1096"/>
        <item x="897"/>
        <item x="894"/>
        <item x="1"/>
        <item x="662"/>
        <item x="1664"/>
        <item x="1046"/>
        <item x="1269"/>
        <item x="1273"/>
        <item x="709"/>
        <item x="272"/>
        <item x="1592"/>
        <item x="1006"/>
        <item x="935"/>
        <item x="1362"/>
        <item x="23"/>
        <item x="305"/>
        <item x="538"/>
        <item x="585"/>
        <item x="1635"/>
        <item x="130"/>
        <item x="1069"/>
        <item x="83"/>
        <item x="1547"/>
        <item x="331"/>
        <item x="896"/>
        <item x="249"/>
        <item x="21"/>
        <item x="780"/>
        <item x="639"/>
        <item x="1187"/>
        <item x="1067"/>
        <item x="706"/>
        <item x="979"/>
        <item x="994"/>
        <item x="1534"/>
        <item x="85"/>
        <item x="1134"/>
        <item x="1546"/>
        <item x="1130"/>
        <item x="831"/>
        <item x="1549"/>
        <item x="1173"/>
        <item x="1412"/>
        <item x="962"/>
        <item x="1361"/>
        <item x="71"/>
        <item x="1191"/>
        <item x="356"/>
        <item x="447"/>
        <item x="759"/>
        <item x="157"/>
        <item x="944"/>
        <item x="919"/>
        <item x="610"/>
        <item x="1405"/>
        <item x="932"/>
        <item x="183"/>
        <item x="766"/>
        <item x="104"/>
        <item x="1646"/>
        <item x="204"/>
        <item x="603"/>
        <item x="522"/>
        <item x="344"/>
        <item x="180"/>
        <item x="767"/>
        <item x="644"/>
        <item x="1093"/>
        <item x="1323"/>
        <item x="1667"/>
        <item x="451"/>
        <item x="607"/>
        <item x="1136"/>
        <item x="423"/>
        <item x="990"/>
        <item x="1514"/>
        <item x="464"/>
        <item x="393"/>
        <item x="1521"/>
        <item x="1348"/>
        <item x="868"/>
        <item x="265"/>
        <item x="810"/>
        <item x="196"/>
        <item x="800"/>
        <item x="614"/>
        <item x="676"/>
        <item x="48"/>
        <item x="1227"/>
        <item x="319"/>
        <item x="207"/>
        <item x="1079"/>
        <item x="15"/>
        <item x="806"/>
        <item x="577"/>
        <item x="1445"/>
        <item x="734"/>
        <item x="149"/>
        <item x="1456"/>
        <item x="1322"/>
        <item x="239"/>
        <item x="1031"/>
        <item x="1086"/>
        <item x="361"/>
        <item x="19"/>
        <item x="1388"/>
        <item x="182"/>
        <item x="1428"/>
        <item x="366"/>
        <item x="67"/>
        <item x="486"/>
        <item x="1164"/>
        <item x="179"/>
        <item x="1380"/>
        <item x="667"/>
        <item x="1410"/>
        <item x="296"/>
        <item x="1237"/>
        <item x="316"/>
        <item x="794"/>
        <item x="1612"/>
        <item x="269"/>
        <item x="869"/>
        <item x="1609"/>
        <item x="257"/>
        <item x="845"/>
        <item x="820"/>
        <item x="924"/>
        <item x="1554"/>
        <item x="1493"/>
        <item x="1217"/>
        <item x="388"/>
        <item x="1014"/>
        <item x="1483"/>
        <item x="802"/>
        <item x="110"/>
        <item x="1329"/>
        <item x="536"/>
        <item x="1411"/>
        <item x="1541"/>
        <item x="1019"/>
        <item x="1537"/>
        <item x="835"/>
        <item x="690"/>
        <item x="513"/>
        <item x="1053"/>
        <item x="929"/>
        <item x="382"/>
        <item x="111"/>
        <item x="1317"/>
        <item x="329"/>
        <item x="116"/>
        <item x="491"/>
        <item x="233"/>
        <item x="141"/>
        <item x="332"/>
        <item x="142"/>
        <item x="421"/>
        <item x="501"/>
        <item x="1213"/>
        <item x="881"/>
        <item x="878"/>
        <item x="1171"/>
        <item x="1083"/>
        <item x="1094"/>
        <item x="587"/>
        <item x="1040"/>
        <item x="1194"/>
        <item x="288"/>
        <item x="609"/>
        <item x="837"/>
        <item x="750"/>
        <item x="673"/>
        <item x="417"/>
        <item x="650"/>
        <item x="281"/>
        <item x="338"/>
        <item x="314"/>
        <item x="844"/>
        <item x="378"/>
        <item x="275"/>
        <item x="760"/>
        <item x="688"/>
        <item x="1472"/>
        <item x="1277"/>
        <item x="987"/>
        <item x="1660"/>
        <item x="1242"/>
        <item x="927"/>
        <item x="1166"/>
        <item x="805"/>
        <item x="1061"/>
        <item x="1140"/>
        <item x="873"/>
        <item x="620"/>
        <item x="452"/>
        <item x="1476"/>
        <item x="403"/>
        <item x="988"/>
        <item x="245"/>
        <item x="1206"/>
        <item x="138"/>
        <item x="52"/>
        <item x="1423"/>
        <item x="809"/>
        <item x="1557"/>
        <item x="450"/>
        <item x="1167"/>
        <item x="456"/>
        <item x="36"/>
        <item x="1215"/>
        <item x="1666"/>
        <item x="592"/>
        <item x="1349"/>
        <item x="320"/>
        <item x="541"/>
        <item x="563"/>
        <item x="594"/>
        <item x="724"/>
        <item x="1246"/>
        <item x="807"/>
        <item x="1305"/>
        <item x="1616"/>
        <item x="1299"/>
        <item x="1036"/>
        <item x="694"/>
        <item x="29"/>
        <item x="381"/>
        <item x="66"/>
        <item x="834"/>
        <item x="1344"/>
        <item x="578"/>
        <item x="1611"/>
        <item x="136"/>
        <item x="131"/>
        <item x="386"/>
        <item x="798"/>
        <item x="311"/>
        <item x="1386"/>
        <item x="465"/>
        <item x="14"/>
        <item x="84"/>
        <item x="1486"/>
        <item x="1539"/>
        <item x="1133"/>
        <item x="1463"/>
        <item x="208"/>
        <item x="1520"/>
        <item x="258"/>
        <item x="1338"/>
        <item x="787"/>
        <item x="634"/>
        <item x="3"/>
        <item x="230"/>
        <item x="827"/>
        <item x="862"/>
        <item x="409"/>
        <item x="469"/>
        <item x="1002"/>
        <item x="1359"/>
        <item x="489"/>
        <item x="194"/>
        <item x="470"/>
        <item x="1098"/>
        <item x="970"/>
        <item x="1576"/>
        <item x="665"/>
        <item x="385"/>
        <item x="44"/>
        <item x="1244"/>
        <item x="212"/>
        <item x="916"/>
        <item x="237"/>
        <item x="1661"/>
        <item x="616"/>
        <item x="1473"/>
        <item x="1469"/>
        <item x="435"/>
        <item x="24"/>
        <item x="31"/>
        <item x="840"/>
        <item x="51"/>
        <item x="1555"/>
        <item x="1080"/>
        <item x="1575"/>
        <item x="653"/>
        <item x="369"/>
        <item x="925"/>
        <item x="907"/>
        <item x="1205"/>
        <item x="243"/>
        <item x="220"/>
        <item x="1275"/>
        <item x="1104"/>
        <item x="961"/>
        <item x="1570"/>
        <item x="1481"/>
        <item x="1076"/>
        <item x="1488"/>
        <item x="264"/>
        <item x="404"/>
        <item x="178"/>
        <item x="1056"/>
        <item x="1586"/>
        <item x="59"/>
        <item x="1468"/>
        <item x="1264"/>
        <item x="714"/>
        <item x="940"/>
        <item x="697"/>
        <item x="1452"/>
        <item x="633"/>
        <item x="1114"/>
        <item x="185"/>
        <item x="1059"/>
        <item x="1256"/>
        <item x="1606"/>
        <item x="474"/>
        <item x="285"/>
        <item x="0"/>
        <item x="65"/>
        <item x="199"/>
        <item x="119"/>
        <item x="1331"/>
        <item x="150"/>
        <item x="102"/>
        <item x="1506"/>
        <item x="1169"/>
        <item x="1418"/>
        <item x="203"/>
        <item x="720"/>
        <item x="852"/>
        <item x="458"/>
        <item x="1451"/>
        <item x="626"/>
        <item x="661"/>
        <item x="533"/>
        <item x="419"/>
        <item x="507"/>
        <item x="270"/>
        <item x="1228"/>
        <item x="520"/>
        <item x="391"/>
        <item x="1402"/>
        <item x="898"/>
        <item x="348"/>
        <item x="238"/>
        <item x="1324"/>
        <item x="1313"/>
        <item x="795"/>
        <item x="1581"/>
        <item x="297"/>
        <item x="1108"/>
        <item x="674"/>
        <item x="1320"/>
        <item x="1496"/>
        <item x="947"/>
        <item x="251"/>
        <item x="191"/>
        <item x="1289"/>
        <item x="1648"/>
        <item x="1508"/>
        <item x="61"/>
        <item x="103"/>
        <item x="1507"/>
        <item x="911"/>
        <item x="354"/>
        <item x="137"/>
        <item x="1321"/>
        <item x="920"/>
        <item x="244"/>
        <item x="636"/>
        <item x="198"/>
        <item x="771"/>
        <item x="467"/>
        <item x="736"/>
        <item x="20"/>
        <item x="1201"/>
        <item x="497"/>
        <item x="494"/>
        <item x="1519"/>
        <item x="1146"/>
        <item x="580"/>
        <item x="1543"/>
        <item x="201"/>
        <item x="1295"/>
        <item x="1254"/>
        <item x="861"/>
        <item x="1613"/>
        <item x="561"/>
        <item x="1479"/>
        <item x="1419"/>
        <item x="637"/>
        <item x="112"/>
        <item x="1336"/>
        <item x="134"/>
        <item x="539"/>
        <item x="1350"/>
        <item x="10"/>
        <item x="231"/>
        <item x="446"/>
        <item x="1516"/>
        <item x="326"/>
        <item x="143"/>
        <item x="1102"/>
        <item x="1049"/>
        <item x="1551"/>
        <item x="287"/>
        <item x="32"/>
        <item x="1125"/>
        <item x="813"/>
        <item x="127"/>
        <item x="1429"/>
        <item x="1081"/>
        <item x="1618"/>
        <item x="1536"/>
        <item x="309"/>
        <item x="1491"/>
        <item x="740"/>
        <item x="1285"/>
        <item x="455"/>
        <item x="1513"/>
        <item x="913"/>
        <item x="406"/>
        <item x="1282"/>
        <item x="950"/>
        <item x="158"/>
        <item x="1197"/>
        <item x="846"/>
        <item x="696"/>
        <item x="1353"/>
        <item x="627"/>
        <item x="973"/>
        <item x="1642"/>
        <item x="503"/>
        <item x="774"/>
        <item x="1325"/>
        <item x="510"/>
        <item x="838"/>
        <item x="640"/>
        <item x="880"/>
        <item x="1165"/>
        <item x="1376"/>
        <item x="1278"/>
        <item x="1374"/>
        <item x="671"/>
        <item x="1578"/>
        <item x="1179"/>
        <item x="1316"/>
        <item x="723"/>
        <item x="156"/>
        <item x="168"/>
        <item x="571"/>
        <item x="656"/>
        <item x="1202"/>
        <item x="453"/>
        <item x="773"/>
        <item x="1567"/>
        <item x="379"/>
        <item x="395"/>
        <item x="1121"/>
        <item x="1333"/>
        <item x="1196"/>
        <item x="891"/>
        <item x="139"/>
        <item x="485"/>
        <item x="1131"/>
        <item x="1504"/>
        <item x="839"/>
        <item x="991"/>
        <item x="146"/>
        <item x="42"/>
        <item x="16"/>
        <item x="1512"/>
        <item x="755"/>
        <item x="509"/>
        <item x="401"/>
        <item x="147"/>
        <item x="41"/>
        <item x="106"/>
        <item x="1041"/>
        <item x="1477"/>
        <item x="133"/>
        <item x="294"/>
        <item x="1218"/>
        <item x="499"/>
        <item x="117"/>
        <item x="1517"/>
        <item x="73"/>
        <item x="1294"/>
        <item x="45"/>
        <item x="700"/>
        <item x="289"/>
        <item x="754"/>
        <item x="744"/>
        <item x="9"/>
        <item x="372"/>
        <item x="872"/>
        <item x="1544"/>
        <item x="76"/>
        <item x="363"/>
        <item x="495"/>
        <item x="506"/>
        <item x="606"/>
        <item x="682"/>
        <item x="1238"/>
        <item x="171"/>
        <item x="980"/>
        <item x="1372"/>
        <item x="1005"/>
        <item x="132"/>
        <item x="1176"/>
        <item x="908"/>
        <item x="1494"/>
        <item x="57"/>
        <item x="1021"/>
        <item x="1422"/>
        <item x="528"/>
        <item x="225"/>
        <item x="184"/>
        <item x="1220"/>
        <item x="398"/>
        <item x="597"/>
        <item x="1272"/>
        <item x="1257"/>
        <item x="1383"/>
        <item x="658"/>
        <item x="234"/>
        <item x="1150"/>
        <item x="1489"/>
        <item x="1560"/>
        <item x="383"/>
        <item x="426"/>
        <item x="608"/>
        <item x="140"/>
        <item x="1499"/>
        <item x="579"/>
        <item x="490"/>
        <item x="1058"/>
        <item x="1319"/>
        <item x="1253"/>
        <item x="79"/>
        <item x="1478"/>
        <item x="645"/>
        <item x="921"/>
        <item x="530"/>
        <item x="1071"/>
        <item x="315"/>
        <item x="1038"/>
        <item x="1241"/>
        <item x="1177"/>
        <item x="945"/>
        <item x="1579"/>
        <item x="576"/>
        <item x="605"/>
        <item x="1538"/>
        <item x="271"/>
        <item x="1090"/>
        <item x="1279"/>
        <item x="241"/>
        <item x="107"/>
        <item x="34"/>
        <item x="445"/>
        <item x="120"/>
        <item x="1107"/>
        <item x="1490"/>
        <item x="1135"/>
        <item x="1438"/>
        <item x="858"/>
        <item x="883"/>
        <item x="1113"/>
        <item x="718"/>
        <item x="1310"/>
        <item x="1263"/>
        <item x="622"/>
        <item x="1617"/>
        <item x="353"/>
        <item x="1111"/>
        <item x="347"/>
        <item x="304"/>
        <item x="1188"/>
        <item x="1085"/>
        <item x="517"/>
        <item x="1446"/>
        <item x="1509"/>
        <item x="108"/>
        <item x="628"/>
        <item x="22"/>
        <item x="553"/>
        <item x="1470"/>
        <item x="1535"/>
        <item x="8"/>
        <item x="367"/>
        <item x="518"/>
        <item x="784"/>
        <item x="841"/>
        <item x="240"/>
        <item x="1022"/>
        <item x="1340"/>
        <item x="498"/>
        <item x="1255"/>
        <item x="1632"/>
        <item x="62"/>
        <item x="1249"/>
        <item x="1595"/>
        <item x="895"/>
        <item x="768"/>
        <item x="978"/>
        <item x="468"/>
        <item x="1044"/>
        <item x="900"/>
        <item x="1540"/>
        <item x="584"/>
        <item x="567"/>
        <item x="821"/>
        <item x="480"/>
        <item x="299"/>
        <item x="1290"/>
        <item x="1583"/>
        <item x="1110"/>
        <item x="902"/>
        <item x="596"/>
        <item x="515"/>
        <item x="1013"/>
        <item x="642"/>
        <item x="291"/>
        <item x="1120"/>
        <item x="261"/>
        <item x="471"/>
        <item x="1004"/>
        <item x="1657"/>
        <item x="942"/>
        <item x="1267"/>
        <item x="948"/>
        <item x="492"/>
        <item x="1074"/>
        <item x="969"/>
        <item x="928"/>
        <item x="224"/>
        <item x="1252"/>
        <item x="68"/>
        <item x="849"/>
        <item x="654"/>
        <item x="625"/>
        <item x="1435"/>
        <item x="56"/>
        <item x="1400"/>
        <item x="1300"/>
        <item x="1224"/>
        <item x="325"/>
        <item x="890"/>
        <item x="865"/>
        <item x="659"/>
        <item x="1230"/>
        <item x="833"/>
        <item x="1572"/>
        <item x="1020"/>
        <item x="128"/>
        <item x="765"/>
        <item x="549"/>
        <item x="293"/>
        <item x="1304"/>
        <item x="1449"/>
        <item x="479"/>
        <item x="1527"/>
        <item x="1065"/>
        <item x="92"/>
        <item x="1156"/>
        <item x="362"/>
        <item x="685"/>
        <item x="854"/>
        <item x="952"/>
        <item x="74"/>
        <item x="105"/>
        <item x="618"/>
        <item x="113"/>
        <item x="70"/>
        <item x="358"/>
        <item x="540"/>
        <item x="50"/>
        <item x="1610"/>
        <item x="555"/>
        <item x="691"/>
        <item x="630"/>
        <item x="511"/>
        <item x="1528"/>
        <item x="100"/>
        <item x="1604"/>
        <item x="552"/>
        <item x="776"/>
        <item x="242"/>
        <item x="998"/>
        <item x="1161"/>
        <item x="355"/>
        <item x="775"/>
        <item x="761"/>
        <item x="1142"/>
        <item x="17"/>
        <item x="1116"/>
        <item x="1601"/>
        <item x="643"/>
        <item x="1141"/>
        <item x="1522"/>
        <item x="1015"/>
        <item x="1309"/>
        <item x="817"/>
        <item x="974"/>
        <item x="1384"/>
        <item x="248"/>
        <item x="189"/>
        <item x="493"/>
        <item x="1614"/>
        <item x="1403"/>
        <item x="1092"/>
        <item x="91"/>
        <item x="752"/>
        <item x="989"/>
        <item x="999"/>
        <item x="1360"/>
        <item x="4"/>
        <item x="1658"/>
        <item x="996"/>
        <item x="558"/>
        <item x="828"/>
        <item x="946"/>
        <item x="756"/>
        <item x="783"/>
        <item x="910"/>
        <item x="829"/>
        <item x="1226"/>
        <item x="13"/>
        <item x="1556"/>
        <item x="1357"/>
        <item x="573"/>
        <item x="1458"/>
        <item x="704"/>
        <item x="1212"/>
        <item x="1500"/>
        <item x="165"/>
        <item x="1503"/>
        <item x="1115"/>
        <item x="1154"/>
        <item x="227"/>
        <item x="997"/>
        <item x="1103"/>
        <item x="1447"/>
        <item x="1057"/>
        <item x="1354"/>
        <item x="441"/>
        <item x="923"/>
        <item x="781"/>
        <item x="232"/>
        <item x="114"/>
        <item x="1178"/>
        <item x="170"/>
        <item x="303"/>
        <item x="407"/>
        <item x="213"/>
        <item x="772"/>
        <item x="1034"/>
        <item x="278"/>
        <item x="333"/>
        <item x="733"/>
        <item x="1045"/>
        <item x="1307"/>
        <item x="197"/>
        <item x="284"/>
        <item x="1345"/>
        <item x="1457"/>
        <item x="1564"/>
        <item x="600"/>
        <item x="337"/>
        <item x="601"/>
        <item x="217"/>
        <item x="1231"/>
        <item x="1433"/>
        <item x="905"/>
        <item x="722"/>
        <item x="843"/>
        <item x="556"/>
        <item x="708"/>
        <item x="569"/>
        <item x="1043"/>
        <item x="931"/>
        <item x="847"/>
        <item x="1066"/>
        <item x="463"/>
        <item x="1622"/>
        <item x="1007"/>
        <item x="1588"/>
        <item x="1270"/>
        <item x="1122"/>
        <item x="1466"/>
        <item x="1485"/>
        <item x="286"/>
        <item x="746"/>
        <item x="1261"/>
        <item x="1047"/>
        <item x="370"/>
        <item x="917"/>
        <item x="983"/>
        <item x="1088"/>
        <item x="1029"/>
        <item x="1563"/>
        <item x="1347"/>
        <item x="1370"/>
        <item x="649"/>
        <item x="1580"/>
        <item x="747"/>
        <item x="502"/>
        <item x="796"/>
        <item x="186"/>
        <item x="151"/>
        <item x="229"/>
        <item x="159"/>
        <item x="1095"/>
        <item x="1174"/>
        <item x="439"/>
        <item x="1132"/>
        <item x="1296"/>
        <item x="884"/>
        <item x="323"/>
        <item x="886"/>
        <item x="302"/>
        <item x="782"/>
        <item x="349"/>
        <item x="859"/>
        <item x="339"/>
        <item x="871"/>
        <item x="33"/>
        <item x="1123"/>
        <item x="1051"/>
        <item x="1373"/>
        <item x="164"/>
        <item x="1265"/>
        <item x="1487"/>
        <item x="1436"/>
        <item x="702"/>
        <item x="1162"/>
        <item x="791"/>
        <item x="35"/>
        <item x="414"/>
        <item x="801"/>
        <item x="99"/>
        <item x="155"/>
        <item x="1330"/>
        <item x="175"/>
        <item x="790"/>
        <item x="875"/>
        <item x="670"/>
        <item x="514"/>
        <item x="1276"/>
        <item x="1298"/>
        <item x="422"/>
        <item x="1341"/>
        <item x="350"/>
        <item x="328"/>
        <item x="728"/>
        <item x="705"/>
        <item x="371"/>
        <item x="951"/>
        <item x="512"/>
        <item x="400"/>
        <item x="1192"/>
        <item x="373"/>
        <item x="1382"/>
        <item x="1427"/>
        <item x="121"/>
        <item x="1109"/>
        <item x="647"/>
        <item x="819"/>
        <item x="1396"/>
        <item x="247"/>
        <item x="1628"/>
        <item x="476"/>
        <item x="1258"/>
        <item x="982"/>
        <item x="1391"/>
        <item x="290"/>
        <item x="1222"/>
        <item x="826"/>
        <item x="955"/>
        <item x="18"/>
        <item x="581"/>
        <item x="986"/>
        <item x="1247"/>
        <item x="668"/>
        <item x="221"/>
        <item x="1559"/>
        <item x="757"/>
        <item x="1626"/>
        <item x="652"/>
        <item x="995"/>
        <item x="777"/>
        <item x="655"/>
        <item x="1185"/>
        <item x="687"/>
        <item x="1368"/>
        <item x="992"/>
        <item x="256"/>
        <item x="1292"/>
        <item x="842"/>
        <item x="1042"/>
        <item x="300"/>
        <item x="575"/>
        <item x="1542"/>
        <item x="431"/>
        <item x="77"/>
        <item x="1064"/>
        <item x="1337"/>
        <item x="440"/>
        <item x="1584"/>
        <item x="125"/>
        <item x="60"/>
        <item x="1421"/>
        <item x="560"/>
        <item x="739"/>
        <item x="711"/>
        <item x="1387"/>
        <item x="1645"/>
        <item x="1327"/>
        <item x="1417"/>
        <item x="342"/>
        <item x="984"/>
        <item x="277"/>
        <item x="1525"/>
        <item x="612"/>
        <item x="412"/>
        <item x="1306"/>
        <item x="298"/>
        <item x="957"/>
        <item x="145"/>
        <item x="129"/>
        <item x="1089"/>
        <item x="993"/>
        <item x="1505"/>
        <item x="11"/>
        <item x="1531"/>
        <item x="481"/>
        <item x="1030"/>
        <item x="888"/>
        <item x="1311"/>
        <item x="1518"/>
        <item x="1420"/>
        <item x="1394"/>
        <item x="954"/>
        <item x="735"/>
        <item x="985"/>
        <item x="1266"/>
        <item x="313"/>
        <item x="1515"/>
        <item x="870"/>
        <item x="1399"/>
        <item x="1638"/>
        <item x="1158"/>
        <item x="436"/>
        <item x="1620"/>
        <item x="938"/>
        <item x="505"/>
        <item x="1652"/>
        <item x="292"/>
        <item x="889"/>
        <item x="550"/>
        <item x="604"/>
        <item x="730"/>
        <item x="1450"/>
        <item x="922"/>
        <item t="default"/>
      </items>
    </pivotField>
    <pivotField showAll="0"/>
    <pivotField showAll="0"/>
    <pivotField dataField="1" showAll="0">
      <items count="492">
        <item x="481"/>
        <item x="50"/>
        <item x="135"/>
        <item x="27"/>
        <item x="21"/>
        <item x="272"/>
        <item x="416"/>
        <item x="112"/>
        <item x="264"/>
        <item x="45"/>
        <item x="195"/>
        <item x="73"/>
        <item x="31"/>
        <item x="140"/>
        <item x="425"/>
        <item x="420"/>
        <item x="225"/>
        <item x="216"/>
        <item x="131"/>
        <item x="215"/>
        <item x="99"/>
        <item x="469"/>
        <item x="199"/>
        <item x="6"/>
        <item x="47"/>
        <item x="312"/>
        <item x="251"/>
        <item x="237"/>
        <item x="1"/>
        <item x="318"/>
        <item x="466"/>
        <item x="19"/>
        <item x="162"/>
        <item x="431"/>
        <item x="423"/>
        <item x="159"/>
        <item x="60"/>
        <item x="58"/>
        <item x="193"/>
        <item x="440"/>
        <item x="223"/>
        <item x="422"/>
        <item x="226"/>
        <item x="404"/>
        <item x="350"/>
        <item x="472"/>
        <item x="129"/>
        <item x="147"/>
        <item x="233"/>
        <item x="246"/>
        <item x="417"/>
        <item x="249"/>
        <item x="489"/>
        <item x="412"/>
        <item x="470"/>
        <item x="118"/>
        <item x="227"/>
        <item x="399"/>
        <item x="182"/>
        <item x="106"/>
        <item x="465"/>
        <item x="334"/>
        <item x="278"/>
        <item x="273"/>
        <item x="405"/>
        <item x="309"/>
        <item x="389"/>
        <item x="331"/>
        <item x="187"/>
        <item x="203"/>
        <item x="212"/>
        <item x="137"/>
        <item x="190"/>
        <item x="163"/>
        <item x="299"/>
        <item x="80"/>
        <item x="319"/>
        <item x="467"/>
        <item x="419"/>
        <item x="189"/>
        <item x="157"/>
        <item x="274"/>
        <item x="484"/>
        <item x="433"/>
        <item x="160"/>
        <item x="32"/>
        <item x="379"/>
        <item x="372"/>
        <item x="445"/>
        <item x="210"/>
        <item x="98"/>
        <item x="134"/>
        <item x="69"/>
        <item x="377"/>
        <item x="485"/>
        <item x="218"/>
        <item x="434"/>
        <item x="482"/>
        <item x="375"/>
        <item x="26"/>
        <item x="346"/>
        <item x="487"/>
        <item x="179"/>
        <item x="394"/>
        <item x="317"/>
        <item x="360"/>
        <item x="171"/>
        <item x="59"/>
        <item x="222"/>
        <item x="455"/>
        <item x="284"/>
        <item x="245"/>
        <item x="474"/>
        <item x="289"/>
        <item x="304"/>
        <item x="303"/>
        <item x="339"/>
        <item x="451"/>
        <item x="240"/>
        <item x="153"/>
        <item x="120"/>
        <item x="15"/>
        <item x="342"/>
        <item x="11"/>
        <item x="358"/>
        <item x="316"/>
        <item x="266"/>
        <item x="108"/>
        <item x="197"/>
        <item x="9"/>
        <item x="71"/>
        <item x="53"/>
        <item x="353"/>
        <item x="51"/>
        <item x="324"/>
        <item x="242"/>
        <item x="241"/>
        <item x="325"/>
        <item x="232"/>
        <item x="449"/>
        <item x="149"/>
        <item x="296"/>
        <item x="168"/>
        <item x="351"/>
        <item x="259"/>
        <item x="332"/>
        <item x="198"/>
        <item x="95"/>
        <item x="229"/>
        <item x="164"/>
        <item x="156"/>
        <item x="144"/>
        <item x="265"/>
        <item x="28"/>
        <item x="10"/>
        <item x="295"/>
        <item x="219"/>
        <item x="158"/>
        <item x="138"/>
        <item x="255"/>
        <item x="62"/>
        <item x="290"/>
        <item x="57"/>
        <item x="401"/>
        <item x="178"/>
        <item x="323"/>
        <item x="366"/>
        <item x="91"/>
        <item x="96"/>
        <item x="2"/>
        <item x="201"/>
        <item x="454"/>
        <item x="305"/>
        <item x="87"/>
        <item x="369"/>
        <item x="46"/>
        <item x="25"/>
        <item x="354"/>
        <item x="436"/>
        <item x="4"/>
        <item x="292"/>
        <item x="349"/>
        <item x="270"/>
        <item x="300"/>
        <item x="64"/>
        <item x="479"/>
        <item x="356"/>
        <item x="14"/>
        <item x="77"/>
        <item x="177"/>
        <item x="38"/>
        <item x="426"/>
        <item x="395"/>
        <item x="151"/>
        <item x="286"/>
        <item x="78"/>
        <item x="258"/>
        <item x="390"/>
        <item x="231"/>
        <item x="418"/>
        <item x="119"/>
        <item x="438"/>
        <item x="235"/>
        <item x="267"/>
        <item x="453"/>
        <item x="413"/>
        <item x="54"/>
        <item x="362"/>
        <item x="333"/>
        <item x="169"/>
        <item x="432"/>
        <item x="139"/>
        <item x="127"/>
        <item x="83"/>
        <item x="314"/>
        <item x="383"/>
        <item x="260"/>
        <item x="211"/>
        <item x="40"/>
        <item x="348"/>
        <item x="373"/>
        <item x="386"/>
        <item x="476"/>
        <item x="43"/>
        <item x="387"/>
        <item x="7"/>
        <item x="185"/>
        <item x="105"/>
        <item x="141"/>
        <item x="396"/>
        <item x="456"/>
        <item x="107"/>
        <item x="65"/>
        <item x="90"/>
        <item x="217"/>
        <item x="200"/>
        <item x="408"/>
        <item x="397"/>
        <item x="364"/>
        <item x="102"/>
        <item x="113"/>
        <item x="439"/>
        <item x="172"/>
        <item x="261"/>
        <item x="85"/>
        <item x="55"/>
        <item x="442"/>
        <item x="443"/>
        <item x="328"/>
        <item x="191"/>
        <item x="243"/>
        <item x="288"/>
        <item x="262"/>
        <item x="407"/>
        <item x="208"/>
        <item x="406"/>
        <item x="114"/>
        <item x="473"/>
        <item x="136"/>
        <item x="458"/>
        <item x="352"/>
        <item x="345"/>
        <item x="123"/>
        <item x="86"/>
        <item x="371"/>
        <item x="170"/>
        <item x="460"/>
        <item x="155"/>
        <item x="378"/>
        <item x="115"/>
        <item x="391"/>
        <item x="446"/>
        <item x="329"/>
        <item x="437"/>
        <item x="344"/>
        <item x="285"/>
        <item x="253"/>
        <item x="44"/>
        <item x="116"/>
        <item x="380"/>
        <item x="37"/>
        <item x="75"/>
        <item x="393"/>
        <item x="42"/>
        <item x="257"/>
        <item x="424"/>
        <item x="301"/>
        <item x="330"/>
        <item x="306"/>
        <item x="478"/>
        <item x="361"/>
        <item x="88"/>
        <item x="381"/>
        <item x="279"/>
        <item x="368"/>
        <item x="214"/>
        <item x="294"/>
        <item x="20"/>
        <item x="343"/>
        <item x="244"/>
        <item x="382"/>
        <item x="247"/>
        <item x="248"/>
        <item x="448"/>
        <item x="311"/>
        <item x="13"/>
        <item x="82"/>
        <item x="180"/>
        <item x="370"/>
        <item x="181"/>
        <item x="35"/>
        <item x="341"/>
        <item x="450"/>
        <item x="76"/>
        <item x="124"/>
        <item x="287"/>
        <item x="167"/>
        <item x="150"/>
        <item x="488"/>
        <item x="154"/>
        <item x="291"/>
        <item x="483"/>
        <item x="133"/>
        <item x="24"/>
        <item x="209"/>
        <item x="250"/>
        <item x="165"/>
        <item x="152"/>
        <item x="414"/>
        <item x="224"/>
        <item x="34"/>
        <item x="117"/>
        <item x="221"/>
        <item x="89"/>
        <item x="22"/>
        <item x="122"/>
        <item x="110"/>
        <item x="128"/>
        <item x="280"/>
        <item x="461"/>
        <item x="275"/>
        <item x="174"/>
        <item x="125"/>
        <item x="355"/>
        <item x="39"/>
        <item x="161"/>
        <item x="238"/>
        <item x="146"/>
        <item x="307"/>
        <item x="41"/>
        <item x="326"/>
        <item x="374"/>
        <item x="93"/>
        <item x="336"/>
        <item x="204"/>
        <item x="72"/>
        <item x="276"/>
        <item x="429"/>
        <item x="188"/>
        <item x="367"/>
        <item x="468"/>
        <item x="12"/>
        <item x="67"/>
        <item x="256"/>
        <item x="16"/>
        <item x="269"/>
        <item x="283"/>
        <item x="308"/>
        <item x="359"/>
        <item x="109"/>
        <item x="205"/>
        <item x="94"/>
        <item x="298"/>
        <item x="490"/>
        <item x="23"/>
        <item x="282"/>
        <item x="145"/>
        <item x="338"/>
        <item x="335"/>
        <item x="130"/>
        <item x="56"/>
        <item x="143"/>
        <item x="230"/>
        <item x="337"/>
        <item x="357"/>
        <item x="49"/>
        <item x="111"/>
        <item x="186"/>
        <item x="268"/>
        <item x="213"/>
        <item x="239"/>
        <item x="63"/>
        <item x="18"/>
        <item x="302"/>
        <item x="409"/>
        <item x="464"/>
        <item x="206"/>
        <item x="430"/>
        <item x="463"/>
        <item x="228"/>
        <item x="271"/>
        <item x="444"/>
        <item x="5"/>
        <item x="403"/>
        <item x="173"/>
        <item x="385"/>
        <item x="8"/>
        <item x="310"/>
        <item x="175"/>
        <item x="68"/>
        <item x="254"/>
        <item x="365"/>
        <item x="293"/>
        <item x="252"/>
        <item x="183"/>
        <item x="97"/>
        <item x="0"/>
        <item x="471"/>
        <item x="74"/>
        <item x="452"/>
        <item x="234"/>
        <item x="100"/>
        <item x="194"/>
        <item x="297"/>
        <item x="36"/>
        <item x="184"/>
        <item x="400"/>
        <item x="207"/>
        <item x="132"/>
        <item x="121"/>
        <item x="462"/>
        <item x="486"/>
        <item x="421"/>
        <item x="17"/>
        <item x="196"/>
        <item x="192"/>
        <item x="376"/>
        <item x="388"/>
        <item x="263"/>
        <item x="202"/>
        <item x="459"/>
        <item x="220"/>
        <item x="315"/>
        <item x="66"/>
        <item x="435"/>
        <item x="92"/>
        <item x="363"/>
        <item x="347"/>
        <item x="327"/>
        <item x="52"/>
        <item x="313"/>
        <item x="428"/>
        <item x="384"/>
        <item x="340"/>
        <item x="477"/>
        <item x="320"/>
        <item x="277"/>
        <item x="61"/>
        <item x="126"/>
        <item x="281"/>
        <item x="84"/>
        <item x="70"/>
        <item x="398"/>
        <item x="322"/>
        <item x="176"/>
        <item x="475"/>
        <item x="104"/>
        <item x="101"/>
        <item x="402"/>
        <item x="81"/>
        <item x="415"/>
        <item x="427"/>
        <item x="480"/>
        <item x="3"/>
        <item x="392"/>
        <item x="411"/>
        <item x="321"/>
        <item x="29"/>
        <item x="166"/>
        <item x="79"/>
        <item x="457"/>
        <item x="236"/>
        <item x="441"/>
        <item x="103"/>
        <item x="410"/>
        <item x="142"/>
        <item x="30"/>
        <item x="447"/>
        <item x="33"/>
        <item x="148"/>
        <item x="48"/>
        <item t="default"/>
      </items>
    </pivotField>
    <pivotField showAll="0"/>
    <pivotField showAll="0"/>
    <pivotField showAll="0"/>
    <pivotField dataField="1"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Sum of R&amp;D Investment ($M)" fld="14" baseField="0" baseItem="0"/>
    <dataField name="Sum of Total Employees" fld="10"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041513-1AAF-4C3B-979C-479F922BE39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0:E31" firstHeaderRow="1" firstDataRow="1" firstDataCol="0"/>
  <pivotFields count="19">
    <pivotField showAll="0"/>
    <pivotField showAll="0"/>
    <pivotField showAll="0"/>
    <pivotField showAll="0"/>
    <pivotField showAll="0"/>
    <pivotField showAll="0">
      <items count="9">
        <item x="6"/>
        <item x="1"/>
        <item x="4"/>
        <item x="2"/>
        <item x="3"/>
        <item x="7"/>
        <item x="5"/>
        <item x="0"/>
        <item t="default"/>
      </items>
    </pivotField>
    <pivotField showAll="0">
      <items count="6">
        <item x="3"/>
        <item x="0"/>
        <item x="1"/>
        <item x="4"/>
        <item x="2"/>
        <item t="default"/>
      </items>
    </pivotField>
    <pivotField showAll="0"/>
    <pivotField showAll="0">
      <items count="6">
        <item x="1"/>
        <item x="3"/>
        <item x="4"/>
        <item x="0"/>
        <item x="2"/>
        <item t="default"/>
      </items>
    </pivotField>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Total Employees" fld="10" subtotal="average"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468F17-0B04-4C6B-B8AB-858EB4E4626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F13" firstHeaderRow="1" firstDataRow="1" firstDataCol="1"/>
  <pivotFields count="19">
    <pivotField showAll="0"/>
    <pivotField showAll="0"/>
    <pivotField showAll="0"/>
    <pivotField showAll="0"/>
    <pivotField showAll="0"/>
    <pivotField axis="axisRow" showAll="0">
      <items count="9">
        <item x="6"/>
        <item x="1"/>
        <item x="4"/>
        <item x="2"/>
        <item x="3"/>
        <item x="7"/>
        <item x="5"/>
        <item x="0"/>
        <item t="default"/>
      </items>
    </pivotField>
    <pivotField showAll="0">
      <items count="6">
        <item x="3"/>
        <item x="0"/>
        <item x="1"/>
        <item x="4"/>
        <item x="2"/>
        <item t="default"/>
      </items>
    </pivotField>
    <pivotField showAll="0"/>
    <pivotField showAll="0">
      <items count="6">
        <item x="1"/>
        <item x="3"/>
        <item x="4"/>
        <item x="0"/>
        <item x="2"/>
        <item t="default"/>
      </items>
    </pivotField>
    <pivotField dataField="1" showAll="0"/>
    <pivotField showAll="0"/>
    <pivotField showAll="0"/>
    <pivotField showAll="0"/>
    <pivotField showAll="0"/>
    <pivotField showAll="0"/>
    <pivotField showAll="0"/>
    <pivotField showAll="0"/>
    <pivotField showAll="0"/>
    <pivotField showAll="0"/>
  </pivotFields>
  <rowFields count="1">
    <field x="5"/>
  </rowFields>
  <rowItems count="9">
    <i>
      <x/>
    </i>
    <i>
      <x v="1"/>
    </i>
    <i>
      <x v="2"/>
    </i>
    <i>
      <x v="3"/>
    </i>
    <i>
      <x v="4"/>
    </i>
    <i>
      <x v="5"/>
    </i>
    <i>
      <x v="6"/>
    </i>
    <i>
      <x v="7"/>
    </i>
    <i t="grand">
      <x/>
    </i>
  </rowItems>
  <colItems count="1">
    <i/>
  </colItems>
  <dataFields count="1">
    <dataField name="Sum of New Employees" fld="9" baseField="0" baseItem="0"/>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E51669-FE3D-401C-A513-5A632824FD26}" sourceName="Region">
  <pivotTables>
    <pivotTable tabId="5" name="PivotTable5"/>
    <pivotTable tabId="5" name="PivotTable2"/>
    <pivotTable tabId="5" name="PivotTable3"/>
    <pivotTable tabId="5" name="PivotTable4"/>
    <pivotTable tabId="5" name="PivotTable7"/>
    <pivotTable tabId="5" name="PivotTable8"/>
    <pivotTable tabId="5" name="PivotTable9"/>
    <pivotTable tabId="5" name="PivotTable10"/>
    <pivotTable tabId="5" name="PivotTable11"/>
  </pivotTables>
  <data>
    <tabular pivotCacheId="190166786">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ing_Source" xr10:uid="{3C71B6DE-0074-417D-819C-017E3706882B}" sourceName="Funding Source">
  <pivotTables>
    <pivotTable tabId="5" name="PivotTable3"/>
    <pivotTable tabId="5" name="PivotTable10"/>
    <pivotTable tabId="5" name="PivotTable11"/>
    <pivotTable tabId="5" name="PivotTable2"/>
    <pivotTable tabId="5" name="PivotTable5"/>
    <pivotTable tabId="5" name="PivotTable7"/>
    <pivotTable tabId="5" name="PivotTable8"/>
  </pivotTables>
  <data>
    <tabular pivotCacheId="190166786">
      <items count="5">
        <i x="1" s="1"/>
        <i x="3" s="1"/>
        <i x="4"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53C1427-7952-42DA-B996-F4C3F9CE981F}" sourceName="Department">
  <pivotTables>
    <pivotTable tabId="5" name="PivotTable3"/>
    <pivotTable tabId="5" name="PivotTable10"/>
    <pivotTable tabId="5" name="PivotTable11"/>
    <pivotTable tabId="5" name="PivotTable2"/>
    <pivotTable tabId="5" name="PivotTable5"/>
    <pivotTable tabId="5" name="PivotTable7"/>
    <pivotTable tabId="5" name="PivotTable8"/>
  </pivotTables>
  <data>
    <tabular pivotCacheId="190166786">
      <items count="8">
        <i x="6" s="1"/>
        <i x="1" s="1"/>
        <i x="4" s="1"/>
        <i x="2" s="1"/>
        <i x="3" s="1"/>
        <i x="7"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3A2C7B7-0203-42DE-9B2F-830985BE966D}" cache="Slicer_Region" caption="Region" showCaption="0" rowHeight="260350"/>
  <slicer name="Funding Source" xr10:uid="{E74E31A1-4652-45A2-B830-D6B43E43C703}" cache="Slicer_Funding_Source" caption="Funding Source" rowHeight="260350"/>
  <slicer name="Department" xr10:uid="{547DE3EC-3CEB-49A4-BFC5-54CFCD1E6B5C}" cache="Slicer_Department" caption="Department"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8F70D-44BE-465D-BA46-6050242A9B1B}">
  <dimension ref="A3:K33"/>
  <sheetViews>
    <sheetView topLeftCell="A10" workbookViewId="0">
      <selection activeCell="Q6" sqref="Q6"/>
    </sheetView>
  </sheetViews>
  <sheetFormatPr defaultRowHeight="15.6" x14ac:dyDescent="0.3"/>
  <cols>
    <col min="1" max="1" width="13.19921875" bestFit="1" customWidth="1"/>
    <col min="2" max="2" width="20.69921875" bestFit="1" customWidth="1"/>
    <col min="3" max="3" width="22.09765625" bestFit="1" customWidth="1"/>
    <col min="4" max="4" width="21.296875" bestFit="1" customWidth="1"/>
    <col min="5" max="5" width="7.296875" bestFit="1" customWidth="1"/>
    <col min="6" max="6" width="4.8984375" bestFit="1" customWidth="1"/>
    <col min="7" max="7" width="9.3984375" bestFit="1" customWidth="1"/>
    <col min="8" max="8" width="10.19921875" bestFit="1" customWidth="1"/>
    <col min="9" max="9" width="4.8984375" bestFit="1" customWidth="1"/>
    <col min="10" max="10" width="5.09765625" bestFit="1" customWidth="1"/>
    <col min="11" max="12" width="10.8984375" bestFit="1" customWidth="1"/>
    <col min="13" max="13" width="5.8984375" bestFit="1" customWidth="1"/>
    <col min="14" max="14" width="4.8984375" bestFit="1" customWidth="1"/>
    <col min="15" max="15" width="5.8984375" bestFit="1" customWidth="1"/>
    <col min="16" max="16" width="4.8984375" bestFit="1" customWidth="1"/>
    <col min="17" max="23" width="5.8984375" bestFit="1" customWidth="1"/>
    <col min="24" max="24" width="4.8984375" bestFit="1" customWidth="1"/>
    <col min="25" max="26" width="5.8984375" bestFit="1" customWidth="1"/>
    <col min="27" max="27" width="4.8984375" bestFit="1" customWidth="1"/>
    <col min="28" max="42" width="5.8984375" bestFit="1" customWidth="1"/>
    <col min="43" max="43" width="4.8984375" bestFit="1" customWidth="1"/>
    <col min="44" max="47" width="5.8984375" bestFit="1" customWidth="1"/>
    <col min="48" max="49" width="4.8984375" bestFit="1" customWidth="1"/>
    <col min="50" max="53" width="5.8984375" bestFit="1" customWidth="1"/>
    <col min="54" max="54" width="3.8984375" bestFit="1" customWidth="1"/>
    <col min="55" max="60" width="5.8984375" bestFit="1" customWidth="1"/>
    <col min="61" max="61" width="4.8984375" bestFit="1" customWidth="1"/>
    <col min="62" max="64" width="5.8984375" bestFit="1" customWidth="1"/>
    <col min="65" max="65" width="4.8984375" bestFit="1" customWidth="1"/>
    <col min="66" max="66" width="5.8984375" bestFit="1" customWidth="1"/>
    <col min="67" max="67" width="4.8984375" bestFit="1" customWidth="1"/>
    <col min="68" max="71" width="5.8984375" bestFit="1" customWidth="1"/>
    <col min="72" max="72" width="4.8984375" bestFit="1" customWidth="1"/>
    <col min="73" max="73" width="5.8984375" bestFit="1" customWidth="1"/>
    <col min="74" max="74" width="4.8984375" bestFit="1" customWidth="1"/>
    <col min="75" max="89" width="5.8984375" bestFit="1" customWidth="1"/>
    <col min="90" max="90" width="4.8984375" bestFit="1" customWidth="1"/>
    <col min="91" max="91" width="5.8984375" bestFit="1" customWidth="1"/>
    <col min="92" max="92" width="4.8984375" bestFit="1" customWidth="1"/>
    <col min="93" max="93" width="5.8984375" bestFit="1" customWidth="1"/>
    <col min="94" max="94" width="4.8984375" bestFit="1" customWidth="1"/>
    <col min="95" max="96" width="5.8984375" bestFit="1" customWidth="1"/>
    <col min="97" max="97" width="4.8984375" bestFit="1" customWidth="1"/>
    <col min="98" max="99" width="5.8984375" bestFit="1" customWidth="1"/>
    <col min="100" max="100" width="3.8984375" bestFit="1" customWidth="1"/>
    <col min="101" max="105" width="5.8984375" bestFit="1" customWidth="1"/>
    <col min="106" max="106" width="4.8984375" bestFit="1" customWidth="1"/>
    <col min="107" max="107" width="5.8984375" bestFit="1" customWidth="1"/>
    <col min="108" max="108" width="3.8984375" bestFit="1" customWidth="1"/>
    <col min="109" max="111" width="5.8984375" bestFit="1" customWidth="1"/>
    <col min="112" max="112" width="4.8984375" bestFit="1" customWidth="1"/>
    <col min="113" max="113" width="5.8984375" bestFit="1" customWidth="1"/>
    <col min="114" max="114" width="4.8984375" bestFit="1" customWidth="1"/>
    <col min="115" max="117" width="5.8984375" bestFit="1" customWidth="1"/>
    <col min="118" max="118" width="4.8984375" bestFit="1" customWidth="1"/>
    <col min="119" max="124" width="5.8984375" bestFit="1" customWidth="1"/>
    <col min="125" max="125" width="4.8984375" bestFit="1" customWidth="1"/>
    <col min="126" max="127" width="5.8984375" bestFit="1" customWidth="1"/>
    <col min="128" max="128" width="4.8984375" bestFit="1" customWidth="1"/>
    <col min="129" max="129" width="5.8984375" bestFit="1" customWidth="1"/>
    <col min="130" max="130" width="4.8984375" bestFit="1" customWidth="1"/>
    <col min="131" max="133" width="5.8984375" bestFit="1" customWidth="1"/>
    <col min="134" max="134" width="4.8984375" bestFit="1" customWidth="1"/>
    <col min="135" max="144" width="5.8984375" bestFit="1" customWidth="1"/>
    <col min="145" max="145" width="3.8984375" bestFit="1" customWidth="1"/>
    <col min="146" max="153" width="5.8984375" bestFit="1" customWidth="1"/>
    <col min="154" max="154" width="4.8984375" bestFit="1" customWidth="1"/>
    <col min="155" max="161" width="5.8984375" bestFit="1" customWidth="1"/>
    <col min="162" max="162" width="4.8984375" bestFit="1" customWidth="1"/>
    <col min="163" max="163" width="5.8984375" bestFit="1" customWidth="1"/>
    <col min="164" max="165" width="4.8984375" bestFit="1" customWidth="1"/>
    <col min="166" max="172" width="5.8984375" bestFit="1" customWidth="1"/>
    <col min="173" max="175" width="4.8984375" bestFit="1" customWidth="1"/>
    <col min="176" max="178" width="5.8984375" bestFit="1" customWidth="1"/>
    <col min="179" max="179" width="4.8984375" bestFit="1" customWidth="1"/>
    <col min="180" max="186" width="5.8984375" bestFit="1" customWidth="1"/>
    <col min="187" max="187" width="4.8984375" bestFit="1" customWidth="1"/>
    <col min="188" max="197" width="5.8984375" bestFit="1" customWidth="1"/>
    <col min="198" max="198" width="4.8984375" bestFit="1" customWidth="1"/>
    <col min="199" max="203" width="5.8984375" bestFit="1" customWidth="1"/>
    <col min="204" max="205" width="4.8984375" bestFit="1" customWidth="1"/>
    <col min="206" max="207" width="5.8984375" bestFit="1" customWidth="1"/>
    <col min="208" max="208" width="3.8984375" bestFit="1" customWidth="1"/>
    <col min="209" max="209" width="5.8984375" bestFit="1" customWidth="1"/>
    <col min="210" max="210" width="4.8984375" bestFit="1" customWidth="1"/>
    <col min="211" max="222" width="5.8984375" bestFit="1" customWidth="1"/>
    <col min="223" max="223" width="4.8984375" bestFit="1" customWidth="1"/>
    <col min="224" max="227" width="5.8984375" bestFit="1" customWidth="1"/>
    <col min="228" max="228" width="4.8984375" bestFit="1" customWidth="1"/>
    <col min="229" max="237" width="5.8984375" bestFit="1" customWidth="1"/>
    <col min="238" max="238" width="4.8984375" bestFit="1" customWidth="1"/>
    <col min="239" max="260" width="5.8984375" bestFit="1" customWidth="1"/>
    <col min="261" max="262" width="4.8984375" bestFit="1" customWidth="1"/>
    <col min="263" max="267" width="5.8984375" bestFit="1" customWidth="1"/>
    <col min="268" max="268" width="4.8984375" bestFit="1" customWidth="1"/>
    <col min="269" max="272" width="5.8984375" bestFit="1" customWidth="1"/>
    <col min="273" max="273" width="4.8984375" bestFit="1" customWidth="1"/>
    <col min="274" max="278" width="5.8984375" bestFit="1" customWidth="1"/>
    <col min="279" max="281" width="4.8984375" bestFit="1" customWidth="1"/>
    <col min="282" max="305" width="5.8984375" bestFit="1" customWidth="1"/>
    <col min="306" max="306" width="4.8984375" bestFit="1" customWidth="1"/>
    <col min="307" max="316" width="5.8984375" bestFit="1" customWidth="1"/>
    <col min="317" max="317" width="4.8984375" bestFit="1" customWidth="1"/>
    <col min="318" max="322" width="5.8984375" bestFit="1" customWidth="1"/>
    <col min="323" max="323" width="4.8984375" bestFit="1" customWidth="1"/>
    <col min="324" max="324" width="5.8984375" bestFit="1" customWidth="1"/>
    <col min="325" max="325" width="4.8984375" bestFit="1" customWidth="1"/>
    <col min="326" max="326" width="5.8984375" bestFit="1" customWidth="1"/>
    <col min="327" max="327" width="4.8984375" bestFit="1" customWidth="1"/>
    <col min="328" max="345" width="5.8984375" bestFit="1" customWidth="1"/>
    <col min="346" max="347" width="4.8984375" bestFit="1" customWidth="1"/>
    <col min="348" max="357" width="5.8984375" bestFit="1" customWidth="1"/>
    <col min="358" max="358" width="4.8984375" bestFit="1" customWidth="1"/>
    <col min="359" max="381" width="5.8984375" bestFit="1" customWidth="1"/>
    <col min="382" max="382" width="4.8984375" bestFit="1" customWidth="1"/>
    <col min="383" max="396" width="5.8984375" bestFit="1" customWidth="1"/>
    <col min="397" max="397" width="4.8984375" bestFit="1" customWidth="1"/>
    <col min="398" max="404" width="5.8984375" bestFit="1" customWidth="1"/>
    <col min="405" max="406" width="4.8984375" bestFit="1" customWidth="1"/>
    <col min="407" max="419" width="5.8984375" bestFit="1" customWidth="1"/>
    <col min="420" max="420" width="4.8984375" bestFit="1" customWidth="1"/>
    <col min="421" max="421" width="5.8984375" bestFit="1" customWidth="1"/>
    <col min="422" max="422" width="4.8984375" bestFit="1" customWidth="1"/>
    <col min="423" max="434" width="5.8984375" bestFit="1" customWidth="1"/>
    <col min="435" max="435" width="3.8984375" bestFit="1" customWidth="1"/>
    <col min="436" max="436" width="5.8984375" bestFit="1" customWidth="1"/>
    <col min="437" max="437" width="3.8984375" bestFit="1" customWidth="1"/>
    <col min="438" max="439" width="5.8984375" bestFit="1" customWidth="1"/>
    <col min="440" max="441" width="4.8984375" bestFit="1" customWidth="1"/>
    <col min="442" max="444" width="5.8984375" bestFit="1" customWidth="1"/>
    <col min="445" max="445" width="3.8984375" bestFit="1" customWidth="1"/>
    <col min="446" max="446" width="4.8984375" bestFit="1" customWidth="1"/>
    <col min="447" max="448" width="5.8984375" bestFit="1" customWidth="1"/>
    <col min="449" max="449" width="4.8984375" bestFit="1" customWidth="1"/>
    <col min="450" max="453" width="5.8984375" bestFit="1" customWidth="1"/>
    <col min="454" max="454" width="4.8984375" bestFit="1" customWidth="1"/>
    <col min="455" max="458" width="5.8984375" bestFit="1" customWidth="1"/>
    <col min="459" max="459" width="4.8984375" bestFit="1" customWidth="1"/>
    <col min="460" max="469" width="5.8984375" bestFit="1" customWidth="1"/>
    <col min="470" max="470" width="4.8984375" bestFit="1" customWidth="1"/>
    <col min="471" max="471" width="5.8984375" bestFit="1" customWidth="1"/>
    <col min="472" max="472" width="4.8984375" bestFit="1" customWidth="1"/>
    <col min="473" max="480" width="5.8984375" bestFit="1" customWidth="1"/>
    <col min="481" max="481" width="4.8984375" bestFit="1" customWidth="1"/>
    <col min="482" max="490" width="5.8984375" bestFit="1" customWidth="1"/>
    <col min="491" max="491" width="3.8984375" bestFit="1" customWidth="1"/>
    <col min="492" max="497" width="5.8984375" bestFit="1" customWidth="1"/>
    <col min="498" max="498" width="4.8984375" bestFit="1" customWidth="1"/>
    <col min="499" max="499" width="5.8984375" bestFit="1" customWidth="1"/>
    <col min="500" max="500" width="10.8984375" bestFit="1" customWidth="1"/>
  </cols>
  <sheetData>
    <row r="3" spans="1:10" x14ac:dyDescent="0.3">
      <c r="A3" s="1" t="s">
        <v>1271</v>
      </c>
      <c r="B3" t="s">
        <v>1272</v>
      </c>
    </row>
    <row r="4" spans="1:10" x14ac:dyDescent="0.3">
      <c r="A4" s="2" t="s">
        <v>40</v>
      </c>
      <c r="B4" s="6">
        <v>10473.970000000005</v>
      </c>
      <c r="E4" s="1" t="s">
        <v>1271</v>
      </c>
      <c r="F4" t="s">
        <v>1278</v>
      </c>
      <c r="H4" s="1" t="s">
        <v>1271</v>
      </c>
      <c r="I4" t="s">
        <v>1274</v>
      </c>
      <c r="J4" t="s">
        <v>1276</v>
      </c>
    </row>
    <row r="5" spans="1:10" x14ac:dyDescent="0.3">
      <c r="A5" s="2" t="s">
        <v>22</v>
      </c>
      <c r="B5" s="6">
        <v>12267.539999999995</v>
      </c>
      <c r="E5" s="2" t="s">
        <v>53</v>
      </c>
      <c r="F5" s="6">
        <v>5508</v>
      </c>
      <c r="H5" s="2">
        <v>1</v>
      </c>
      <c r="I5">
        <v>1475.5700000000006</v>
      </c>
      <c r="J5">
        <v>61809</v>
      </c>
    </row>
    <row r="6" spans="1:10" x14ac:dyDescent="0.3">
      <c r="A6" s="2" t="s">
        <v>26</v>
      </c>
      <c r="B6" s="6">
        <v>12596.830000000018</v>
      </c>
      <c r="E6" s="2" t="s">
        <v>25</v>
      </c>
      <c r="F6" s="6">
        <v>6495</v>
      </c>
      <c r="H6" s="2">
        <v>2</v>
      </c>
      <c r="I6">
        <v>1417.9600000000003</v>
      </c>
      <c r="J6">
        <v>58519</v>
      </c>
    </row>
    <row r="7" spans="1:10" x14ac:dyDescent="0.3">
      <c r="A7" s="2" t="s">
        <v>42</v>
      </c>
      <c r="B7" s="6">
        <v>11006.730000000001</v>
      </c>
      <c r="E7" s="2" t="s">
        <v>34</v>
      </c>
      <c r="F7" s="6">
        <v>6511</v>
      </c>
      <c r="H7" s="2">
        <v>3</v>
      </c>
      <c r="I7">
        <v>1441.8</v>
      </c>
      <c r="J7">
        <v>62400</v>
      </c>
    </row>
    <row r="8" spans="1:10" x14ac:dyDescent="0.3">
      <c r="A8" s="2" t="s">
        <v>35</v>
      </c>
      <c r="B8" s="6">
        <v>12734.21000000001</v>
      </c>
      <c r="E8" s="2" t="s">
        <v>29</v>
      </c>
      <c r="F8" s="6">
        <v>7162</v>
      </c>
      <c r="H8" s="2">
        <v>4</v>
      </c>
      <c r="I8">
        <v>1383.62</v>
      </c>
      <c r="J8">
        <v>61004</v>
      </c>
    </row>
    <row r="9" spans="1:10" x14ac:dyDescent="0.3">
      <c r="A9" s="2" t="s">
        <v>1273</v>
      </c>
      <c r="B9" s="6">
        <v>59079.280000000028</v>
      </c>
      <c r="E9" s="2" t="s">
        <v>31</v>
      </c>
      <c r="F9" s="6">
        <v>6082</v>
      </c>
      <c r="H9" s="2">
        <v>5</v>
      </c>
      <c r="I9">
        <v>1455.9399999999998</v>
      </c>
      <c r="J9">
        <v>58529</v>
      </c>
    </row>
    <row r="10" spans="1:10" x14ac:dyDescent="0.3">
      <c r="E10" s="2" t="s">
        <v>62</v>
      </c>
      <c r="F10" s="6">
        <v>6757</v>
      </c>
      <c r="H10" s="2">
        <v>6</v>
      </c>
      <c r="I10">
        <v>1394.9700000000003</v>
      </c>
      <c r="J10">
        <v>59055</v>
      </c>
    </row>
    <row r="11" spans="1:10" x14ac:dyDescent="0.3">
      <c r="E11" s="2" t="s">
        <v>37</v>
      </c>
      <c r="F11" s="6">
        <v>5704</v>
      </c>
      <c r="H11" s="2">
        <v>7</v>
      </c>
      <c r="I11">
        <v>1450.98</v>
      </c>
      <c r="J11">
        <v>60182</v>
      </c>
    </row>
    <row r="12" spans="1:10" x14ac:dyDescent="0.3">
      <c r="E12" s="2" t="s">
        <v>21</v>
      </c>
      <c r="F12" s="6">
        <v>6952</v>
      </c>
      <c r="H12" s="2">
        <v>8</v>
      </c>
      <c r="I12">
        <v>1305.06</v>
      </c>
      <c r="J12">
        <v>60368</v>
      </c>
    </row>
    <row r="13" spans="1:10" x14ac:dyDescent="0.3">
      <c r="E13" s="2" t="s">
        <v>1273</v>
      </c>
      <c r="F13" s="6">
        <v>51171</v>
      </c>
      <c r="H13" s="2">
        <v>9</v>
      </c>
      <c r="I13">
        <v>1421.7700000000007</v>
      </c>
      <c r="J13">
        <v>58593</v>
      </c>
    </row>
    <row r="14" spans="1:10" x14ac:dyDescent="0.3">
      <c r="H14" s="2">
        <v>10</v>
      </c>
      <c r="I14">
        <v>1437.8799999999999</v>
      </c>
      <c r="J14">
        <v>57009</v>
      </c>
    </row>
    <row r="15" spans="1:10" x14ac:dyDescent="0.3">
      <c r="H15" s="2">
        <v>11</v>
      </c>
      <c r="I15">
        <v>1431.1999999999994</v>
      </c>
      <c r="J15">
        <v>57462</v>
      </c>
    </row>
    <row r="16" spans="1:10" x14ac:dyDescent="0.3">
      <c r="H16" s="2">
        <v>12</v>
      </c>
      <c r="I16">
        <v>1207.8999999999996</v>
      </c>
      <c r="J16">
        <v>49247</v>
      </c>
    </row>
    <row r="17" spans="2:11" x14ac:dyDescent="0.3">
      <c r="H17" s="2" t="s">
        <v>1273</v>
      </c>
      <c r="I17">
        <v>16824.649999999998</v>
      </c>
      <c r="J17">
        <v>704177</v>
      </c>
    </row>
    <row r="19" spans="2:11" x14ac:dyDescent="0.3">
      <c r="B19" s="1" t="s">
        <v>1278</v>
      </c>
      <c r="C19" s="1" t="s">
        <v>1279</v>
      </c>
    </row>
    <row r="20" spans="2:11" x14ac:dyDescent="0.3">
      <c r="B20" s="1" t="s">
        <v>1271</v>
      </c>
      <c r="C20" t="s">
        <v>53</v>
      </c>
      <c r="D20" t="s">
        <v>25</v>
      </c>
      <c r="E20" t="s">
        <v>34</v>
      </c>
      <c r="F20" t="s">
        <v>29</v>
      </c>
      <c r="G20" t="s">
        <v>31</v>
      </c>
      <c r="H20" t="s">
        <v>62</v>
      </c>
      <c r="I20" t="s">
        <v>37</v>
      </c>
      <c r="J20" t="s">
        <v>21</v>
      </c>
      <c r="K20" t="s">
        <v>1273</v>
      </c>
    </row>
    <row r="21" spans="2:11" x14ac:dyDescent="0.3">
      <c r="B21" s="2" t="s">
        <v>27</v>
      </c>
      <c r="C21" s="6">
        <v>1165</v>
      </c>
      <c r="D21" s="6">
        <v>1498</v>
      </c>
      <c r="E21" s="6">
        <v>2070</v>
      </c>
      <c r="F21" s="6">
        <v>1353</v>
      </c>
      <c r="G21" s="6">
        <v>1395</v>
      </c>
      <c r="H21" s="6">
        <v>1256</v>
      </c>
      <c r="I21" s="6">
        <v>1051</v>
      </c>
      <c r="J21" s="6">
        <v>1504</v>
      </c>
      <c r="K21" s="6">
        <v>11292</v>
      </c>
    </row>
    <row r="22" spans="2:11" x14ac:dyDescent="0.3">
      <c r="B22" s="2" t="s">
        <v>38</v>
      </c>
      <c r="C22" s="6">
        <v>987</v>
      </c>
      <c r="D22" s="6">
        <v>1407</v>
      </c>
      <c r="E22" s="6">
        <v>876</v>
      </c>
      <c r="F22" s="6">
        <v>1367</v>
      </c>
      <c r="G22" s="6">
        <v>1168</v>
      </c>
      <c r="H22" s="6">
        <v>1429</v>
      </c>
      <c r="I22" s="6">
        <v>1156</v>
      </c>
      <c r="J22" s="6">
        <v>1389</v>
      </c>
      <c r="K22" s="6">
        <v>9779</v>
      </c>
    </row>
    <row r="23" spans="2:11" x14ac:dyDescent="0.3">
      <c r="B23" s="2" t="s">
        <v>47</v>
      </c>
      <c r="C23" s="6">
        <v>1254</v>
      </c>
      <c r="D23" s="6">
        <v>1322</v>
      </c>
      <c r="E23" s="6">
        <v>823</v>
      </c>
      <c r="F23" s="6">
        <v>1484</v>
      </c>
      <c r="G23" s="6">
        <v>1276</v>
      </c>
      <c r="H23" s="6">
        <v>1638</v>
      </c>
      <c r="I23" s="6">
        <v>1084</v>
      </c>
      <c r="J23" s="6">
        <v>1204</v>
      </c>
      <c r="K23" s="6">
        <v>10085</v>
      </c>
    </row>
    <row r="24" spans="2:11" x14ac:dyDescent="0.3">
      <c r="B24" s="2" t="s">
        <v>23</v>
      </c>
      <c r="C24" s="6">
        <v>909</v>
      </c>
      <c r="D24" s="6">
        <v>1182</v>
      </c>
      <c r="E24" s="6">
        <v>1329</v>
      </c>
      <c r="F24" s="6">
        <v>1400</v>
      </c>
      <c r="G24" s="6">
        <v>996</v>
      </c>
      <c r="H24" s="6">
        <v>1358</v>
      </c>
      <c r="I24" s="6">
        <v>1082</v>
      </c>
      <c r="J24" s="6">
        <v>1228</v>
      </c>
      <c r="K24" s="6">
        <v>9484</v>
      </c>
    </row>
    <row r="25" spans="2:11" x14ac:dyDescent="0.3">
      <c r="B25" s="2" t="s">
        <v>32</v>
      </c>
      <c r="C25" s="6">
        <v>1193</v>
      </c>
      <c r="D25" s="6">
        <v>1086</v>
      </c>
      <c r="E25" s="6">
        <v>1413</v>
      </c>
      <c r="F25" s="6">
        <v>1558</v>
      </c>
      <c r="G25" s="6">
        <v>1247</v>
      </c>
      <c r="H25" s="6">
        <v>1076</v>
      </c>
      <c r="I25" s="6">
        <v>1331</v>
      </c>
      <c r="J25" s="6">
        <v>1627</v>
      </c>
      <c r="K25" s="6">
        <v>10531</v>
      </c>
    </row>
    <row r="26" spans="2:11" x14ac:dyDescent="0.3">
      <c r="B26" s="2" t="s">
        <v>1273</v>
      </c>
      <c r="C26" s="6">
        <v>5508</v>
      </c>
      <c r="D26" s="6">
        <v>6495</v>
      </c>
      <c r="E26" s="6">
        <v>6511</v>
      </c>
      <c r="F26" s="6">
        <v>7162</v>
      </c>
      <c r="G26" s="6">
        <v>6082</v>
      </c>
      <c r="H26" s="6">
        <v>6757</v>
      </c>
      <c r="I26" s="6">
        <v>5704</v>
      </c>
      <c r="J26" s="6">
        <v>6952</v>
      </c>
      <c r="K26" s="6">
        <v>51171</v>
      </c>
    </row>
    <row r="28" spans="2:11" x14ac:dyDescent="0.3">
      <c r="C28" t="s">
        <v>1272</v>
      </c>
    </row>
    <row r="29" spans="2:11" x14ac:dyDescent="0.3">
      <c r="B29" t="s">
        <v>1259</v>
      </c>
      <c r="C29" s="6">
        <v>59079.280000000108</v>
      </c>
      <c r="D29" t="s">
        <v>1276</v>
      </c>
    </row>
    <row r="30" spans="2:11" x14ac:dyDescent="0.3">
      <c r="B30" t="s">
        <v>1224</v>
      </c>
      <c r="D30" s="6">
        <v>704177</v>
      </c>
      <c r="E30" t="s">
        <v>1280</v>
      </c>
    </row>
    <row r="31" spans="2:11" x14ac:dyDescent="0.3">
      <c r="B31" t="s">
        <v>1264</v>
      </c>
      <c r="E31">
        <v>352.08850000000001</v>
      </c>
      <c r="F31" t="s">
        <v>1277</v>
      </c>
    </row>
    <row r="32" spans="2:11" x14ac:dyDescent="0.3">
      <c r="B32" t="s">
        <v>1267</v>
      </c>
      <c r="C32" t="s">
        <v>1275</v>
      </c>
      <c r="F32" s="6">
        <v>1199520</v>
      </c>
    </row>
    <row r="33" spans="2:3" x14ac:dyDescent="0.3">
      <c r="B33" t="s">
        <v>1269</v>
      </c>
      <c r="C33" s="6">
        <v>695023.4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01"/>
  <sheetViews>
    <sheetView topLeftCell="K1" workbookViewId="0">
      <selection sqref="A1:S2001"/>
    </sheetView>
  </sheetViews>
  <sheetFormatPr defaultRowHeight="15.6" x14ac:dyDescent="0.3"/>
  <cols>
    <col min="1" max="1" width="10.796875" customWidth="1"/>
    <col min="2" max="2" width="12.796875" customWidth="1"/>
    <col min="3" max="3" width="8.796875" customWidth="1"/>
    <col min="4" max="4" width="10.796875" customWidth="1"/>
    <col min="5" max="5" width="8.796875" customWidth="1"/>
    <col min="6" max="6" width="18.796875" customWidth="1"/>
    <col min="7" max="7" width="16.796875" customWidth="1"/>
    <col min="8" max="8" width="18.796875" customWidth="1"/>
    <col min="9" max="9" width="20.796875" customWidth="1"/>
    <col min="10" max="11" width="16.796875" customWidth="1"/>
    <col min="12" max="12" width="24.796875" customWidth="1"/>
    <col min="13" max="13" width="20.796875" customWidth="1"/>
    <col min="14" max="14" width="22.796875" customWidth="1"/>
    <col min="15" max="15" width="20.796875" customWidth="1"/>
    <col min="16" max="16" width="22.796875" customWidth="1"/>
    <col min="17" max="17" width="20.796875" customWidth="1"/>
    <col min="18" max="18" width="18.796875" customWidth="1"/>
    <col min="19" max="19" width="15.7968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1</v>
      </c>
      <c r="B2" t="s">
        <v>19</v>
      </c>
      <c r="C2">
        <v>2020</v>
      </c>
      <c r="D2" t="s">
        <v>20</v>
      </c>
      <c r="E2">
        <v>1</v>
      </c>
      <c r="F2" t="s">
        <v>21</v>
      </c>
      <c r="G2" t="s">
        <v>22</v>
      </c>
      <c r="H2">
        <v>34.909999999999997</v>
      </c>
      <c r="I2" t="s">
        <v>23</v>
      </c>
      <c r="J2">
        <v>47</v>
      </c>
      <c r="K2">
        <v>524</v>
      </c>
      <c r="L2">
        <v>84.44</v>
      </c>
      <c r="M2">
        <v>26.48</v>
      </c>
      <c r="N2">
        <v>3.51</v>
      </c>
      <c r="O2">
        <v>6.52</v>
      </c>
      <c r="P2">
        <v>195.79</v>
      </c>
      <c r="Q2">
        <v>763</v>
      </c>
      <c r="R2">
        <v>4</v>
      </c>
      <c r="S2">
        <v>177</v>
      </c>
    </row>
    <row r="3" spans="1:19" x14ac:dyDescent="0.3">
      <c r="A3">
        <v>2</v>
      </c>
      <c r="B3" t="s">
        <v>24</v>
      </c>
      <c r="C3">
        <v>2020</v>
      </c>
      <c r="D3" t="s">
        <v>20</v>
      </c>
      <c r="E3">
        <v>1</v>
      </c>
      <c r="F3" t="s">
        <v>25</v>
      </c>
      <c r="G3" t="s">
        <v>26</v>
      </c>
      <c r="H3">
        <v>25.96</v>
      </c>
      <c r="I3" t="s">
        <v>27</v>
      </c>
      <c r="J3">
        <v>12</v>
      </c>
      <c r="K3">
        <v>128</v>
      </c>
      <c r="L3">
        <v>78.930000000000007</v>
      </c>
      <c r="M3">
        <v>15.2</v>
      </c>
      <c r="N3">
        <v>2.64</v>
      </c>
      <c r="O3">
        <v>4.49</v>
      </c>
      <c r="P3">
        <v>180.15</v>
      </c>
      <c r="Q3">
        <v>174</v>
      </c>
      <c r="R3">
        <v>3</v>
      </c>
      <c r="S3">
        <v>169</v>
      </c>
    </row>
    <row r="4" spans="1:19" x14ac:dyDescent="0.3">
      <c r="A4">
        <v>3</v>
      </c>
      <c r="B4" t="s">
        <v>28</v>
      </c>
      <c r="C4">
        <v>2020</v>
      </c>
      <c r="D4" t="s">
        <v>20</v>
      </c>
      <c r="E4">
        <v>1</v>
      </c>
      <c r="F4" t="s">
        <v>29</v>
      </c>
      <c r="G4" t="s">
        <v>22</v>
      </c>
      <c r="H4">
        <v>15.53</v>
      </c>
      <c r="I4" t="s">
        <v>27</v>
      </c>
      <c r="J4">
        <v>7</v>
      </c>
      <c r="K4">
        <v>275</v>
      </c>
      <c r="L4">
        <v>86.2</v>
      </c>
      <c r="M4">
        <v>19.73</v>
      </c>
      <c r="N4">
        <v>13.1</v>
      </c>
      <c r="O4">
        <v>10</v>
      </c>
      <c r="P4">
        <v>182.67</v>
      </c>
      <c r="Q4">
        <v>460</v>
      </c>
      <c r="R4">
        <v>5</v>
      </c>
      <c r="S4">
        <v>224</v>
      </c>
    </row>
    <row r="5" spans="1:19" x14ac:dyDescent="0.3">
      <c r="A5">
        <v>4</v>
      </c>
      <c r="B5" t="s">
        <v>30</v>
      </c>
      <c r="C5">
        <v>2020</v>
      </c>
      <c r="D5" t="s">
        <v>20</v>
      </c>
      <c r="E5">
        <v>1</v>
      </c>
      <c r="F5" t="s">
        <v>31</v>
      </c>
      <c r="G5" t="s">
        <v>26</v>
      </c>
      <c r="H5">
        <v>33.1</v>
      </c>
      <c r="I5" t="s">
        <v>32</v>
      </c>
      <c r="J5">
        <v>29</v>
      </c>
      <c r="K5">
        <v>582</v>
      </c>
      <c r="L5">
        <v>93.97</v>
      </c>
      <c r="M5">
        <v>27.68</v>
      </c>
      <c r="N5">
        <v>9.6300000000000008</v>
      </c>
      <c r="O5">
        <v>14.86</v>
      </c>
      <c r="P5">
        <v>298.52</v>
      </c>
      <c r="Q5">
        <v>385</v>
      </c>
      <c r="R5">
        <v>5</v>
      </c>
      <c r="S5">
        <v>152</v>
      </c>
    </row>
    <row r="6" spans="1:19" x14ac:dyDescent="0.3">
      <c r="A6">
        <v>5</v>
      </c>
      <c r="B6" t="s">
        <v>33</v>
      </c>
      <c r="C6">
        <v>2020</v>
      </c>
      <c r="D6" t="s">
        <v>20</v>
      </c>
      <c r="E6">
        <v>1</v>
      </c>
      <c r="F6" t="s">
        <v>34</v>
      </c>
      <c r="G6" t="s">
        <v>35</v>
      </c>
      <c r="H6">
        <v>47.49</v>
      </c>
      <c r="I6" t="s">
        <v>27</v>
      </c>
      <c r="J6">
        <v>12</v>
      </c>
      <c r="K6">
        <v>285</v>
      </c>
      <c r="L6">
        <v>75.989999999999995</v>
      </c>
      <c r="M6">
        <v>34.68</v>
      </c>
      <c r="N6">
        <v>20.6</v>
      </c>
      <c r="O6">
        <v>6</v>
      </c>
      <c r="P6">
        <v>412.14</v>
      </c>
      <c r="Q6">
        <v>685</v>
      </c>
      <c r="R6">
        <v>4</v>
      </c>
      <c r="S6">
        <v>62</v>
      </c>
    </row>
    <row r="7" spans="1:19" x14ac:dyDescent="0.3">
      <c r="A7">
        <v>6</v>
      </c>
      <c r="B7" t="s">
        <v>36</v>
      </c>
      <c r="C7">
        <v>2020</v>
      </c>
      <c r="D7" t="s">
        <v>20</v>
      </c>
      <c r="E7">
        <v>1</v>
      </c>
      <c r="F7" t="s">
        <v>37</v>
      </c>
      <c r="G7" t="s">
        <v>26</v>
      </c>
      <c r="H7">
        <v>21.1</v>
      </c>
      <c r="I7" t="s">
        <v>38</v>
      </c>
      <c r="J7">
        <v>1</v>
      </c>
      <c r="K7">
        <v>510</v>
      </c>
      <c r="L7">
        <v>81.34</v>
      </c>
      <c r="M7">
        <v>14.93</v>
      </c>
      <c r="N7">
        <v>3.88</v>
      </c>
      <c r="O7">
        <v>2.14</v>
      </c>
      <c r="P7">
        <v>455.14</v>
      </c>
      <c r="Q7">
        <v>555</v>
      </c>
      <c r="R7">
        <v>5</v>
      </c>
      <c r="S7">
        <v>121</v>
      </c>
    </row>
    <row r="8" spans="1:19" x14ac:dyDescent="0.3">
      <c r="A8">
        <v>7</v>
      </c>
      <c r="B8" t="s">
        <v>39</v>
      </c>
      <c r="C8">
        <v>2020</v>
      </c>
      <c r="D8" t="s">
        <v>20</v>
      </c>
      <c r="E8">
        <v>1</v>
      </c>
      <c r="F8" t="s">
        <v>29</v>
      </c>
      <c r="G8" t="s">
        <v>40</v>
      </c>
      <c r="H8">
        <v>22.75</v>
      </c>
      <c r="I8" t="s">
        <v>27</v>
      </c>
      <c r="J8">
        <v>14</v>
      </c>
      <c r="K8">
        <v>123</v>
      </c>
      <c r="L8">
        <v>92.35</v>
      </c>
      <c r="M8">
        <v>21.44</v>
      </c>
      <c r="N8">
        <v>10.7</v>
      </c>
      <c r="O8">
        <v>8.36</v>
      </c>
      <c r="P8">
        <v>303.23</v>
      </c>
      <c r="Q8">
        <v>645</v>
      </c>
      <c r="R8">
        <v>1</v>
      </c>
      <c r="S8">
        <v>105</v>
      </c>
    </row>
    <row r="9" spans="1:19" x14ac:dyDescent="0.3">
      <c r="A9">
        <v>8</v>
      </c>
      <c r="B9" t="s">
        <v>41</v>
      </c>
      <c r="C9">
        <v>2020</v>
      </c>
      <c r="D9" t="s">
        <v>20</v>
      </c>
      <c r="E9">
        <v>1</v>
      </c>
      <c r="F9" t="s">
        <v>37</v>
      </c>
      <c r="G9" t="s">
        <v>42</v>
      </c>
      <c r="H9">
        <v>17.329999999999998</v>
      </c>
      <c r="I9" t="s">
        <v>27</v>
      </c>
      <c r="J9">
        <v>32</v>
      </c>
      <c r="K9">
        <v>331</v>
      </c>
      <c r="L9">
        <v>85.78</v>
      </c>
      <c r="M9">
        <v>24.74</v>
      </c>
      <c r="N9">
        <v>8.7100000000000009</v>
      </c>
      <c r="O9">
        <v>13.62</v>
      </c>
      <c r="P9">
        <v>210.7</v>
      </c>
      <c r="Q9">
        <v>833</v>
      </c>
      <c r="R9">
        <v>1</v>
      </c>
      <c r="S9">
        <v>238</v>
      </c>
    </row>
    <row r="10" spans="1:19" x14ac:dyDescent="0.3">
      <c r="A10">
        <v>9</v>
      </c>
      <c r="B10" t="s">
        <v>43</v>
      </c>
      <c r="C10">
        <v>2020</v>
      </c>
      <c r="D10" t="s">
        <v>20</v>
      </c>
      <c r="E10">
        <v>1</v>
      </c>
      <c r="F10" t="s">
        <v>21</v>
      </c>
      <c r="G10" t="s">
        <v>40</v>
      </c>
      <c r="H10">
        <v>43.03</v>
      </c>
      <c r="I10" t="s">
        <v>27</v>
      </c>
      <c r="J10">
        <v>27</v>
      </c>
      <c r="K10">
        <v>514</v>
      </c>
      <c r="L10">
        <v>85.74</v>
      </c>
      <c r="M10">
        <v>15.95</v>
      </c>
      <c r="N10">
        <v>20.350000000000001</v>
      </c>
      <c r="O10">
        <v>15.51</v>
      </c>
      <c r="P10">
        <v>528.80999999999995</v>
      </c>
      <c r="Q10">
        <v>1072</v>
      </c>
      <c r="R10">
        <v>5</v>
      </c>
      <c r="S10">
        <v>190</v>
      </c>
    </row>
    <row r="11" spans="1:19" x14ac:dyDescent="0.3">
      <c r="A11">
        <v>10</v>
      </c>
      <c r="B11" t="s">
        <v>44</v>
      </c>
      <c r="C11">
        <v>2020</v>
      </c>
      <c r="D11" t="s">
        <v>20</v>
      </c>
      <c r="E11">
        <v>1</v>
      </c>
      <c r="F11" t="s">
        <v>34</v>
      </c>
      <c r="G11" t="s">
        <v>26</v>
      </c>
      <c r="H11">
        <v>40.22</v>
      </c>
      <c r="I11" t="s">
        <v>32</v>
      </c>
      <c r="J11">
        <v>43</v>
      </c>
      <c r="K11">
        <v>231</v>
      </c>
      <c r="L11">
        <v>75.27</v>
      </c>
      <c r="M11">
        <v>11.22</v>
      </c>
      <c r="N11">
        <v>16.100000000000001</v>
      </c>
      <c r="O11">
        <v>8.8699999999999992</v>
      </c>
      <c r="P11">
        <v>152.08000000000001</v>
      </c>
      <c r="Q11">
        <v>545</v>
      </c>
      <c r="R11">
        <v>1</v>
      </c>
      <c r="S11">
        <v>191</v>
      </c>
    </row>
    <row r="12" spans="1:19" x14ac:dyDescent="0.3">
      <c r="A12">
        <v>11</v>
      </c>
      <c r="B12" t="s">
        <v>19</v>
      </c>
      <c r="C12">
        <v>2020</v>
      </c>
      <c r="D12" t="s">
        <v>20</v>
      </c>
      <c r="E12">
        <v>1</v>
      </c>
      <c r="F12" t="s">
        <v>37</v>
      </c>
      <c r="G12" t="s">
        <v>40</v>
      </c>
      <c r="H12">
        <v>37.58</v>
      </c>
      <c r="I12" t="s">
        <v>23</v>
      </c>
      <c r="J12">
        <v>27</v>
      </c>
      <c r="K12">
        <v>256</v>
      </c>
      <c r="L12">
        <v>84.66</v>
      </c>
      <c r="M12">
        <v>14.66</v>
      </c>
      <c r="N12">
        <v>14.4</v>
      </c>
      <c r="O12">
        <v>14.26</v>
      </c>
      <c r="P12">
        <v>172.41</v>
      </c>
      <c r="Q12">
        <v>834</v>
      </c>
      <c r="R12">
        <v>2</v>
      </c>
      <c r="S12">
        <v>185</v>
      </c>
    </row>
    <row r="13" spans="1:19" x14ac:dyDescent="0.3">
      <c r="A13">
        <v>12</v>
      </c>
      <c r="B13" t="s">
        <v>36</v>
      </c>
      <c r="C13">
        <v>2020</v>
      </c>
      <c r="D13" t="s">
        <v>20</v>
      </c>
      <c r="E13">
        <v>1</v>
      </c>
      <c r="F13" t="s">
        <v>21</v>
      </c>
      <c r="G13" t="s">
        <v>42</v>
      </c>
      <c r="H13">
        <v>54.24</v>
      </c>
      <c r="I13" t="s">
        <v>27</v>
      </c>
      <c r="J13">
        <v>12</v>
      </c>
      <c r="K13">
        <v>225</v>
      </c>
      <c r="L13">
        <v>87.83</v>
      </c>
      <c r="M13">
        <v>21.38</v>
      </c>
      <c r="N13">
        <v>5</v>
      </c>
      <c r="O13">
        <v>8.43</v>
      </c>
      <c r="P13">
        <v>364.08</v>
      </c>
      <c r="Q13">
        <v>345</v>
      </c>
      <c r="R13">
        <v>1</v>
      </c>
      <c r="S13">
        <v>109</v>
      </c>
    </row>
    <row r="14" spans="1:19" x14ac:dyDescent="0.3">
      <c r="A14">
        <v>13</v>
      </c>
      <c r="B14" t="s">
        <v>45</v>
      </c>
      <c r="C14">
        <v>2020</v>
      </c>
      <c r="D14" t="s">
        <v>20</v>
      </c>
      <c r="E14">
        <v>1</v>
      </c>
      <c r="F14" t="s">
        <v>31</v>
      </c>
      <c r="G14" t="s">
        <v>26</v>
      </c>
      <c r="H14">
        <v>9.33</v>
      </c>
      <c r="I14" t="s">
        <v>27</v>
      </c>
      <c r="J14">
        <v>47</v>
      </c>
      <c r="K14">
        <v>469</v>
      </c>
      <c r="L14">
        <v>81.599999999999994</v>
      </c>
      <c r="M14">
        <v>10.35</v>
      </c>
      <c r="N14">
        <v>13.11</v>
      </c>
      <c r="O14">
        <v>14.93</v>
      </c>
      <c r="P14">
        <v>194.96</v>
      </c>
      <c r="Q14">
        <v>106</v>
      </c>
      <c r="R14">
        <v>4</v>
      </c>
      <c r="S14">
        <v>92</v>
      </c>
    </row>
    <row r="15" spans="1:19" x14ac:dyDescent="0.3">
      <c r="A15">
        <v>14</v>
      </c>
      <c r="B15" t="s">
        <v>46</v>
      </c>
      <c r="C15">
        <v>2020</v>
      </c>
      <c r="D15" t="s">
        <v>20</v>
      </c>
      <c r="E15">
        <v>1</v>
      </c>
      <c r="F15" t="s">
        <v>25</v>
      </c>
      <c r="G15" t="s">
        <v>22</v>
      </c>
      <c r="H15">
        <v>47.73</v>
      </c>
      <c r="I15" t="s">
        <v>47</v>
      </c>
      <c r="J15">
        <v>3</v>
      </c>
      <c r="K15">
        <v>413</v>
      </c>
      <c r="L15">
        <v>82.15</v>
      </c>
      <c r="M15">
        <v>10.83</v>
      </c>
      <c r="N15">
        <v>12.45</v>
      </c>
      <c r="O15">
        <v>11.74</v>
      </c>
      <c r="P15">
        <v>266.89</v>
      </c>
      <c r="Q15">
        <v>780</v>
      </c>
      <c r="R15">
        <v>1</v>
      </c>
      <c r="S15">
        <v>112</v>
      </c>
    </row>
    <row r="16" spans="1:19" x14ac:dyDescent="0.3">
      <c r="A16">
        <v>15</v>
      </c>
      <c r="B16" t="s">
        <v>19</v>
      </c>
      <c r="C16">
        <v>2020</v>
      </c>
      <c r="D16" t="s">
        <v>20</v>
      </c>
      <c r="E16">
        <v>1</v>
      </c>
      <c r="F16" t="s">
        <v>21</v>
      </c>
      <c r="G16" t="s">
        <v>40</v>
      </c>
      <c r="H16">
        <v>32.85</v>
      </c>
      <c r="I16" t="s">
        <v>27</v>
      </c>
      <c r="J16">
        <v>22</v>
      </c>
      <c r="K16">
        <v>293</v>
      </c>
      <c r="L16">
        <v>89.33</v>
      </c>
      <c r="M16">
        <v>12.37</v>
      </c>
      <c r="N16">
        <v>17.010000000000002</v>
      </c>
      <c r="O16">
        <v>9.8800000000000008</v>
      </c>
      <c r="P16">
        <v>296.31</v>
      </c>
      <c r="Q16">
        <v>1020</v>
      </c>
      <c r="R16">
        <v>3</v>
      </c>
      <c r="S16">
        <v>93</v>
      </c>
    </row>
    <row r="17" spans="1:19" x14ac:dyDescent="0.3">
      <c r="A17">
        <v>16</v>
      </c>
      <c r="B17" t="s">
        <v>48</v>
      </c>
      <c r="C17">
        <v>2020</v>
      </c>
      <c r="D17" t="s">
        <v>20</v>
      </c>
      <c r="E17">
        <v>1</v>
      </c>
      <c r="F17" t="s">
        <v>34</v>
      </c>
      <c r="G17" t="s">
        <v>35</v>
      </c>
      <c r="H17">
        <v>28.64</v>
      </c>
      <c r="I17" t="s">
        <v>23</v>
      </c>
      <c r="J17">
        <v>21</v>
      </c>
      <c r="K17">
        <v>223</v>
      </c>
      <c r="L17">
        <v>82.04</v>
      </c>
      <c r="M17">
        <v>13.72</v>
      </c>
      <c r="N17">
        <v>18.54</v>
      </c>
      <c r="O17">
        <v>1.54</v>
      </c>
      <c r="P17">
        <v>313.5</v>
      </c>
      <c r="Q17">
        <v>893</v>
      </c>
      <c r="R17">
        <v>2</v>
      </c>
      <c r="S17">
        <v>186</v>
      </c>
    </row>
    <row r="18" spans="1:19" x14ac:dyDescent="0.3">
      <c r="A18">
        <v>17</v>
      </c>
      <c r="B18" t="s">
        <v>49</v>
      </c>
      <c r="C18">
        <v>2020</v>
      </c>
      <c r="D18" t="s">
        <v>20</v>
      </c>
      <c r="E18">
        <v>1</v>
      </c>
      <c r="F18" t="s">
        <v>29</v>
      </c>
      <c r="G18" t="s">
        <v>40</v>
      </c>
      <c r="H18">
        <v>39.43</v>
      </c>
      <c r="I18" t="s">
        <v>38</v>
      </c>
      <c r="J18">
        <v>31</v>
      </c>
      <c r="K18">
        <v>472</v>
      </c>
      <c r="L18">
        <v>94.32</v>
      </c>
      <c r="M18">
        <v>21.26</v>
      </c>
      <c r="N18">
        <v>17.32</v>
      </c>
      <c r="O18">
        <v>15.76</v>
      </c>
      <c r="P18">
        <v>109.67</v>
      </c>
      <c r="Q18">
        <v>676</v>
      </c>
      <c r="R18">
        <v>5</v>
      </c>
      <c r="S18">
        <v>62</v>
      </c>
    </row>
    <row r="19" spans="1:19" x14ac:dyDescent="0.3">
      <c r="A19">
        <v>18</v>
      </c>
      <c r="B19" t="s">
        <v>49</v>
      </c>
      <c r="C19">
        <v>2020</v>
      </c>
      <c r="D19" t="s">
        <v>20</v>
      </c>
      <c r="E19">
        <v>1</v>
      </c>
      <c r="F19" t="s">
        <v>29</v>
      </c>
      <c r="G19" t="s">
        <v>26</v>
      </c>
      <c r="H19">
        <v>46.52</v>
      </c>
      <c r="I19" t="s">
        <v>38</v>
      </c>
      <c r="J19">
        <v>38</v>
      </c>
      <c r="K19">
        <v>542</v>
      </c>
      <c r="L19">
        <v>90.46</v>
      </c>
      <c r="M19">
        <v>32.659999999999997</v>
      </c>
      <c r="N19">
        <v>19.03</v>
      </c>
      <c r="O19">
        <v>8.98</v>
      </c>
      <c r="P19">
        <v>433.02</v>
      </c>
      <c r="Q19">
        <v>635</v>
      </c>
      <c r="R19">
        <v>5</v>
      </c>
      <c r="S19">
        <v>181</v>
      </c>
    </row>
    <row r="20" spans="1:19" x14ac:dyDescent="0.3">
      <c r="A20">
        <v>19</v>
      </c>
      <c r="B20" t="s">
        <v>50</v>
      </c>
      <c r="C20">
        <v>2020</v>
      </c>
      <c r="D20" t="s">
        <v>20</v>
      </c>
      <c r="E20">
        <v>1</v>
      </c>
      <c r="F20" t="s">
        <v>37</v>
      </c>
      <c r="G20" t="s">
        <v>26</v>
      </c>
      <c r="H20">
        <v>52.39</v>
      </c>
      <c r="I20" t="s">
        <v>38</v>
      </c>
      <c r="J20">
        <v>14</v>
      </c>
      <c r="K20">
        <v>500</v>
      </c>
      <c r="L20">
        <v>88.66</v>
      </c>
      <c r="M20">
        <v>7.71</v>
      </c>
      <c r="N20">
        <v>21.15</v>
      </c>
      <c r="O20">
        <v>9.76</v>
      </c>
      <c r="P20">
        <v>463.52</v>
      </c>
      <c r="Q20">
        <v>249</v>
      </c>
      <c r="R20">
        <v>5</v>
      </c>
      <c r="S20">
        <v>211</v>
      </c>
    </row>
    <row r="21" spans="1:19" x14ac:dyDescent="0.3">
      <c r="A21">
        <v>20</v>
      </c>
      <c r="B21" t="s">
        <v>51</v>
      </c>
      <c r="C21">
        <v>2020</v>
      </c>
      <c r="D21" t="s">
        <v>20</v>
      </c>
      <c r="E21">
        <v>1</v>
      </c>
      <c r="F21" t="s">
        <v>31</v>
      </c>
      <c r="G21" t="s">
        <v>35</v>
      </c>
      <c r="H21">
        <v>29.11</v>
      </c>
      <c r="I21" t="s">
        <v>23</v>
      </c>
      <c r="J21">
        <v>22</v>
      </c>
      <c r="K21">
        <v>131</v>
      </c>
      <c r="L21">
        <v>94.11</v>
      </c>
      <c r="M21">
        <v>23.67</v>
      </c>
      <c r="N21">
        <v>12.99</v>
      </c>
      <c r="O21">
        <v>15.13</v>
      </c>
      <c r="P21">
        <v>499.81</v>
      </c>
      <c r="Q21">
        <v>461</v>
      </c>
      <c r="R21">
        <v>3</v>
      </c>
      <c r="S21">
        <v>200</v>
      </c>
    </row>
    <row r="22" spans="1:19" x14ac:dyDescent="0.3">
      <c r="A22">
        <v>21</v>
      </c>
      <c r="B22" t="s">
        <v>52</v>
      </c>
      <c r="C22">
        <v>2020</v>
      </c>
      <c r="D22" t="s">
        <v>20</v>
      </c>
      <c r="E22">
        <v>1</v>
      </c>
      <c r="F22" t="s">
        <v>53</v>
      </c>
      <c r="G22" t="s">
        <v>35</v>
      </c>
      <c r="H22">
        <v>36.83</v>
      </c>
      <c r="I22" t="s">
        <v>38</v>
      </c>
      <c r="J22">
        <v>15</v>
      </c>
      <c r="K22">
        <v>405</v>
      </c>
      <c r="L22">
        <v>93.73</v>
      </c>
      <c r="M22">
        <v>33.64</v>
      </c>
      <c r="N22">
        <v>21.09</v>
      </c>
      <c r="O22">
        <v>2.14</v>
      </c>
      <c r="P22">
        <v>104.28</v>
      </c>
      <c r="Q22">
        <v>995</v>
      </c>
      <c r="R22">
        <v>4</v>
      </c>
      <c r="S22">
        <v>63</v>
      </c>
    </row>
    <row r="23" spans="1:19" x14ac:dyDescent="0.3">
      <c r="A23">
        <v>22</v>
      </c>
      <c r="B23" t="s">
        <v>54</v>
      </c>
      <c r="C23">
        <v>2020</v>
      </c>
      <c r="D23" t="s">
        <v>20</v>
      </c>
      <c r="E23">
        <v>1</v>
      </c>
      <c r="F23" t="s">
        <v>31</v>
      </c>
      <c r="G23" t="s">
        <v>35</v>
      </c>
      <c r="H23">
        <v>26.6</v>
      </c>
      <c r="I23" t="s">
        <v>27</v>
      </c>
      <c r="J23">
        <v>40</v>
      </c>
      <c r="K23">
        <v>104</v>
      </c>
      <c r="L23">
        <v>80.38</v>
      </c>
      <c r="M23">
        <v>7.7</v>
      </c>
      <c r="N23">
        <v>12.69</v>
      </c>
      <c r="O23">
        <v>13.47</v>
      </c>
      <c r="P23">
        <v>112.82</v>
      </c>
      <c r="Q23">
        <v>519</v>
      </c>
      <c r="R23">
        <v>3</v>
      </c>
      <c r="S23">
        <v>168</v>
      </c>
    </row>
    <row r="24" spans="1:19" x14ac:dyDescent="0.3">
      <c r="A24">
        <v>23</v>
      </c>
      <c r="B24" t="s">
        <v>48</v>
      </c>
      <c r="C24">
        <v>2020</v>
      </c>
      <c r="D24" t="s">
        <v>20</v>
      </c>
      <c r="E24">
        <v>1</v>
      </c>
      <c r="F24" t="s">
        <v>37</v>
      </c>
      <c r="G24" t="s">
        <v>35</v>
      </c>
      <c r="H24">
        <v>42.96</v>
      </c>
      <c r="I24" t="s">
        <v>32</v>
      </c>
      <c r="J24">
        <v>10</v>
      </c>
      <c r="K24">
        <v>442</v>
      </c>
      <c r="L24">
        <v>87.93</v>
      </c>
      <c r="M24">
        <v>18.14</v>
      </c>
      <c r="N24">
        <v>20.13</v>
      </c>
      <c r="O24">
        <v>3.35</v>
      </c>
      <c r="P24">
        <v>129.32</v>
      </c>
      <c r="Q24">
        <v>228</v>
      </c>
      <c r="R24">
        <v>4</v>
      </c>
      <c r="S24">
        <v>190</v>
      </c>
    </row>
    <row r="25" spans="1:19" x14ac:dyDescent="0.3">
      <c r="A25">
        <v>24</v>
      </c>
      <c r="B25" t="s">
        <v>46</v>
      </c>
      <c r="C25">
        <v>2020</v>
      </c>
      <c r="D25" t="s">
        <v>20</v>
      </c>
      <c r="E25">
        <v>1</v>
      </c>
      <c r="F25" t="s">
        <v>31</v>
      </c>
      <c r="G25" t="s">
        <v>22</v>
      </c>
      <c r="H25">
        <v>26.39</v>
      </c>
      <c r="I25" t="s">
        <v>23</v>
      </c>
      <c r="J25">
        <v>12</v>
      </c>
      <c r="K25">
        <v>482</v>
      </c>
      <c r="L25">
        <v>87.54</v>
      </c>
      <c r="M25">
        <v>5.43</v>
      </c>
      <c r="N25">
        <v>7.94</v>
      </c>
      <c r="O25">
        <v>13.84</v>
      </c>
      <c r="P25">
        <v>161.79</v>
      </c>
      <c r="Q25">
        <v>449</v>
      </c>
      <c r="R25">
        <v>1</v>
      </c>
      <c r="S25">
        <v>71</v>
      </c>
    </row>
    <row r="26" spans="1:19" x14ac:dyDescent="0.3">
      <c r="A26">
        <v>25</v>
      </c>
      <c r="B26" t="s">
        <v>52</v>
      </c>
      <c r="C26">
        <v>2020</v>
      </c>
      <c r="D26" t="s">
        <v>20</v>
      </c>
      <c r="E26">
        <v>1</v>
      </c>
      <c r="F26" t="s">
        <v>21</v>
      </c>
      <c r="G26" t="s">
        <v>26</v>
      </c>
      <c r="H26">
        <v>33.880000000000003</v>
      </c>
      <c r="I26" t="s">
        <v>32</v>
      </c>
      <c r="J26">
        <v>13</v>
      </c>
      <c r="K26">
        <v>431</v>
      </c>
      <c r="L26">
        <v>85.35</v>
      </c>
      <c r="M26">
        <v>8.41</v>
      </c>
      <c r="N26">
        <v>20.32</v>
      </c>
      <c r="O26">
        <v>11.48</v>
      </c>
      <c r="P26">
        <v>450.5</v>
      </c>
      <c r="Q26">
        <v>199</v>
      </c>
      <c r="R26">
        <v>2</v>
      </c>
      <c r="S26">
        <v>80</v>
      </c>
    </row>
    <row r="27" spans="1:19" x14ac:dyDescent="0.3">
      <c r="A27">
        <v>26</v>
      </c>
      <c r="B27" t="s">
        <v>44</v>
      </c>
      <c r="C27">
        <v>2020</v>
      </c>
      <c r="D27" t="s">
        <v>20</v>
      </c>
      <c r="E27">
        <v>1</v>
      </c>
      <c r="F27" t="s">
        <v>37</v>
      </c>
      <c r="G27" t="s">
        <v>40</v>
      </c>
      <c r="H27">
        <v>15.61</v>
      </c>
      <c r="I27" t="s">
        <v>32</v>
      </c>
      <c r="J27">
        <v>45</v>
      </c>
      <c r="K27">
        <v>282</v>
      </c>
      <c r="L27">
        <v>92.4</v>
      </c>
      <c r="M27">
        <v>16.88</v>
      </c>
      <c r="N27">
        <v>9.9600000000000009</v>
      </c>
      <c r="O27">
        <v>1.76</v>
      </c>
      <c r="P27">
        <v>162.87</v>
      </c>
      <c r="Q27">
        <v>446</v>
      </c>
      <c r="R27">
        <v>5</v>
      </c>
      <c r="S27">
        <v>233</v>
      </c>
    </row>
    <row r="28" spans="1:19" x14ac:dyDescent="0.3">
      <c r="A28">
        <v>27</v>
      </c>
      <c r="B28" t="s">
        <v>41</v>
      </c>
      <c r="C28">
        <v>2020</v>
      </c>
      <c r="D28" t="s">
        <v>20</v>
      </c>
      <c r="E28">
        <v>1</v>
      </c>
      <c r="F28" t="s">
        <v>31</v>
      </c>
      <c r="G28" t="s">
        <v>22</v>
      </c>
      <c r="H28">
        <v>18.43</v>
      </c>
      <c r="I28" t="s">
        <v>27</v>
      </c>
      <c r="J28">
        <v>36</v>
      </c>
      <c r="K28">
        <v>201</v>
      </c>
      <c r="L28">
        <v>77.41</v>
      </c>
      <c r="M28">
        <v>5.71</v>
      </c>
      <c r="N28">
        <v>20.04</v>
      </c>
      <c r="O28">
        <v>1.1299999999999999</v>
      </c>
      <c r="P28">
        <v>234.08</v>
      </c>
      <c r="Q28">
        <v>460</v>
      </c>
      <c r="R28">
        <v>4</v>
      </c>
      <c r="S28">
        <v>66</v>
      </c>
    </row>
    <row r="29" spans="1:19" x14ac:dyDescent="0.3">
      <c r="A29">
        <v>28</v>
      </c>
      <c r="B29" t="s">
        <v>50</v>
      </c>
      <c r="C29">
        <v>2020</v>
      </c>
      <c r="D29" t="s">
        <v>20</v>
      </c>
      <c r="E29">
        <v>1</v>
      </c>
      <c r="F29" t="s">
        <v>29</v>
      </c>
      <c r="G29" t="s">
        <v>42</v>
      </c>
      <c r="H29">
        <v>23.85</v>
      </c>
      <c r="I29" t="s">
        <v>38</v>
      </c>
      <c r="J29">
        <v>24</v>
      </c>
      <c r="K29">
        <v>103</v>
      </c>
      <c r="L29">
        <v>86.35</v>
      </c>
      <c r="M29">
        <v>33.090000000000003</v>
      </c>
      <c r="N29">
        <v>18.010000000000002</v>
      </c>
      <c r="O29">
        <v>15.67</v>
      </c>
      <c r="P29">
        <v>466.36</v>
      </c>
      <c r="Q29">
        <v>601</v>
      </c>
      <c r="R29">
        <v>2</v>
      </c>
      <c r="S29">
        <v>230</v>
      </c>
    </row>
    <row r="30" spans="1:19" x14ac:dyDescent="0.3">
      <c r="A30">
        <v>29</v>
      </c>
      <c r="B30" t="s">
        <v>55</v>
      </c>
      <c r="C30">
        <v>2020</v>
      </c>
      <c r="D30" t="s">
        <v>20</v>
      </c>
      <c r="E30">
        <v>1</v>
      </c>
      <c r="F30" t="s">
        <v>31</v>
      </c>
      <c r="G30" t="s">
        <v>26</v>
      </c>
      <c r="H30">
        <v>22.1</v>
      </c>
      <c r="I30" t="s">
        <v>23</v>
      </c>
      <c r="J30">
        <v>43</v>
      </c>
      <c r="K30">
        <v>255</v>
      </c>
      <c r="L30">
        <v>82.57</v>
      </c>
      <c r="M30">
        <v>27.15</v>
      </c>
      <c r="N30">
        <v>21.6</v>
      </c>
      <c r="O30">
        <v>3.92</v>
      </c>
      <c r="P30">
        <v>539.25</v>
      </c>
      <c r="Q30">
        <v>589</v>
      </c>
      <c r="R30">
        <v>4</v>
      </c>
      <c r="S30">
        <v>193</v>
      </c>
    </row>
    <row r="31" spans="1:19" x14ac:dyDescent="0.3">
      <c r="A31">
        <v>30</v>
      </c>
      <c r="B31" t="s">
        <v>48</v>
      </c>
      <c r="C31">
        <v>2020</v>
      </c>
      <c r="D31" t="s">
        <v>20</v>
      </c>
      <c r="E31">
        <v>1</v>
      </c>
      <c r="F31" t="s">
        <v>21</v>
      </c>
      <c r="G31" t="s">
        <v>40</v>
      </c>
      <c r="H31">
        <v>32.43</v>
      </c>
      <c r="I31" t="s">
        <v>38</v>
      </c>
      <c r="J31">
        <v>43</v>
      </c>
      <c r="K31">
        <v>586</v>
      </c>
      <c r="L31">
        <v>77.39</v>
      </c>
      <c r="M31">
        <v>12.58</v>
      </c>
      <c r="N31">
        <v>11.06</v>
      </c>
      <c r="O31">
        <v>8.74</v>
      </c>
      <c r="P31">
        <v>425.82</v>
      </c>
      <c r="Q31">
        <v>203</v>
      </c>
      <c r="R31">
        <v>5</v>
      </c>
      <c r="S31">
        <v>78</v>
      </c>
    </row>
    <row r="32" spans="1:19" x14ac:dyDescent="0.3">
      <c r="A32">
        <v>31</v>
      </c>
      <c r="B32" t="s">
        <v>56</v>
      </c>
      <c r="C32">
        <v>2020</v>
      </c>
      <c r="D32" t="s">
        <v>20</v>
      </c>
      <c r="E32">
        <v>1</v>
      </c>
      <c r="F32" t="s">
        <v>21</v>
      </c>
      <c r="G32" t="s">
        <v>22</v>
      </c>
      <c r="H32">
        <v>8.3000000000000007</v>
      </c>
      <c r="I32" t="s">
        <v>32</v>
      </c>
      <c r="J32">
        <v>32</v>
      </c>
      <c r="K32">
        <v>595</v>
      </c>
      <c r="L32">
        <v>80.06</v>
      </c>
      <c r="M32">
        <v>23.65</v>
      </c>
      <c r="N32">
        <v>6.37</v>
      </c>
      <c r="O32">
        <v>2.2799999999999998</v>
      </c>
      <c r="P32">
        <v>563.55999999999995</v>
      </c>
      <c r="Q32">
        <v>251</v>
      </c>
      <c r="R32">
        <v>4</v>
      </c>
      <c r="S32">
        <v>126</v>
      </c>
    </row>
    <row r="33" spans="1:19" x14ac:dyDescent="0.3">
      <c r="A33">
        <v>32</v>
      </c>
      <c r="B33" t="s">
        <v>57</v>
      </c>
      <c r="C33">
        <v>2020</v>
      </c>
      <c r="D33" t="s">
        <v>20</v>
      </c>
      <c r="E33">
        <v>1</v>
      </c>
      <c r="F33" t="s">
        <v>53</v>
      </c>
      <c r="G33" t="s">
        <v>26</v>
      </c>
      <c r="H33">
        <v>33.909999999999997</v>
      </c>
      <c r="I33" t="s">
        <v>38</v>
      </c>
      <c r="J33">
        <v>22</v>
      </c>
      <c r="K33">
        <v>112</v>
      </c>
      <c r="L33">
        <v>89.89</v>
      </c>
      <c r="M33">
        <v>19.43</v>
      </c>
      <c r="N33">
        <v>12.41</v>
      </c>
      <c r="O33">
        <v>11.87</v>
      </c>
      <c r="P33">
        <v>165.55</v>
      </c>
      <c r="Q33">
        <v>994</v>
      </c>
      <c r="R33">
        <v>1</v>
      </c>
      <c r="S33">
        <v>120</v>
      </c>
    </row>
    <row r="34" spans="1:19" x14ac:dyDescent="0.3">
      <c r="A34">
        <v>33</v>
      </c>
      <c r="B34" t="s">
        <v>43</v>
      </c>
      <c r="C34">
        <v>2020</v>
      </c>
      <c r="D34" t="s">
        <v>20</v>
      </c>
      <c r="E34">
        <v>1</v>
      </c>
      <c r="F34" t="s">
        <v>53</v>
      </c>
      <c r="G34" t="s">
        <v>35</v>
      </c>
      <c r="H34">
        <v>37.869999999999997</v>
      </c>
      <c r="I34" t="s">
        <v>32</v>
      </c>
      <c r="J34">
        <v>29</v>
      </c>
      <c r="K34">
        <v>187</v>
      </c>
      <c r="L34">
        <v>90.31</v>
      </c>
      <c r="M34">
        <v>17.420000000000002</v>
      </c>
      <c r="N34">
        <v>9.08</v>
      </c>
      <c r="O34">
        <v>1.07</v>
      </c>
      <c r="P34">
        <v>178.99</v>
      </c>
      <c r="Q34">
        <v>275</v>
      </c>
      <c r="R34">
        <v>4</v>
      </c>
      <c r="S34">
        <v>158</v>
      </c>
    </row>
    <row r="35" spans="1:19" x14ac:dyDescent="0.3">
      <c r="A35">
        <v>34</v>
      </c>
      <c r="B35" t="s">
        <v>57</v>
      </c>
      <c r="C35">
        <v>2020</v>
      </c>
      <c r="D35" t="s">
        <v>20</v>
      </c>
      <c r="E35">
        <v>1</v>
      </c>
      <c r="F35" t="s">
        <v>29</v>
      </c>
      <c r="G35" t="s">
        <v>42</v>
      </c>
      <c r="H35">
        <v>50.52</v>
      </c>
      <c r="I35" t="s">
        <v>47</v>
      </c>
      <c r="J35">
        <v>48</v>
      </c>
      <c r="K35">
        <v>597</v>
      </c>
      <c r="L35">
        <v>85.92</v>
      </c>
      <c r="M35">
        <v>14.4</v>
      </c>
      <c r="N35">
        <v>3.53</v>
      </c>
      <c r="O35">
        <v>1.58</v>
      </c>
      <c r="P35">
        <v>474.45</v>
      </c>
      <c r="Q35">
        <v>959</v>
      </c>
      <c r="R35">
        <v>4</v>
      </c>
      <c r="S35">
        <v>99</v>
      </c>
    </row>
    <row r="36" spans="1:19" x14ac:dyDescent="0.3">
      <c r="A36">
        <v>35</v>
      </c>
      <c r="B36" t="s">
        <v>58</v>
      </c>
      <c r="C36">
        <v>2020</v>
      </c>
      <c r="D36" t="s">
        <v>20</v>
      </c>
      <c r="E36">
        <v>2</v>
      </c>
      <c r="F36" t="s">
        <v>53</v>
      </c>
      <c r="G36" t="s">
        <v>35</v>
      </c>
      <c r="H36">
        <v>42.29</v>
      </c>
      <c r="I36" t="s">
        <v>23</v>
      </c>
      <c r="J36">
        <v>44</v>
      </c>
      <c r="K36">
        <v>438</v>
      </c>
      <c r="L36">
        <v>86.69</v>
      </c>
      <c r="M36">
        <v>34.07</v>
      </c>
      <c r="N36">
        <v>13.99</v>
      </c>
      <c r="O36">
        <v>13.05</v>
      </c>
      <c r="P36">
        <v>196.11</v>
      </c>
      <c r="Q36">
        <v>1062</v>
      </c>
      <c r="R36">
        <v>5</v>
      </c>
      <c r="S36">
        <v>83</v>
      </c>
    </row>
    <row r="37" spans="1:19" x14ac:dyDescent="0.3">
      <c r="A37">
        <v>36</v>
      </c>
      <c r="B37" t="s">
        <v>59</v>
      </c>
      <c r="C37">
        <v>2020</v>
      </c>
      <c r="D37" t="s">
        <v>20</v>
      </c>
      <c r="E37">
        <v>2</v>
      </c>
      <c r="F37" t="s">
        <v>37</v>
      </c>
      <c r="G37" t="s">
        <v>42</v>
      </c>
      <c r="H37">
        <v>50.9</v>
      </c>
      <c r="I37" t="s">
        <v>27</v>
      </c>
      <c r="J37">
        <v>16</v>
      </c>
      <c r="K37">
        <v>418</v>
      </c>
      <c r="L37">
        <v>94.9</v>
      </c>
      <c r="M37">
        <v>12.36</v>
      </c>
      <c r="N37">
        <v>19.36</v>
      </c>
      <c r="O37">
        <v>14.45</v>
      </c>
      <c r="P37">
        <v>156.05000000000001</v>
      </c>
      <c r="Q37">
        <v>114</v>
      </c>
      <c r="R37">
        <v>2</v>
      </c>
      <c r="S37">
        <v>86</v>
      </c>
    </row>
    <row r="38" spans="1:19" x14ac:dyDescent="0.3">
      <c r="A38">
        <v>37</v>
      </c>
      <c r="B38" t="s">
        <v>60</v>
      </c>
      <c r="C38">
        <v>2020</v>
      </c>
      <c r="D38" t="s">
        <v>20</v>
      </c>
      <c r="E38">
        <v>2</v>
      </c>
      <c r="F38" t="s">
        <v>29</v>
      </c>
      <c r="G38" t="s">
        <v>42</v>
      </c>
      <c r="H38">
        <v>31.98</v>
      </c>
      <c r="I38" t="s">
        <v>27</v>
      </c>
      <c r="J38">
        <v>38</v>
      </c>
      <c r="K38">
        <v>223</v>
      </c>
      <c r="L38">
        <v>83.59</v>
      </c>
      <c r="M38">
        <v>29.99</v>
      </c>
      <c r="N38">
        <v>4.53</v>
      </c>
      <c r="O38">
        <v>3.56</v>
      </c>
      <c r="P38">
        <v>598.17999999999995</v>
      </c>
      <c r="Q38">
        <v>469</v>
      </c>
      <c r="R38">
        <v>1</v>
      </c>
      <c r="S38">
        <v>166</v>
      </c>
    </row>
    <row r="39" spans="1:19" x14ac:dyDescent="0.3">
      <c r="A39">
        <v>38</v>
      </c>
      <c r="B39" t="s">
        <v>61</v>
      </c>
      <c r="C39">
        <v>2020</v>
      </c>
      <c r="D39" t="s">
        <v>20</v>
      </c>
      <c r="E39">
        <v>2</v>
      </c>
      <c r="F39" t="s">
        <v>62</v>
      </c>
      <c r="G39" t="s">
        <v>26</v>
      </c>
      <c r="H39">
        <v>21.88</v>
      </c>
      <c r="I39" t="s">
        <v>32</v>
      </c>
      <c r="J39">
        <v>8</v>
      </c>
      <c r="K39">
        <v>533</v>
      </c>
      <c r="L39">
        <v>79.47</v>
      </c>
      <c r="M39">
        <v>6</v>
      </c>
      <c r="N39">
        <v>15.3</v>
      </c>
      <c r="O39">
        <v>7.6</v>
      </c>
      <c r="P39">
        <v>575.91</v>
      </c>
      <c r="Q39">
        <v>856</v>
      </c>
      <c r="R39">
        <v>2</v>
      </c>
      <c r="S39">
        <v>210</v>
      </c>
    </row>
    <row r="40" spans="1:19" x14ac:dyDescent="0.3">
      <c r="A40">
        <v>39</v>
      </c>
      <c r="B40" t="s">
        <v>63</v>
      </c>
      <c r="C40">
        <v>2020</v>
      </c>
      <c r="D40" t="s">
        <v>20</v>
      </c>
      <c r="E40">
        <v>2</v>
      </c>
      <c r="F40" t="s">
        <v>53</v>
      </c>
      <c r="G40" t="s">
        <v>26</v>
      </c>
      <c r="H40">
        <v>19.47</v>
      </c>
      <c r="I40" t="s">
        <v>32</v>
      </c>
      <c r="J40">
        <v>38</v>
      </c>
      <c r="K40">
        <v>387</v>
      </c>
      <c r="L40">
        <v>90.66</v>
      </c>
      <c r="M40">
        <v>15.78</v>
      </c>
      <c r="N40">
        <v>14.24</v>
      </c>
      <c r="O40">
        <v>13.05</v>
      </c>
      <c r="P40">
        <v>590.74</v>
      </c>
      <c r="Q40">
        <v>185</v>
      </c>
      <c r="R40">
        <v>4</v>
      </c>
      <c r="S40">
        <v>179</v>
      </c>
    </row>
    <row r="41" spans="1:19" x14ac:dyDescent="0.3">
      <c r="A41">
        <v>40</v>
      </c>
      <c r="B41" t="s">
        <v>64</v>
      </c>
      <c r="C41">
        <v>2020</v>
      </c>
      <c r="D41" t="s">
        <v>20</v>
      </c>
      <c r="E41">
        <v>2</v>
      </c>
      <c r="F41" t="s">
        <v>21</v>
      </c>
      <c r="G41" t="s">
        <v>22</v>
      </c>
      <c r="H41">
        <v>25.27</v>
      </c>
      <c r="I41" t="s">
        <v>32</v>
      </c>
      <c r="J41">
        <v>46</v>
      </c>
      <c r="K41">
        <v>296</v>
      </c>
      <c r="L41">
        <v>89.03</v>
      </c>
      <c r="M41">
        <v>20.350000000000001</v>
      </c>
      <c r="N41">
        <v>7.44</v>
      </c>
      <c r="O41">
        <v>10.220000000000001</v>
      </c>
      <c r="P41">
        <v>132.52000000000001</v>
      </c>
      <c r="Q41">
        <v>686</v>
      </c>
      <c r="R41">
        <v>5</v>
      </c>
      <c r="S41">
        <v>68</v>
      </c>
    </row>
    <row r="42" spans="1:19" x14ac:dyDescent="0.3">
      <c r="A42">
        <v>41</v>
      </c>
      <c r="B42" t="s">
        <v>65</v>
      </c>
      <c r="C42">
        <v>2020</v>
      </c>
      <c r="D42" t="s">
        <v>20</v>
      </c>
      <c r="E42">
        <v>2</v>
      </c>
      <c r="F42" t="s">
        <v>31</v>
      </c>
      <c r="G42" t="s">
        <v>35</v>
      </c>
      <c r="H42">
        <v>16.02</v>
      </c>
      <c r="I42" t="s">
        <v>23</v>
      </c>
      <c r="J42">
        <v>9</v>
      </c>
      <c r="K42">
        <v>452</v>
      </c>
      <c r="L42">
        <v>93.76</v>
      </c>
      <c r="M42">
        <v>31.01</v>
      </c>
      <c r="N42">
        <v>18.8</v>
      </c>
      <c r="O42">
        <v>5.71</v>
      </c>
      <c r="P42">
        <v>157.68</v>
      </c>
      <c r="Q42">
        <v>442</v>
      </c>
      <c r="R42">
        <v>3</v>
      </c>
      <c r="S42">
        <v>222</v>
      </c>
    </row>
    <row r="43" spans="1:19" x14ac:dyDescent="0.3">
      <c r="A43">
        <v>42</v>
      </c>
      <c r="B43" t="s">
        <v>60</v>
      </c>
      <c r="C43">
        <v>2020</v>
      </c>
      <c r="D43" t="s">
        <v>20</v>
      </c>
      <c r="E43">
        <v>2</v>
      </c>
      <c r="F43" t="s">
        <v>25</v>
      </c>
      <c r="G43" t="s">
        <v>35</v>
      </c>
      <c r="H43">
        <v>39.56</v>
      </c>
      <c r="I43" t="s">
        <v>47</v>
      </c>
      <c r="J43">
        <v>47</v>
      </c>
      <c r="K43">
        <v>324</v>
      </c>
      <c r="L43">
        <v>84.8</v>
      </c>
      <c r="M43">
        <v>27.35</v>
      </c>
      <c r="N43">
        <v>3.35</v>
      </c>
      <c r="O43">
        <v>6.8</v>
      </c>
      <c r="P43">
        <v>541.79999999999995</v>
      </c>
      <c r="Q43">
        <v>225</v>
      </c>
      <c r="R43">
        <v>3</v>
      </c>
      <c r="S43">
        <v>122</v>
      </c>
    </row>
    <row r="44" spans="1:19" x14ac:dyDescent="0.3">
      <c r="A44">
        <v>43</v>
      </c>
      <c r="B44" t="s">
        <v>66</v>
      </c>
      <c r="C44">
        <v>2020</v>
      </c>
      <c r="D44" t="s">
        <v>20</v>
      </c>
      <c r="E44">
        <v>2</v>
      </c>
      <c r="F44" t="s">
        <v>37</v>
      </c>
      <c r="G44" t="s">
        <v>35</v>
      </c>
      <c r="H44">
        <v>39.42</v>
      </c>
      <c r="I44" t="s">
        <v>38</v>
      </c>
      <c r="J44">
        <v>7</v>
      </c>
      <c r="K44">
        <v>293</v>
      </c>
      <c r="L44">
        <v>81.84</v>
      </c>
      <c r="M44">
        <v>5.94</v>
      </c>
      <c r="N44">
        <v>15.62</v>
      </c>
      <c r="O44">
        <v>7.83</v>
      </c>
      <c r="P44">
        <v>250.56</v>
      </c>
      <c r="Q44">
        <v>622</v>
      </c>
      <c r="R44">
        <v>3</v>
      </c>
      <c r="S44">
        <v>51</v>
      </c>
    </row>
    <row r="45" spans="1:19" x14ac:dyDescent="0.3">
      <c r="A45">
        <v>44</v>
      </c>
      <c r="B45" t="s">
        <v>60</v>
      </c>
      <c r="C45">
        <v>2020</v>
      </c>
      <c r="D45" t="s">
        <v>20</v>
      </c>
      <c r="E45">
        <v>2</v>
      </c>
      <c r="F45" t="s">
        <v>29</v>
      </c>
      <c r="G45" t="s">
        <v>26</v>
      </c>
      <c r="H45">
        <v>8.43</v>
      </c>
      <c r="I45" t="s">
        <v>32</v>
      </c>
      <c r="J45">
        <v>29</v>
      </c>
      <c r="K45">
        <v>524</v>
      </c>
      <c r="L45">
        <v>78.05</v>
      </c>
      <c r="M45">
        <v>15.96</v>
      </c>
      <c r="N45">
        <v>18.66</v>
      </c>
      <c r="O45">
        <v>5.76</v>
      </c>
      <c r="P45">
        <v>261.98</v>
      </c>
      <c r="Q45">
        <v>502</v>
      </c>
      <c r="R45">
        <v>2</v>
      </c>
      <c r="S45">
        <v>57</v>
      </c>
    </row>
    <row r="46" spans="1:19" x14ac:dyDescent="0.3">
      <c r="A46">
        <v>45</v>
      </c>
      <c r="B46" t="s">
        <v>67</v>
      </c>
      <c r="C46">
        <v>2020</v>
      </c>
      <c r="D46" t="s">
        <v>20</v>
      </c>
      <c r="E46">
        <v>2</v>
      </c>
      <c r="F46" t="s">
        <v>25</v>
      </c>
      <c r="G46" t="s">
        <v>35</v>
      </c>
      <c r="H46">
        <v>33.57</v>
      </c>
      <c r="I46" t="s">
        <v>27</v>
      </c>
      <c r="J46">
        <v>41</v>
      </c>
      <c r="K46">
        <v>457</v>
      </c>
      <c r="L46">
        <v>93.5</v>
      </c>
      <c r="M46">
        <v>11.58</v>
      </c>
      <c r="N46">
        <v>10.3</v>
      </c>
      <c r="O46">
        <v>14.34</v>
      </c>
      <c r="P46">
        <v>446.95</v>
      </c>
      <c r="Q46">
        <v>180</v>
      </c>
      <c r="R46">
        <v>4</v>
      </c>
      <c r="S46">
        <v>140</v>
      </c>
    </row>
    <row r="47" spans="1:19" x14ac:dyDescent="0.3">
      <c r="A47">
        <v>46</v>
      </c>
      <c r="B47" t="s">
        <v>68</v>
      </c>
      <c r="C47">
        <v>2020</v>
      </c>
      <c r="D47" t="s">
        <v>20</v>
      </c>
      <c r="E47">
        <v>2</v>
      </c>
      <c r="F47" t="s">
        <v>25</v>
      </c>
      <c r="G47" t="s">
        <v>22</v>
      </c>
      <c r="H47">
        <v>39.99</v>
      </c>
      <c r="I47" t="s">
        <v>38</v>
      </c>
      <c r="J47">
        <v>43</v>
      </c>
      <c r="K47">
        <v>390</v>
      </c>
      <c r="L47">
        <v>91.07</v>
      </c>
      <c r="M47">
        <v>24.28</v>
      </c>
      <c r="N47">
        <v>11.08</v>
      </c>
      <c r="O47">
        <v>6.45</v>
      </c>
      <c r="P47">
        <v>311.18</v>
      </c>
      <c r="Q47">
        <v>552</v>
      </c>
      <c r="R47">
        <v>1</v>
      </c>
      <c r="S47">
        <v>55</v>
      </c>
    </row>
    <row r="48" spans="1:19" x14ac:dyDescent="0.3">
      <c r="A48">
        <v>47</v>
      </c>
      <c r="B48" t="s">
        <v>69</v>
      </c>
      <c r="C48">
        <v>2020</v>
      </c>
      <c r="D48" t="s">
        <v>20</v>
      </c>
      <c r="E48">
        <v>2</v>
      </c>
      <c r="F48" t="s">
        <v>25</v>
      </c>
      <c r="G48" t="s">
        <v>40</v>
      </c>
      <c r="H48">
        <v>7.44</v>
      </c>
      <c r="I48" t="s">
        <v>27</v>
      </c>
      <c r="J48">
        <v>39</v>
      </c>
      <c r="K48">
        <v>329</v>
      </c>
      <c r="L48">
        <v>81.61</v>
      </c>
      <c r="M48">
        <v>15.58</v>
      </c>
      <c r="N48">
        <v>4.03</v>
      </c>
      <c r="O48">
        <v>15.02</v>
      </c>
      <c r="P48">
        <v>194.77</v>
      </c>
      <c r="Q48">
        <v>981</v>
      </c>
      <c r="R48">
        <v>3</v>
      </c>
      <c r="S48">
        <v>58</v>
      </c>
    </row>
    <row r="49" spans="1:19" x14ac:dyDescent="0.3">
      <c r="A49">
        <v>48</v>
      </c>
      <c r="B49" t="s">
        <v>68</v>
      </c>
      <c r="C49">
        <v>2020</v>
      </c>
      <c r="D49" t="s">
        <v>20</v>
      </c>
      <c r="E49">
        <v>2</v>
      </c>
      <c r="F49" t="s">
        <v>29</v>
      </c>
      <c r="G49" t="s">
        <v>22</v>
      </c>
      <c r="H49">
        <v>7.98</v>
      </c>
      <c r="I49" t="s">
        <v>38</v>
      </c>
      <c r="J49">
        <v>15</v>
      </c>
      <c r="K49">
        <v>384</v>
      </c>
      <c r="L49">
        <v>75.78</v>
      </c>
      <c r="M49">
        <v>9.19</v>
      </c>
      <c r="N49">
        <v>10.029999999999999</v>
      </c>
      <c r="O49">
        <v>11.15</v>
      </c>
      <c r="P49">
        <v>427.82</v>
      </c>
      <c r="Q49">
        <v>583</v>
      </c>
      <c r="R49">
        <v>3</v>
      </c>
      <c r="S49">
        <v>86</v>
      </c>
    </row>
    <row r="50" spans="1:19" x14ac:dyDescent="0.3">
      <c r="A50">
        <v>49</v>
      </c>
      <c r="B50" t="s">
        <v>68</v>
      </c>
      <c r="C50">
        <v>2020</v>
      </c>
      <c r="D50" t="s">
        <v>20</v>
      </c>
      <c r="E50">
        <v>2</v>
      </c>
      <c r="F50" t="s">
        <v>34</v>
      </c>
      <c r="G50" t="s">
        <v>40</v>
      </c>
      <c r="H50">
        <v>28.5</v>
      </c>
      <c r="I50" t="s">
        <v>27</v>
      </c>
      <c r="J50">
        <v>1</v>
      </c>
      <c r="K50">
        <v>109</v>
      </c>
      <c r="L50">
        <v>78.27</v>
      </c>
      <c r="M50">
        <v>25.24</v>
      </c>
      <c r="N50">
        <v>13.58</v>
      </c>
      <c r="O50">
        <v>9.36</v>
      </c>
      <c r="P50">
        <v>420.8</v>
      </c>
      <c r="Q50">
        <v>346</v>
      </c>
      <c r="R50">
        <v>4</v>
      </c>
      <c r="S50">
        <v>165</v>
      </c>
    </row>
    <row r="51" spans="1:19" x14ac:dyDescent="0.3">
      <c r="A51">
        <v>50</v>
      </c>
      <c r="B51" t="s">
        <v>65</v>
      </c>
      <c r="C51">
        <v>2020</v>
      </c>
      <c r="D51" t="s">
        <v>20</v>
      </c>
      <c r="E51">
        <v>2</v>
      </c>
      <c r="F51" t="s">
        <v>53</v>
      </c>
      <c r="G51" t="s">
        <v>22</v>
      </c>
      <c r="H51">
        <v>25.55</v>
      </c>
      <c r="I51" t="s">
        <v>23</v>
      </c>
      <c r="J51">
        <v>46</v>
      </c>
      <c r="K51">
        <v>281</v>
      </c>
      <c r="L51">
        <v>93.22</v>
      </c>
      <c r="M51">
        <v>26.93</v>
      </c>
      <c r="N51">
        <v>4.9400000000000004</v>
      </c>
      <c r="O51">
        <v>12.85</v>
      </c>
      <c r="P51">
        <v>207.97</v>
      </c>
      <c r="Q51">
        <v>466</v>
      </c>
      <c r="R51">
        <v>4</v>
      </c>
      <c r="S51">
        <v>114</v>
      </c>
    </row>
    <row r="52" spans="1:19" x14ac:dyDescent="0.3">
      <c r="A52">
        <v>51</v>
      </c>
      <c r="B52" t="s">
        <v>69</v>
      </c>
      <c r="C52">
        <v>2020</v>
      </c>
      <c r="D52" t="s">
        <v>20</v>
      </c>
      <c r="E52">
        <v>2</v>
      </c>
      <c r="F52" t="s">
        <v>62</v>
      </c>
      <c r="G52" t="s">
        <v>35</v>
      </c>
      <c r="H52">
        <v>45.99</v>
      </c>
      <c r="I52" t="s">
        <v>38</v>
      </c>
      <c r="J52">
        <v>30</v>
      </c>
      <c r="K52">
        <v>124</v>
      </c>
      <c r="L52">
        <v>76.19</v>
      </c>
      <c r="M52">
        <v>28.25</v>
      </c>
      <c r="N52">
        <v>19.43</v>
      </c>
      <c r="O52">
        <v>13.07</v>
      </c>
      <c r="P52">
        <v>436.06</v>
      </c>
      <c r="Q52">
        <v>291</v>
      </c>
      <c r="R52">
        <v>3</v>
      </c>
      <c r="S52">
        <v>70</v>
      </c>
    </row>
    <row r="53" spans="1:19" x14ac:dyDescent="0.3">
      <c r="A53">
        <v>52</v>
      </c>
      <c r="B53" t="s">
        <v>63</v>
      </c>
      <c r="C53">
        <v>2020</v>
      </c>
      <c r="D53" t="s">
        <v>20</v>
      </c>
      <c r="E53">
        <v>2</v>
      </c>
      <c r="F53" t="s">
        <v>31</v>
      </c>
      <c r="G53" t="s">
        <v>42</v>
      </c>
      <c r="H53">
        <v>34.04</v>
      </c>
      <c r="I53" t="s">
        <v>38</v>
      </c>
      <c r="J53">
        <v>25</v>
      </c>
      <c r="K53">
        <v>599</v>
      </c>
      <c r="L53">
        <v>88.64</v>
      </c>
      <c r="M53">
        <v>32.9</v>
      </c>
      <c r="N53">
        <v>8.91</v>
      </c>
      <c r="O53">
        <v>4.8499999999999996</v>
      </c>
      <c r="P53">
        <v>526.34</v>
      </c>
      <c r="Q53">
        <v>496</v>
      </c>
      <c r="R53">
        <v>3</v>
      </c>
      <c r="S53">
        <v>167</v>
      </c>
    </row>
    <row r="54" spans="1:19" x14ac:dyDescent="0.3">
      <c r="A54">
        <v>53</v>
      </c>
      <c r="B54" t="s">
        <v>67</v>
      </c>
      <c r="C54">
        <v>2020</v>
      </c>
      <c r="D54" t="s">
        <v>20</v>
      </c>
      <c r="E54">
        <v>2</v>
      </c>
      <c r="F54" t="s">
        <v>25</v>
      </c>
      <c r="G54" t="s">
        <v>26</v>
      </c>
      <c r="H54">
        <v>31.82</v>
      </c>
      <c r="I54" t="s">
        <v>38</v>
      </c>
      <c r="J54">
        <v>20</v>
      </c>
      <c r="K54">
        <v>493</v>
      </c>
      <c r="L54">
        <v>75.16</v>
      </c>
      <c r="M54">
        <v>12.01</v>
      </c>
      <c r="N54">
        <v>3.39</v>
      </c>
      <c r="O54">
        <v>9.34</v>
      </c>
      <c r="P54">
        <v>503.25</v>
      </c>
      <c r="Q54">
        <v>985</v>
      </c>
      <c r="R54">
        <v>5</v>
      </c>
      <c r="S54">
        <v>145</v>
      </c>
    </row>
    <row r="55" spans="1:19" x14ac:dyDescent="0.3">
      <c r="A55">
        <v>54</v>
      </c>
      <c r="B55" t="s">
        <v>70</v>
      </c>
      <c r="C55">
        <v>2020</v>
      </c>
      <c r="D55" t="s">
        <v>20</v>
      </c>
      <c r="E55">
        <v>2</v>
      </c>
      <c r="F55" t="s">
        <v>53</v>
      </c>
      <c r="G55" t="s">
        <v>40</v>
      </c>
      <c r="H55">
        <v>5.77</v>
      </c>
      <c r="I55" t="s">
        <v>32</v>
      </c>
      <c r="J55">
        <v>8</v>
      </c>
      <c r="K55">
        <v>201</v>
      </c>
      <c r="L55">
        <v>79.459999999999994</v>
      </c>
      <c r="M55">
        <v>22.91</v>
      </c>
      <c r="N55">
        <v>19.11</v>
      </c>
      <c r="O55">
        <v>14.82</v>
      </c>
      <c r="P55">
        <v>503.65</v>
      </c>
      <c r="Q55">
        <v>733</v>
      </c>
      <c r="R55">
        <v>3</v>
      </c>
      <c r="S55">
        <v>208</v>
      </c>
    </row>
    <row r="56" spans="1:19" x14ac:dyDescent="0.3">
      <c r="A56">
        <v>55</v>
      </c>
      <c r="B56" t="s">
        <v>68</v>
      </c>
      <c r="C56">
        <v>2020</v>
      </c>
      <c r="D56" t="s">
        <v>20</v>
      </c>
      <c r="E56">
        <v>2</v>
      </c>
      <c r="F56" t="s">
        <v>31</v>
      </c>
      <c r="G56" t="s">
        <v>42</v>
      </c>
      <c r="H56">
        <v>6.2</v>
      </c>
      <c r="I56" t="s">
        <v>38</v>
      </c>
      <c r="J56">
        <v>22</v>
      </c>
      <c r="K56">
        <v>285</v>
      </c>
      <c r="L56">
        <v>87.61</v>
      </c>
      <c r="M56">
        <v>15.63</v>
      </c>
      <c r="N56">
        <v>6.65</v>
      </c>
      <c r="O56">
        <v>12.03</v>
      </c>
      <c r="P56">
        <v>127.56</v>
      </c>
      <c r="Q56">
        <v>980</v>
      </c>
      <c r="R56">
        <v>1</v>
      </c>
      <c r="S56">
        <v>137</v>
      </c>
    </row>
    <row r="57" spans="1:19" x14ac:dyDescent="0.3">
      <c r="A57">
        <v>56</v>
      </c>
      <c r="B57" t="s">
        <v>71</v>
      </c>
      <c r="C57">
        <v>2020</v>
      </c>
      <c r="D57" t="s">
        <v>20</v>
      </c>
      <c r="E57">
        <v>2</v>
      </c>
      <c r="F57" t="s">
        <v>53</v>
      </c>
      <c r="G57" t="s">
        <v>26</v>
      </c>
      <c r="H57">
        <v>16.77</v>
      </c>
      <c r="I57" t="s">
        <v>27</v>
      </c>
      <c r="J57">
        <v>6</v>
      </c>
      <c r="K57">
        <v>101</v>
      </c>
      <c r="L57">
        <v>77.53</v>
      </c>
      <c r="M57">
        <v>23.73</v>
      </c>
      <c r="N57">
        <v>8.65</v>
      </c>
      <c r="O57">
        <v>10.81</v>
      </c>
      <c r="P57">
        <v>221.28</v>
      </c>
      <c r="Q57">
        <v>597</v>
      </c>
      <c r="R57">
        <v>3</v>
      </c>
      <c r="S57">
        <v>234</v>
      </c>
    </row>
    <row r="58" spans="1:19" x14ac:dyDescent="0.3">
      <c r="A58">
        <v>57</v>
      </c>
      <c r="B58" t="s">
        <v>69</v>
      </c>
      <c r="C58">
        <v>2020</v>
      </c>
      <c r="D58" t="s">
        <v>20</v>
      </c>
      <c r="E58">
        <v>2</v>
      </c>
      <c r="F58" t="s">
        <v>21</v>
      </c>
      <c r="G58" t="s">
        <v>22</v>
      </c>
      <c r="H58">
        <v>44.83</v>
      </c>
      <c r="I58" t="s">
        <v>47</v>
      </c>
      <c r="J58">
        <v>22</v>
      </c>
      <c r="K58">
        <v>235</v>
      </c>
      <c r="L58">
        <v>78.209999999999994</v>
      </c>
      <c r="M58">
        <v>15.35</v>
      </c>
      <c r="N58">
        <v>21.2</v>
      </c>
      <c r="O58">
        <v>4.03</v>
      </c>
      <c r="P58">
        <v>133.81</v>
      </c>
      <c r="Q58">
        <v>204</v>
      </c>
      <c r="R58">
        <v>1</v>
      </c>
      <c r="S58">
        <v>205</v>
      </c>
    </row>
    <row r="59" spans="1:19" x14ac:dyDescent="0.3">
      <c r="A59">
        <v>58</v>
      </c>
      <c r="B59" t="s">
        <v>72</v>
      </c>
      <c r="C59">
        <v>2020</v>
      </c>
      <c r="D59" t="s">
        <v>20</v>
      </c>
      <c r="E59">
        <v>2</v>
      </c>
      <c r="F59" t="s">
        <v>31</v>
      </c>
      <c r="G59" t="s">
        <v>35</v>
      </c>
      <c r="H59">
        <v>40.71</v>
      </c>
      <c r="I59" t="s">
        <v>32</v>
      </c>
      <c r="J59">
        <v>25</v>
      </c>
      <c r="K59">
        <v>558</v>
      </c>
      <c r="L59">
        <v>88.9</v>
      </c>
      <c r="M59">
        <v>18.809999999999999</v>
      </c>
      <c r="N59">
        <v>8.93</v>
      </c>
      <c r="O59">
        <v>13.93</v>
      </c>
      <c r="P59">
        <v>469.41</v>
      </c>
      <c r="Q59">
        <v>886</v>
      </c>
      <c r="R59">
        <v>4</v>
      </c>
      <c r="S59">
        <v>245</v>
      </c>
    </row>
    <row r="60" spans="1:19" x14ac:dyDescent="0.3">
      <c r="A60">
        <v>59</v>
      </c>
      <c r="B60" t="s">
        <v>73</v>
      </c>
      <c r="C60">
        <v>2020</v>
      </c>
      <c r="D60" t="s">
        <v>20</v>
      </c>
      <c r="E60">
        <v>2</v>
      </c>
      <c r="F60" t="s">
        <v>21</v>
      </c>
      <c r="G60" t="s">
        <v>42</v>
      </c>
      <c r="H60">
        <v>18.489999999999998</v>
      </c>
      <c r="I60" t="s">
        <v>32</v>
      </c>
      <c r="J60">
        <v>17</v>
      </c>
      <c r="K60">
        <v>233</v>
      </c>
      <c r="L60">
        <v>92.97</v>
      </c>
      <c r="M60">
        <v>16.760000000000002</v>
      </c>
      <c r="N60">
        <v>6.08</v>
      </c>
      <c r="O60">
        <v>9.6999999999999993</v>
      </c>
      <c r="P60">
        <v>424.85</v>
      </c>
      <c r="Q60">
        <v>707</v>
      </c>
      <c r="R60">
        <v>2</v>
      </c>
      <c r="S60">
        <v>130</v>
      </c>
    </row>
    <row r="61" spans="1:19" x14ac:dyDescent="0.3">
      <c r="A61">
        <v>60</v>
      </c>
      <c r="B61" t="s">
        <v>74</v>
      </c>
      <c r="C61">
        <v>2020</v>
      </c>
      <c r="D61" t="s">
        <v>20</v>
      </c>
      <c r="E61">
        <v>2</v>
      </c>
      <c r="F61" t="s">
        <v>62</v>
      </c>
      <c r="G61" t="s">
        <v>35</v>
      </c>
      <c r="H61">
        <v>34.64</v>
      </c>
      <c r="I61" t="s">
        <v>23</v>
      </c>
      <c r="J61">
        <v>28</v>
      </c>
      <c r="K61">
        <v>312</v>
      </c>
      <c r="L61">
        <v>90.75</v>
      </c>
      <c r="M61">
        <v>5.6</v>
      </c>
      <c r="N61">
        <v>20.62</v>
      </c>
      <c r="O61">
        <v>3.49</v>
      </c>
      <c r="P61">
        <v>400.69</v>
      </c>
      <c r="Q61">
        <v>594</v>
      </c>
      <c r="R61">
        <v>4</v>
      </c>
      <c r="S61">
        <v>100</v>
      </c>
    </row>
    <row r="62" spans="1:19" x14ac:dyDescent="0.3">
      <c r="A62">
        <v>61</v>
      </c>
      <c r="B62" t="s">
        <v>73</v>
      </c>
      <c r="C62">
        <v>2020</v>
      </c>
      <c r="D62" t="s">
        <v>20</v>
      </c>
      <c r="E62">
        <v>2</v>
      </c>
      <c r="F62" t="s">
        <v>34</v>
      </c>
      <c r="G62" t="s">
        <v>42</v>
      </c>
      <c r="H62">
        <v>53.52</v>
      </c>
      <c r="I62" t="s">
        <v>38</v>
      </c>
      <c r="J62">
        <v>5</v>
      </c>
      <c r="K62">
        <v>351</v>
      </c>
      <c r="L62">
        <v>86.5</v>
      </c>
      <c r="M62">
        <v>29.56</v>
      </c>
      <c r="N62">
        <v>10.17</v>
      </c>
      <c r="O62">
        <v>2.38</v>
      </c>
      <c r="P62">
        <v>281.43</v>
      </c>
      <c r="Q62">
        <v>837</v>
      </c>
      <c r="R62">
        <v>1</v>
      </c>
      <c r="S62">
        <v>80</v>
      </c>
    </row>
    <row r="63" spans="1:19" x14ac:dyDescent="0.3">
      <c r="A63">
        <v>62</v>
      </c>
      <c r="B63" t="s">
        <v>69</v>
      </c>
      <c r="C63">
        <v>2020</v>
      </c>
      <c r="D63" t="s">
        <v>20</v>
      </c>
      <c r="E63">
        <v>2</v>
      </c>
      <c r="F63" t="s">
        <v>53</v>
      </c>
      <c r="G63" t="s">
        <v>40</v>
      </c>
      <c r="H63">
        <v>36.49</v>
      </c>
      <c r="I63" t="s">
        <v>32</v>
      </c>
      <c r="J63">
        <v>13</v>
      </c>
      <c r="K63">
        <v>131</v>
      </c>
      <c r="L63">
        <v>88.44</v>
      </c>
      <c r="M63">
        <v>16.23</v>
      </c>
      <c r="N63">
        <v>21.2</v>
      </c>
      <c r="O63">
        <v>7.16</v>
      </c>
      <c r="P63">
        <v>517.38</v>
      </c>
      <c r="Q63">
        <v>1063</v>
      </c>
      <c r="R63">
        <v>3</v>
      </c>
      <c r="S63">
        <v>182</v>
      </c>
    </row>
    <row r="64" spans="1:19" x14ac:dyDescent="0.3">
      <c r="A64">
        <v>63</v>
      </c>
      <c r="B64" t="s">
        <v>64</v>
      </c>
      <c r="C64">
        <v>2020</v>
      </c>
      <c r="D64" t="s">
        <v>20</v>
      </c>
      <c r="E64">
        <v>2</v>
      </c>
      <c r="F64" t="s">
        <v>25</v>
      </c>
      <c r="G64" t="s">
        <v>26</v>
      </c>
      <c r="H64">
        <v>43.37</v>
      </c>
      <c r="I64" t="s">
        <v>23</v>
      </c>
      <c r="J64">
        <v>32</v>
      </c>
      <c r="K64">
        <v>488</v>
      </c>
      <c r="L64">
        <v>79.27</v>
      </c>
      <c r="M64">
        <v>30.02</v>
      </c>
      <c r="N64">
        <v>8.89</v>
      </c>
      <c r="O64">
        <v>2.94</v>
      </c>
      <c r="P64">
        <v>535.53</v>
      </c>
      <c r="Q64">
        <v>1094</v>
      </c>
      <c r="R64">
        <v>5</v>
      </c>
      <c r="S64">
        <v>101</v>
      </c>
    </row>
    <row r="65" spans="1:19" x14ac:dyDescent="0.3">
      <c r="A65">
        <v>64</v>
      </c>
      <c r="B65" t="s">
        <v>69</v>
      </c>
      <c r="C65">
        <v>2020</v>
      </c>
      <c r="D65" t="s">
        <v>20</v>
      </c>
      <c r="E65">
        <v>2</v>
      </c>
      <c r="F65" t="s">
        <v>29</v>
      </c>
      <c r="G65" t="s">
        <v>40</v>
      </c>
      <c r="H65">
        <v>21</v>
      </c>
      <c r="I65" t="s">
        <v>27</v>
      </c>
      <c r="J65">
        <v>32</v>
      </c>
      <c r="K65">
        <v>265</v>
      </c>
      <c r="L65">
        <v>91.08</v>
      </c>
      <c r="M65">
        <v>12.8</v>
      </c>
      <c r="N65">
        <v>18.84</v>
      </c>
      <c r="O65">
        <v>4.22</v>
      </c>
      <c r="P65">
        <v>115.34</v>
      </c>
      <c r="Q65">
        <v>872</v>
      </c>
      <c r="R65">
        <v>2</v>
      </c>
      <c r="S65">
        <v>196</v>
      </c>
    </row>
    <row r="66" spans="1:19" x14ac:dyDescent="0.3">
      <c r="A66">
        <v>65</v>
      </c>
      <c r="B66" t="s">
        <v>60</v>
      </c>
      <c r="C66">
        <v>2020</v>
      </c>
      <c r="D66" t="s">
        <v>20</v>
      </c>
      <c r="E66">
        <v>2</v>
      </c>
      <c r="F66" t="s">
        <v>29</v>
      </c>
      <c r="G66" t="s">
        <v>22</v>
      </c>
      <c r="H66">
        <v>8.93</v>
      </c>
      <c r="I66" t="s">
        <v>47</v>
      </c>
      <c r="J66">
        <v>37</v>
      </c>
      <c r="K66">
        <v>139</v>
      </c>
      <c r="L66">
        <v>89.07</v>
      </c>
      <c r="M66">
        <v>26.19</v>
      </c>
      <c r="N66">
        <v>4.0599999999999996</v>
      </c>
      <c r="O66">
        <v>3.69</v>
      </c>
      <c r="P66">
        <v>590.79999999999995</v>
      </c>
      <c r="Q66">
        <v>1064</v>
      </c>
      <c r="R66">
        <v>1</v>
      </c>
      <c r="S66">
        <v>161</v>
      </c>
    </row>
    <row r="67" spans="1:19" x14ac:dyDescent="0.3">
      <c r="A67">
        <v>66</v>
      </c>
      <c r="B67" t="s">
        <v>75</v>
      </c>
      <c r="C67">
        <v>2020</v>
      </c>
      <c r="D67" t="s">
        <v>20</v>
      </c>
      <c r="E67">
        <v>2</v>
      </c>
      <c r="F67" t="s">
        <v>31</v>
      </c>
      <c r="G67" t="s">
        <v>35</v>
      </c>
      <c r="H67">
        <v>34.96</v>
      </c>
      <c r="I67" t="s">
        <v>38</v>
      </c>
      <c r="J67">
        <v>8</v>
      </c>
      <c r="K67">
        <v>209</v>
      </c>
      <c r="L67">
        <v>82.06</v>
      </c>
      <c r="M67">
        <v>8.83</v>
      </c>
      <c r="N67">
        <v>4</v>
      </c>
      <c r="O67">
        <v>14.51</v>
      </c>
      <c r="P67">
        <v>524.5</v>
      </c>
      <c r="Q67">
        <v>503</v>
      </c>
      <c r="R67">
        <v>5</v>
      </c>
      <c r="S67">
        <v>141</v>
      </c>
    </row>
    <row r="68" spans="1:19" x14ac:dyDescent="0.3">
      <c r="A68">
        <v>67</v>
      </c>
      <c r="B68" t="s">
        <v>69</v>
      </c>
      <c r="C68">
        <v>2020</v>
      </c>
      <c r="D68" t="s">
        <v>20</v>
      </c>
      <c r="E68">
        <v>2</v>
      </c>
      <c r="F68" t="s">
        <v>62</v>
      </c>
      <c r="G68" t="s">
        <v>42</v>
      </c>
      <c r="H68">
        <v>32.450000000000003</v>
      </c>
      <c r="I68" t="s">
        <v>38</v>
      </c>
      <c r="J68">
        <v>2</v>
      </c>
      <c r="K68">
        <v>138</v>
      </c>
      <c r="L68">
        <v>81.78</v>
      </c>
      <c r="M68">
        <v>7.25</v>
      </c>
      <c r="N68">
        <v>19.93</v>
      </c>
      <c r="O68">
        <v>5.2</v>
      </c>
      <c r="P68">
        <v>243.95</v>
      </c>
      <c r="Q68">
        <v>1020</v>
      </c>
      <c r="R68">
        <v>1</v>
      </c>
      <c r="S68">
        <v>115</v>
      </c>
    </row>
    <row r="69" spans="1:19" x14ac:dyDescent="0.3">
      <c r="A69">
        <v>68</v>
      </c>
      <c r="B69" t="s">
        <v>72</v>
      </c>
      <c r="C69">
        <v>2020</v>
      </c>
      <c r="D69" t="s">
        <v>20</v>
      </c>
      <c r="E69">
        <v>2</v>
      </c>
      <c r="F69" t="s">
        <v>31</v>
      </c>
      <c r="G69" t="s">
        <v>40</v>
      </c>
      <c r="H69">
        <v>29.17</v>
      </c>
      <c r="I69" t="s">
        <v>32</v>
      </c>
      <c r="J69">
        <v>44</v>
      </c>
      <c r="K69">
        <v>566</v>
      </c>
      <c r="L69">
        <v>87.62</v>
      </c>
      <c r="M69">
        <v>11.77</v>
      </c>
      <c r="N69">
        <v>9.6999999999999993</v>
      </c>
      <c r="O69">
        <v>9.15</v>
      </c>
      <c r="P69">
        <v>357.94</v>
      </c>
      <c r="Q69">
        <v>899</v>
      </c>
      <c r="R69">
        <v>4</v>
      </c>
      <c r="S69">
        <v>212</v>
      </c>
    </row>
    <row r="70" spans="1:19" x14ac:dyDescent="0.3">
      <c r="A70">
        <v>69</v>
      </c>
      <c r="B70" t="s">
        <v>76</v>
      </c>
      <c r="C70">
        <v>2020</v>
      </c>
      <c r="D70" t="s">
        <v>20</v>
      </c>
      <c r="E70">
        <v>3</v>
      </c>
      <c r="F70" t="s">
        <v>53</v>
      </c>
      <c r="G70" t="s">
        <v>22</v>
      </c>
      <c r="H70">
        <v>44.58</v>
      </c>
      <c r="I70" t="s">
        <v>32</v>
      </c>
      <c r="J70">
        <v>23</v>
      </c>
      <c r="K70">
        <v>263</v>
      </c>
      <c r="L70">
        <v>76.14</v>
      </c>
      <c r="M70">
        <v>8.83</v>
      </c>
      <c r="N70">
        <v>8.99</v>
      </c>
      <c r="O70">
        <v>14.77</v>
      </c>
      <c r="P70">
        <v>341.35</v>
      </c>
      <c r="Q70">
        <v>425</v>
      </c>
      <c r="R70">
        <v>2</v>
      </c>
      <c r="S70">
        <v>192</v>
      </c>
    </row>
    <row r="71" spans="1:19" x14ac:dyDescent="0.3">
      <c r="A71">
        <v>70</v>
      </c>
      <c r="B71" t="s">
        <v>77</v>
      </c>
      <c r="C71">
        <v>2020</v>
      </c>
      <c r="D71" t="s">
        <v>20</v>
      </c>
      <c r="E71">
        <v>3</v>
      </c>
      <c r="F71" t="s">
        <v>53</v>
      </c>
      <c r="G71" t="s">
        <v>35</v>
      </c>
      <c r="H71">
        <v>22.62</v>
      </c>
      <c r="I71" t="s">
        <v>32</v>
      </c>
      <c r="J71">
        <v>29</v>
      </c>
      <c r="K71">
        <v>499</v>
      </c>
      <c r="L71">
        <v>89.19</v>
      </c>
      <c r="M71">
        <v>10.23</v>
      </c>
      <c r="N71">
        <v>2.54</v>
      </c>
      <c r="O71">
        <v>4</v>
      </c>
      <c r="P71">
        <v>404.97</v>
      </c>
      <c r="Q71">
        <v>1010</v>
      </c>
      <c r="R71">
        <v>4</v>
      </c>
      <c r="S71">
        <v>205</v>
      </c>
    </row>
    <row r="72" spans="1:19" x14ac:dyDescent="0.3">
      <c r="A72">
        <v>71</v>
      </c>
      <c r="B72" t="s">
        <v>78</v>
      </c>
      <c r="C72">
        <v>2020</v>
      </c>
      <c r="D72" t="s">
        <v>20</v>
      </c>
      <c r="E72">
        <v>3</v>
      </c>
      <c r="F72" t="s">
        <v>34</v>
      </c>
      <c r="G72" t="s">
        <v>22</v>
      </c>
      <c r="H72">
        <v>16.77</v>
      </c>
      <c r="I72" t="s">
        <v>27</v>
      </c>
      <c r="J72">
        <v>25</v>
      </c>
      <c r="K72">
        <v>290</v>
      </c>
      <c r="L72">
        <v>83.72</v>
      </c>
      <c r="M72">
        <v>21.13</v>
      </c>
      <c r="N72">
        <v>3.13</v>
      </c>
      <c r="O72">
        <v>2.65</v>
      </c>
      <c r="P72">
        <v>587.87</v>
      </c>
      <c r="Q72">
        <v>359</v>
      </c>
      <c r="R72">
        <v>1</v>
      </c>
      <c r="S72">
        <v>195</v>
      </c>
    </row>
    <row r="73" spans="1:19" x14ac:dyDescent="0.3">
      <c r="A73">
        <v>72</v>
      </c>
      <c r="B73" t="s">
        <v>79</v>
      </c>
      <c r="C73">
        <v>2020</v>
      </c>
      <c r="D73" t="s">
        <v>20</v>
      </c>
      <c r="E73">
        <v>3</v>
      </c>
      <c r="F73" t="s">
        <v>29</v>
      </c>
      <c r="G73" t="s">
        <v>40</v>
      </c>
      <c r="H73">
        <v>45.95</v>
      </c>
      <c r="I73" t="s">
        <v>47</v>
      </c>
      <c r="J73">
        <v>27</v>
      </c>
      <c r="K73">
        <v>235</v>
      </c>
      <c r="L73">
        <v>94.13</v>
      </c>
      <c r="M73">
        <v>30.98</v>
      </c>
      <c r="N73">
        <v>21.32</v>
      </c>
      <c r="O73">
        <v>10.68</v>
      </c>
      <c r="P73">
        <v>527.37</v>
      </c>
      <c r="Q73">
        <v>770</v>
      </c>
      <c r="R73">
        <v>2</v>
      </c>
      <c r="S73">
        <v>171</v>
      </c>
    </row>
    <row r="74" spans="1:19" x14ac:dyDescent="0.3">
      <c r="A74">
        <v>73</v>
      </c>
      <c r="B74" t="s">
        <v>76</v>
      </c>
      <c r="C74">
        <v>2020</v>
      </c>
      <c r="D74" t="s">
        <v>20</v>
      </c>
      <c r="E74">
        <v>3</v>
      </c>
      <c r="F74" t="s">
        <v>53</v>
      </c>
      <c r="G74" t="s">
        <v>22</v>
      </c>
      <c r="H74">
        <v>27.17</v>
      </c>
      <c r="I74" t="s">
        <v>38</v>
      </c>
      <c r="J74">
        <v>38</v>
      </c>
      <c r="K74">
        <v>338</v>
      </c>
      <c r="L74">
        <v>87.18</v>
      </c>
      <c r="M74">
        <v>23.95</v>
      </c>
      <c r="N74">
        <v>12.08</v>
      </c>
      <c r="O74">
        <v>13.37</v>
      </c>
      <c r="P74">
        <v>125.01</v>
      </c>
      <c r="Q74">
        <v>779</v>
      </c>
      <c r="R74">
        <v>4</v>
      </c>
      <c r="S74">
        <v>222</v>
      </c>
    </row>
    <row r="75" spans="1:19" x14ac:dyDescent="0.3">
      <c r="A75">
        <v>74</v>
      </c>
      <c r="B75" t="s">
        <v>80</v>
      </c>
      <c r="C75">
        <v>2020</v>
      </c>
      <c r="D75" t="s">
        <v>20</v>
      </c>
      <c r="E75">
        <v>3</v>
      </c>
      <c r="F75" t="s">
        <v>34</v>
      </c>
      <c r="G75" t="s">
        <v>26</v>
      </c>
      <c r="H75">
        <v>9.4700000000000006</v>
      </c>
      <c r="I75" t="s">
        <v>47</v>
      </c>
      <c r="J75">
        <v>23</v>
      </c>
      <c r="K75">
        <v>552</v>
      </c>
      <c r="L75">
        <v>78</v>
      </c>
      <c r="M75">
        <v>21.05</v>
      </c>
      <c r="N75">
        <v>16.59</v>
      </c>
      <c r="O75">
        <v>7.56</v>
      </c>
      <c r="P75">
        <v>182.13</v>
      </c>
      <c r="Q75">
        <v>923</v>
      </c>
      <c r="R75">
        <v>1</v>
      </c>
      <c r="S75">
        <v>99</v>
      </c>
    </row>
    <row r="76" spans="1:19" x14ac:dyDescent="0.3">
      <c r="A76">
        <v>75</v>
      </c>
      <c r="B76" t="s">
        <v>81</v>
      </c>
      <c r="C76">
        <v>2020</v>
      </c>
      <c r="D76" t="s">
        <v>20</v>
      </c>
      <c r="E76">
        <v>3</v>
      </c>
      <c r="F76" t="s">
        <v>53</v>
      </c>
      <c r="G76" t="s">
        <v>40</v>
      </c>
      <c r="H76">
        <v>39.97</v>
      </c>
      <c r="I76" t="s">
        <v>23</v>
      </c>
      <c r="J76">
        <v>49</v>
      </c>
      <c r="K76">
        <v>470</v>
      </c>
      <c r="L76">
        <v>82.85</v>
      </c>
      <c r="M76">
        <v>13.43</v>
      </c>
      <c r="N76">
        <v>15.52</v>
      </c>
      <c r="O76">
        <v>14.42</v>
      </c>
      <c r="P76">
        <v>288.11</v>
      </c>
      <c r="Q76">
        <v>1007</v>
      </c>
      <c r="R76">
        <v>2</v>
      </c>
      <c r="S76">
        <v>77</v>
      </c>
    </row>
    <row r="77" spans="1:19" x14ac:dyDescent="0.3">
      <c r="A77">
        <v>76</v>
      </c>
      <c r="B77" t="s">
        <v>79</v>
      </c>
      <c r="C77">
        <v>2020</v>
      </c>
      <c r="D77" t="s">
        <v>20</v>
      </c>
      <c r="E77">
        <v>3</v>
      </c>
      <c r="F77" t="s">
        <v>25</v>
      </c>
      <c r="G77" t="s">
        <v>35</v>
      </c>
      <c r="H77">
        <v>45.7</v>
      </c>
      <c r="I77" t="s">
        <v>23</v>
      </c>
      <c r="J77">
        <v>5</v>
      </c>
      <c r="K77">
        <v>517</v>
      </c>
      <c r="L77">
        <v>75.66</v>
      </c>
      <c r="M77">
        <v>18.23</v>
      </c>
      <c r="N77">
        <v>16.149999999999999</v>
      </c>
      <c r="O77">
        <v>2.0299999999999998</v>
      </c>
      <c r="P77">
        <v>210.7</v>
      </c>
      <c r="Q77">
        <v>553</v>
      </c>
      <c r="R77">
        <v>4</v>
      </c>
      <c r="S77">
        <v>50</v>
      </c>
    </row>
    <row r="78" spans="1:19" x14ac:dyDescent="0.3">
      <c r="A78">
        <v>77</v>
      </c>
      <c r="B78" t="s">
        <v>81</v>
      </c>
      <c r="C78">
        <v>2020</v>
      </c>
      <c r="D78" t="s">
        <v>20</v>
      </c>
      <c r="E78">
        <v>3</v>
      </c>
      <c r="F78" t="s">
        <v>29</v>
      </c>
      <c r="G78" t="s">
        <v>35</v>
      </c>
      <c r="H78">
        <v>22.98</v>
      </c>
      <c r="I78" t="s">
        <v>27</v>
      </c>
      <c r="J78">
        <v>48</v>
      </c>
      <c r="K78">
        <v>194</v>
      </c>
      <c r="L78">
        <v>78.08</v>
      </c>
      <c r="M78">
        <v>30.16</v>
      </c>
      <c r="N78">
        <v>8.82</v>
      </c>
      <c r="O78">
        <v>3.54</v>
      </c>
      <c r="P78">
        <v>457.14</v>
      </c>
      <c r="Q78">
        <v>685</v>
      </c>
      <c r="R78">
        <v>4</v>
      </c>
      <c r="S78">
        <v>60</v>
      </c>
    </row>
    <row r="79" spans="1:19" x14ac:dyDescent="0.3">
      <c r="A79">
        <v>78</v>
      </c>
      <c r="B79" t="s">
        <v>82</v>
      </c>
      <c r="C79">
        <v>2020</v>
      </c>
      <c r="D79" t="s">
        <v>20</v>
      </c>
      <c r="E79">
        <v>3</v>
      </c>
      <c r="F79" t="s">
        <v>53</v>
      </c>
      <c r="G79" t="s">
        <v>26</v>
      </c>
      <c r="H79">
        <v>40.369999999999997</v>
      </c>
      <c r="I79" t="s">
        <v>23</v>
      </c>
      <c r="J79">
        <v>15</v>
      </c>
      <c r="K79">
        <v>390</v>
      </c>
      <c r="L79">
        <v>89.75</v>
      </c>
      <c r="M79">
        <v>12.47</v>
      </c>
      <c r="N79">
        <v>5.35</v>
      </c>
      <c r="O79">
        <v>11.95</v>
      </c>
      <c r="P79">
        <v>110.16</v>
      </c>
      <c r="Q79">
        <v>406</v>
      </c>
      <c r="R79">
        <v>1</v>
      </c>
      <c r="S79">
        <v>171</v>
      </c>
    </row>
    <row r="80" spans="1:19" x14ac:dyDescent="0.3">
      <c r="A80">
        <v>79</v>
      </c>
      <c r="B80" t="s">
        <v>83</v>
      </c>
      <c r="C80">
        <v>2020</v>
      </c>
      <c r="D80" t="s">
        <v>20</v>
      </c>
      <c r="E80">
        <v>3</v>
      </c>
      <c r="F80" t="s">
        <v>29</v>
      </c>
      <c r="G80" t="s">
        <v>22</v>
      </c>
      <c r="H80">
        <v>53.25</v>
      </c>
      <c r="I80" t="s">
        <v>38</v>
      </c>
      <c r="J80">
        <v>42</v>
      </c>
      <c r="K80">
        <v>570</v>
      </c>
      <c r="L80">
        <v>82.78</v>
      </c>
      <c r="M80">
        <v>31.17</v>
      </c>
      <c r="N80">
        <v>14.28</v>
      </c>
      <c r="O80">
        <v>1.25</v>
      </c>
      <c r="P80">
        <v>531.45000000000005</v>
      </c>
      <c r="Q80">
        <v>966</v>
      </c>
      <c r="R80">
        <v>5</v>
      </c>
      <c r="S80">
        <v>52</v>
      </c>
    </row>
    <row r="81" spans="1:19" x14ac:dyDescent="0.3">
      <c r="A81">
        <v>80</v>
      </c>
      <c r="B81" t="s">
        <v>81</v>
      </c>
      <c r="C81">
        <v>2020</v>
      </c>
      <c r="D81" t="s">
        <v>20</v>
      </c>
      <c r="E81">
        <v>3</v>
      </c>
      <c r="F81" t="s">
        <v>25</v>
      </c>
      <c r="G81" t="s">
        <v>40</v>
      </c>
      <c r="H81">
        <v>17.84</v>
      </c>
      <c r="I81" t="s">
        <v>27</v>
      </c>
      <c r="J81">
        <v>2</v>
      </c>
      <c r="K81">
        <v>232</v>
      </c>
      <c r="L81">
        <v>78.010000000000005</v>
      </c>
      <c r="M81">
        <v>5.46</v>
      </c>
      <c r="N81">
        <v>13.77</v>
      </c>
      <c r="O81">
        <v>1.76</v>
      </c>
      <c r="P81">
        <v>375.94</v>
      </c>
      <c r="Q81">
        <v>225</v>
      </c>
      <c r="R81">
        <v>4</v>
      </c>
      <c r="S81">
        <v>194</v>
      </c>
    </row>
    <row r="82" spans="1:19" x14ac:dyDescent="0.3">
      <c r="A82">
        <v>81</v>
      </c>
      <c r="B82" t="s">
        <v>82</v>
      </c>
      <c r="C82">
        <v>2020</v>
      </c>
      <c r="D82" t="s">
        <v>20</v>
      </c>
      <c r="E82">
        <v>3</v>
      </c>
      <c r="F82" t="s">
        <v>62</v>
      </c>
      <c r="G82" t="s">
        <v>26</v>
      </c>
      <c r="H82">
        <v>41.63</v>
      </c>
      <c r="I82" t="s">
        <v>47</v>
      </c>
      <c r="J82">
        <v>12</v>
      </c>
      <c r="K82">
        <v>463</v>
      </c>
      <c r="L82">
        <v>94.96</v>
      </c>
      <c r="M82">
        <v>20.309999999999999</v>
      </c>
      <c r="N82">
        <v>9.58</v>
      </c>
      <c r="O82">
        <v>12.38</v>
      </c>
      <c r="P82">
        <v>280.5</v>
      </c>
      <c r="Q82">
        <v>610</v>
      </c>
      <c r="R82">
        <v>3</v>
      </c>
      <c r="S82">
        <v>54</v>
      </c>
    </row>
    <row r="83" spans="1:19" x14ac:dyDescent="0.3">
      <c r="A83">
        <v>82</v>
      </c>
      <c r="B83" t="s">
        <v>84</v>
      </c>
      <c r="C83">
        <v>2020</v>
      </c>
      <c r="D83" t="s">
        <v>20</v>
      </c>
      <c r="E83">
        <v>3</v>
      </c>
      <c r="F83" t="s">
        <v>37</v>
      </c>
      <c r="G83" t="s">
        <v>42</v>
      </c>
      <c r="H83">
        <v>21.24</v>
      </c>
      <c r="I83" t="s">
        <v>23</v>
      </c>
      <c r="J83">
        <v>16</v>
      </c>
      <c r="K83">
        <v>111</v>
      </c>
      <c r="L83">
        <v>90.98</v>
      </c>
      <c r="M83">
        <v>8.06</v>
      </c>
      <c r="N83">
        <v>17.87</v>
      </c>
      <c r="O83">
        <v>4.42</v>
      </c>
      <c r="P83">
        <v>416.34</v>
      </c>
      <c r="Q83">
        <v>353</v>
      </c>
      <c r="R83">
        <v>2</v>
      </c>
      <c r="S83">
        <v>120</v>
      </c>
    </row>
    <row r="84" spans="1:19" x14ac:dyDescent="0.3">
      <c r="A84">
        <v>83</v>
      </c>
      <c r="B84" t="s">
        <v>85</v>
      </c>
      <c r="C84">
        <v>2020</v>
      </c>
      <c r="D84" t="s">
        <v>20</v>
      </c>
      <c r="E84">
        <v>3</v>
      </c>
      <c r="F84" t="s">
        <v>21</v>
      </c>
      <c r="G84" t="s">
        <v>42</v>
      </c>
      <c r="H84">
        <v>25.35</v>
      </c>
      <c r="I84" t="s">
        <v>27</v>
      </c>
      <c r="J84">
        <v>42</v>
      </c>
      <c r="K84">
        <v>526</v>
      </c>
      <c r="L84">
        <v>85.67</v>
      </c>
      <c r="M84">
        <v>7.99</v>
      </c>
      <c r="N84">
        <v>4.78</v>
      </c>
      <c r="O84">
        <v>15.91</v>
      </c>
      <c r="P84">
        <v>207.88</v>
      </c>
      <c r="Q84">
        <v>429</v>
      </c>
      <c r="R84">
        <v>4</v>
      </c>
      <c r="S84">
        <v>60</v>
      </c>
    </row>
    <row r="85" spans="1:19" x14ac:dyDescent="0.3">
      <c r="A85">
        <v>84</v>
      </c>
      <c r="B85" t="s">
        <v>86</v>
      </c>
      <c r="C85">
        <v>2020</v>
      </c>
      <c r="D85" t="s">
        <v>20</v>
      </c>
      <c r="E85">
        <v>3</v>
      </c>
      <c r="F85" t="s">
        <v>53</v>
      </c>
      <c r="G85" t="s">
        <v>22</v>
      </c>
      <c r="H85">
        <v>5.87</v>
      </c>
      <c r="I85" t="s">
        <v>27</v>
      </c>
      <c r="J85">
        <v>50</v>
      </c>
      <c r="K85">
        <v>388</v>
      </c>
      <c r="L85">
        <v>85.18</v>
      </c>
      <c r="M85">
        <v>34.369999999999997</v>
      </c>
      <c r="N85">
        <v>5.77</v>
      </c>
      <c r="O85">
        <v>15.59</v>
      </c>
      <c r="P85">
        <v>171.81</v>
      </c>
      <c r="Q85">
        <v>1035</v>
      </c>
      <c r="R85">
        <v>5</v>
      </c>
      <c r="S85">
        <v>89</v>
      </c>
    </row>
    <row r="86" spans="1:19" x14ac:dyDescent="0.3">
      <c r="A86">
        <v>85</v>
      </c>
      <c r="B86" t="s">
        <v>87</v>
      </c>
      <c r="C86">
        <v>2020</v>
      </c>
      <c r="D86" t="s">
        <v>20</v>
      </c>
      <c r="E86">
        <v>3</v>
      </c>
      <c r="F86" t="s">
        <v>29</v>
      </c>
      <c r="G86" t="s">
        <v>26</v>
      </c>
      <c r="H86">
        <v>26.51</v>
      </c>
      <c r="I86" t="s">
        <v>32</v>
      </c>
      <c r="J86">
        <v>50</v>
      </c>
      <c r="K86">
        <v>421</v>
      </c>
      <c r="L86">
        <v>90.16</v>
      </c>
      <c r="M86">
        <v>7.03</v>
      </c>
      <c r="N86">
        <v>3.7</v>
      </c>
      <c r="O86">
        <v>5.0599999999999996</v>
      </c>
      <c r="P86">
        <v>470.42</v>
      </c>
      <c r="Q86">
        <v>146</v>
      </c>
      <c r="R86">
        <v>1</v>
      </c>
      <c r="S86">
        <v>153</v>
      </c>
    </row>
    <row r="87" spans="1:19" x14ac:dyDescent="0.3">
      <c r="A87">
        <v>86</v>
      </c>
      <c r="B87" t="s">
        <v>88</v>
      </c>
      <c r="C87">
        <v>2020</v>
      </c>
      <c r="D87" t="s">
        <v>20</v>
      </c>
      <c r="E87">
        <v>3</v>
      </c>
      <c r="F87" t="s">
        <v>31</v>
      </c>
      <c r="G87" t="s">
        <v>35</v>
      </c>
      <c r="H87">
        <v>32.9</v>
      </c>
      <c r="I87" t="s">
        <v>32</v>
      </c>
      <c r="J87">
        <v>26</v>
      </c>
      <c r="K87">
        <v>294</v>
      </c>
      <c r="L87">
        <v>79.36</v>
      </c>
      <c r="M87">
        <v>17.27</v>
      </c>
      <c r="N87">
        <v>13.55</v>
      </c>
      <c r="O87">
        <v>4.68</v>
      </c>
      <c r="P87">
        <v>113.36</v>
      </c>
      <c r="Q87">
        <v>559</v>
      </c>
      <c r="R87">
        <v>5</v>
      </c>
      <c r="S87">
        <v>168</v>
      </c>
    </row>
    <row r="88" spans="1:19" x14ac:dyDescent="0.3">
      <c r="A88">
        <v>87</v>
      </c>
      <c r="B88" t="s">
        <v>89</v>
      </c>
      <c r="C88">
        <v>2020</v>
      </c>
      <c r="D88" t="s">
        <v>20</v>
      </c>
      <c r="E88">
        <v>3</v>
      </c>
      <c r="F88" t="s">
        <v>31</v>
      </c>
      <c r="G88" t="s">
        <v>26</v>
      </c>
      <c r="H88">
        <v>26.84</v>
      </c>
      <c r="I88" t="s">
        <v>27</v>
      </c>
      <c r="J88">
        <v>28</v>
      </c>
      <c r="K88">
        <v>301</v>
      </c>
      <c r="L88">
        <v>92.03</v>
      </c>
      <c r="M88">
        <v>13.3</v>
      </c>
      <c r="N88">
        <v>21.69</v>
      </c>
      <c r="O88">
        <v>10.43</v>
      </c>
      <c r="P88">
        <v>362.04</v>
      </c>
      <c r="Q88">
        <v>1058</v>
      </c>
      <c r="R88">
        <v>1</v>
      </c>
      <c r="S88">
        <v>63</v>
      </c>
    </row>
    <row r="89" spans="1:19" x14ac:dyDescent="0.3">
      <c r="A89">
        <v>88</v>
      </c>
      <c r="B89" t="s">
        <v>77</v>
      </c>
      <c r="C89">
        <v>2020</v>
      </c>
      <c r="D89" t="s">
        <v>20</v>
      </c>
      <c r="E89">
        <v>3</v>
      </c>
      <c r="F89" t="s">
        <v>62</v>
      </c>
      <c r="G89" t="s">
        <v>35</v>
      </c>
      <c r="H89">
        <v>9.6199999999999992</v>
      </c>
      <c r="I89" t="s">
        <v>38</v>
      </c>
      <c r="J89">
        <v>18</v>
      </c>
      <c r="K89">
        <v>588</v>
      </c>
      <c r="L89">
        <v>92.62</v>
      </c>
      <c r="M89">
        <v>14.57</v>
      </c>
      <c r="N89">
        <v>14.37</v>
      </c>
      <c r="O89">
        <v>1.55</v>
      </c>
      <c r="P89">
        <v>291.20999999999998</v>
      </c>
      <c r="Q89">
        <v>743</v>
      </c>
      <c r="R89">
        <v>4</v>
      </c>
      <c r="S89">
        <v>92</v>
      </c>
    </row>
    <row r="90" spans="1:19" x14ac:dyDescent="0.3">
      <c r="A90">
        <v>89</v>
      </c>
      <c r="B90" t="s">
        <v>90</v>
      </c>
      <c r="C90">
        <v>2020</v>
      </c>
      <c r="D90" t="s">
        <v>20</v>
      </c>
      <c r="E90">
        <v>3</v>
      </c>
      <c r="F90" t="s">
        <v>21</v>
      </c>
      <c r="G90" t="s">
        <v>22</v>
      </c>
      <c r="H90">
        <v>11.83</v>
      </c>
      <c r="I90" t="s">
        <v>32</v>
      </c>
      <c r="J90">
        <v>37</v>
      </c>
      <c r="K90">
        <v>177</v>
      </c>
      <c r="L90">
        <v>92.9</v>
      </c>
      <c r="M90">
        <v>23.47</v>
      </c>
      <c r="N90">
        <v>8.76</v>
      </c>
      <c r="O90">
        <v>15.17</v>
      </c>
      <c r="P90">
        <v>318.87</v>
      </c>
      <c r="Q90">
        <v>485</v>
      </c>
      <c r="R90">
        <v>3</v>
      </c>
      <c r="S90">
        <v>189</v>
      </c>
    </row>
    <row r="91" spans="1:19" x14ac:dyDescent="0.3">
      <c r="A91">
        <v>90</v>
      </c>
      <c r="B91" t="s">
        <v>91</v>
      </c>
      <c r="C91">
        <v>2020</v>
      </c>
      <c r="D91" t="s">
        <v>20</v>
      </c>
      <c r="E91">
        <v>3</v>
      </c>
      <c r="F91" t="s">
        <v>37</v>
      </c>
      <c r="G91" t="s">
        <v>42</v>
      </c>
      <c r="H91">
        <v>5.73</v>
      </c>
      <c r="I91" t="s">
        <v>23</v>
      </c>
      <c r="J91">
        <v>17</v>
      </c>
      <c r="K91">
        <v>578</v>
      </c>
      <c r="L91">
        <v>94.72</v>
      </c>
      <c r="M91">
        <v>9.09</v>
      </c>
      <c r="N91">
        <v>7.38</v>
      </c>
      <c r="O91">
        <v>4.0199999999999996</v>
      </c>
      <c r="P91">
        <v>434.14</v>
      </c>
      <c r="Q91">
        <v>842</v>
      </c>
      <c r="R91">
        <v>3</v>
      </c>
      <c r="S91">
        <v>77</v>
      </c>
    </row>
    <row r="92" spans="1:19" x14ac:dyDescent="0.3">
      <c r="A92">
        <v>91</v>
      </c>
      <c r="B92" t="s">
        <v>77</v>
      </c>
      <c r="C92">
        <v>2020</v>
      </c>
      <c r="D92" t="s">
        <v>20</v>
      </c>
      <c r="E92">
        <v>3</v>
      </c>
      <c r="F92" t="s">
        <v>37</v>
      </c>
      <c r="G92" t="s">
        <v>35</v>
      </c>
      <c r="H92">
        <v>22.56</v>
      </c>
      <c r="I92" t="s">
        <v>47</v>
      </c>
      <c r="J92">
        <v>14</v>
      </c>
      <c r="K92">
        <v>470</v>
      </c>
      <c r="L92">
        <v>92.32</v>
      </c>
      <c r="M92">
        <v>11.93</v>
      </c>
      <c r="N92">
        <v>8.58</v>
      </c>
      <c r="O92">
        <v>16</v>
      </c>
      <c r="P92">
        <v>380.65</v>
      </c>
      <c r="Q92">
        <v>869</v>
      </c>
      <c r="R92">
        <v>5</v>
      </c>
      <c r="S92">
        <v>241</v>
      </c>
    </row>
    <row r="93" spans="1:19" x14ac:dyDescent="0.3">
      <c r="A93">
        <v>92</v>
      </c>
      <c r="B93" t="s">
        <v>92</v>
      </c>
      <c r="C93">
        <v>2020</v>
      </c>
      <c r="D93" t="s">
        <v>20</v>
      </c>
      <c r="E93">
        <v>3</v>
      </c>
      <c r="F93" t="s">
        <v>34</v>
      </c>
      <c r="G93" t="s">
        <v>42</v>
      </c>
      <c r="H93">
        <v>18.78</v>
      </c>
      <c r="I93" t="s">
        <v>38</v>
      </c>
      <c r="J93">
        <v>2</v>
      </c>
      <c r="K93">
        <v>500</v>
      </c>
      <c r="L93">
        <v>82.87</v>
      </c>
      <c r="M93">
        <v>24.59</v>
      </c>
      <c r="N93">
        <v>19.93</v>
      </c>
      <c r="O93">
        <v>6.17</v>
      </c>
      <c r="P93">
        <v>498.64</v>
      </c>
      <c r="Q93">
        <v>171</v>
      </c>
      <c r="R93">
        <v>5</v>
      </c>
      <c r="S93">
        <v>119</v>
      </c>
    </row>
    <row r="94" spans="1:19" x14ac:dyDescent="0.3">
      <c r="A94">
        <v>93</v>
      </c>
      <c r="B94" t="s">
        <v>93</v>
      </c>
      <c r="C94">
        <v>2020</v>
      </c>
      <c r="D94" t="s">
        <v>20</v>
      </c>
      <c r="E94">
        <v>3</v>
      </c>
      <c r="F94" t="s">
        <v>37</v>
      </c>
      <c r="G94" t="s">
        <v>22</v>
      </c>
      <c r="H94">
        <v>47.2</v>
      </c>
      <c r="I94" t="s">
        <v>23</v>
      </c>
      <c r="J94">
        <v>38</v>
      </c>
      <c r="K94">
        <v>414</v>
      </c>
      <c r="L94">
        <v>78.52</v>
      </c>
      <c r="M94">
        <v>25.8</v>
      </c>
      <c r="N94">
        <v>16.670000000000002</v>
      </c>
      <c r="O94">
        <v>14.81</v>
      </c>
      <c r="P94">
        <v>478.21</v>
      </c>
      <c r="Q94">
        <v>232</v>
      </c>
      <c r="R94">
        <v>5</v>
      </c>
      <c r="S94">
        <v>242</v>
      </c>
    </row>
    <row r="95" spans="1:19" x14ac:dyDescent="0.3">
      <c r="A95">
        <v>94</v>
      </c>
      <c r="B95" t="s">
        <v>89</v>
      </c>
      <c r="C95">
        <v>2020</v>
      </c>
      <c r="D95" t="s">
        <v>20</v>
      </c>
      <c r="E95">
        <v>3</v>
      </c>
      <c r="F95" t="s">
        <v>53</v>
      </c>
      <c r="G95" t="s">
        <v>42</v>
      </c>
      <c r="H95">
        <v>45.49</v>
      </c>
      <c r="I95" t="s">
        <v>38</v>
      </c>
      <c r="J95">
        <v>16</v>
      </c>
      <c r="K95">
        <v>319</v>
      </c>
      <c r="L95">
        <v>83.81</v>
      </c>
      <c r="M95">
        <v>9.31</v>
      </c>
      <c r="N95">
        <v>21.71</v>
      </c>
      <c r="O95">
        <v>10.92</v>
      </c>
      <c r="P95">
        <v>171.84</v>
      </c>
      <c r="Q95">
        <v>607</v>
      </c>
      <c r="R95">
        <v>1</v>
      </c>
      <c r="S95">
        <v>220</v>
      </c>
    </row>
    <row r="96" spans="1:19" x14ac:dyDescent="0.3">
      <c r="A96">
        <v>95</v>
      </c>
      <c r="B96" t="s">
        <v>94</v>
      </c>
      <c r="C96">
        <v>2020</v>
      </c>
      <c r="D96" t="s">
        <v>20</v>
      </c>
      <c r="E96">
        <v>3</v>
      </c>
      <c r="F96" t="s">
        <v>21</v>
      </c>
      <c r="G96" t="s">
        <v>22</v>
      </c>
      <c r="H96">
        <v>23.96</v>
      </c>
      <c r="I96" t="s">
        <v>23</v>
      </c>
      <c r="J96">
        <v>48</v>
      </c>
      <c r="K96">
        <v>569</v>
      </c>
      <c r="L96">
        <v>75.17</v>
      </c>
      <c r="M96">
        <v>26.95</v>
      </c>
      <c r="N96">
        <v>11.27</v>
      </c>
      <c r="O96">
        <v>10.5</v>
      </c>
      <c r="P96">
        <v>355.77</v>
      </c>
      <c r="Q96">
        <v>587</v>
      </c>
      <c r="R96">
        <v>1</v>
      </c>
      <c r="S96">
        <v>131</v>
      </c>
    </row>
    <row r="97" spans="1:19" x14ac:dyDescent="0.3">
      <c r="A97">
        <v>96</v>
      </c>
      <c r="B97" t="s">
        <v>86</v>
      </c>
      <c r="C97">
        <v>2020</v>
      </c>
      <c r="D97" t="s">
        <v>20</v>
      </c>
      <c r="E97">
        <v>3</v>
      </c>
      <c r="F97" t="s">
        <v>25</v>
      </c>
      <c r="G97" t="s">
        <v>35</v>
      </c>
      <c r="H97">
        <v>14.39</v>
      </c>
      <c r="I97" t="s">
        <v>27</v>
      </c>
      <c r="J97">
        <v>13</v>
      </c>
      <c r="K97">
        <v>350</v>
      </c>
      <c r="L97">
        <v>89.13</v>
      </c>
      <c r="M97">
        <v>34.01</v>
      </c>
      <c r="N97">
        <v>15.18</v>
      </c>
      <c r="O97">
        <v>4.84</v>
      </c>
      <c r="P97">
        <v>361.53</v>
      </c>
      <c r="Q97">
        <v>869</v>
      </c>
      <c r="R97">
        <v>1</v>
      </c>
      <c r="S97">
        <v>68</v>
      </c>
    </row>
    <row r="98" spans="1:19" x14ac:dyDescent="0.3">
      <c r="A98">
        <v>97</v>
      </c>
      <c r="B98" t="s">
        <v>85</v>
      </c>
      <c r="C98">
        <v>2020</v>
      </c>
      <c r="D98" t="s">
        <v>20</v>
      </c>
      <c r="E98">
        <v>3</v>
      </c>
      <c r="F98" t="s">
        <v>31</v>
      </c>
      <c r="G98" t="s">
        <v>42</v>
      </c>
      <c r="H98">
        <v>33.880000000000003</v>
      </c>
      <c r="I98" t="s">
        <v>23</v>
      </c>
      <c r="J98">
        <v>3</v>
      </c>
      <c r="K98">
        <v>369</v>
      </c>
      <c r="L98">
        <v>89.43</v>
      </c>
      <c r="M98">
        <v>24.14</v>
      </c>
      <c r="N98">
        <v>8.51</v>
      </c>
      <c r="O98">
        <v>9.32</v>
      </c>
      <c r="P98">
        <v>555.39</v>
      </c>
      <c r="Q98">
        <v>954</v>
      </c>
      <c r="R98">
        <v>2</v>
      </c>
      <c r="S98">
        <v>184</v>
      </c>
    </row>
    <row r="99" spans="1:19" x14ac:dyDescent="0.3">
      <c r="A99">
        <v>98</v>
      </c>
      <c r="B99" t="s">
        <v>90</v>
      </c>
      <c r="C99">
        <v>2020</v>
      </c>
      <c r="D99" t="s">
        <v>20</v>
      </c>
      <c r="E99">
        <v>3</v>
      </c>
      <c r="F99" t="s">
        <v>37</v>
      </c>
      <c r="G99" t="s">
        <v>35</v>
      </c>
      <c r="H99">
        <v>16.989999999999998</v>
      </c>
      <c r="I99" t="s">
        <v>23</v>
      </c>
      <c r="J99">
        <v>25</v>
      </c>
      <c r="K99">
        <v>279</v>
      </c>
      <c r="L99">
        <v>78.3</v>
      </c>
      <c r="M99">
        <v>21.48</v>
      </c>
      <c r="N99">
        <v>14.06</v>
      </c>
      <c r="O99">
        <v>7.22</v>
      </c>
      <c r="P99">
        <v>233.88</v>
      </c>
      <c r="Q99">
        <v>565</v>
      </c>
      <c r="R99">
        <v>1</v>
      </c>
      <c r="S99">
        <v>242</v>
      </c>
    </row>
    <row r="100" spans="1:19" x14ac:dyDescent="0.3">
      <c r="A100">
        <v>99</v>
      </c>
      <c r="B100" t="s">
        <v>81</v>
      </c>
      <c r="C100">
        <v>2020</v>
      </c>
      <c r="D100" t="s">
        <v>20</v>
      </c>
      <c r="E100">
        <v>3</v>
      </c>
      <c r="F100" t="s">
        <v>31</v>
      </c>
      <c r="G100" t="s">
        <v>35</v>
      </c>
      <c r="H100">
        <v>21.2</v>
      </c>
      <c r="I100" t="s">
        <v>27</v>
      </c>
      <c r="J100">
        <v>26</v>
      </c>
      <c r="K100">
        <v>398</v>
      </c>
      <c r="L100">
        <v>77.12</v>
      </c>
      <c r="M100">
        <v>21.96</v>
      </c>
      <c r="N100">
        <v>16.440000000000001</v>
      </c>
      <c r="O100">
        <v>3.95</v>
      </c>
      <c r="P100">
        <v>206.59</v>
      </c>
      <c r="Q100">
        <v>593</v>
      </c>
      <c r="R100">
        <v>2</v>
      </c>
      <c r="S100">
        <v>227</v>
      </c>
    </row>
    <row r="101" spans="1:19" x14ac:dyDescent="0.3">
      <c r="A101">
        <v>100</v>
      </c>
      <c r="B101" t="s">
        <v>94</v>
      </c>
      <c r="C101">
        <v>2020</v>
      </c>
      <c r="D101" t="s">
        <v>20</v>
      </c>
      <c r="E101">
        <v>3</v>
      </c>
      <c r="F101" t="s">
        <v>62</v>
      </c>
      <c r="G101" t="s">
        <v>40</v>
      </c>
      <c r="H101">
        <v>6.81</v>
      </c>
      <c r="I101" t="s">
        <v>27</v>
      </c>
      <c r="J101">
        <v>38</v>
      </c>
      <c r="K101">
        <v>441</v>
      </c>
      <c r="L101">
        <v>94.84</v>
      </c>
      <c r="M101">
        <v>20.61</v>
      </c>
      <c r="N101">
        <v>8.7100000000000009</v>
      </c>
      <c r="O101">
        <v>11.9</v>
      </c>
      <c r="P101">
        <v>261.10000000000002</v>
      </c>
      <c r="Q101">
        <v>205</v>
      </c>
      <c r="R101">
        <v>1</v>
      </c>
      <c r="S101">
        <v>201</v>
      </c>
    </row>
    <row r="102" spans="1:19" x14ac:dyDescent="0.3">
      <c r="A102">
        <v>101</v>
      </c>
      <c r="B102" t="s">
        <v>84</v>
      </c>
      <c r="C102">
        <v>2020</v>
      </c>
      <c r="D102" t="s">
        <v>20</v>
      </c>
      <c r="E102">
        <v>3</v>
      </c>
      <c r="F102" t="s">
        <v>29</v>
      </c>
      <c r="G102" t="s">
        <v>26</v>
      </c>
      <c r="H102">
        <v>5.39</v>
      </c>
      <c r="I102" t="s">
        <v>32</v>
      </c>
      <c r="J102">
        <v>38</v>
      </c>
      <c r="K102">
        <v>339</v>
      </c>
      <c r="L102">
        <v>76.28</v>
      </c>
      <c r="M102">
        <v>17.829999999999998</v>
      </c>
      <c r="N102">
        <v>17.13</v>
      </c>
      <c r="O102">
        <v>10.199999999999999</v>
      </c>
      <c r="P102">
        <v>490.36</v>
      </c>
      <c r="Q102">
        <v>367</v>
      </c>
      <c r="R102">
        <v>1</v>
      </c>
      <c r="S102">
        <v>172</v>
      </c>
    </row>
    <row r="103" spans="1:19" x14ac:dyDescent="0.3">
      <c r="A103">
        <v>102</v>
      </c>
      <c r="B103" t="s">
        <v>91</v>
      </c>
      <c r="C103">
        <v>2020</v>
      </c>
      <c r="D103" t="s">
        <v>20</v>
      </c>
      <c r="E103">
        <v>3</v>
      </c>
      <c r="F103" t="s">
        <v>62</v>
      </c>
      <c r="G103" t="s">
        <v>22</v>
      </c>
      <c r="H103">
        <v>51.01</v>
      </c>
      <c r="I103" t="s">
        <v>27</v>
      </c>
      <c r="J103">
        <v>30</v>
      </c>
      <c r="K103">
        <v>273</v>
      </c>
      <c r="L103">
        <v>87.9</v>
      </c>
      <c r="M103">
        <v>28.02</v>
      </c>
      <c r="N103">
        <v>15.78</v>
      </c>
      <c r="O103">
        <v>6.39</v>
      </c>
      <c r="P103">
        <v>525.09</v>
      </c>
      <c r="Q103">
        <v>665</v>
      </c>
      <c r="R103">
        <v>1</v>
      </c>
      <c r="S103">
        <v>171</v>
      </c>
    </row>
    <row r="104" spans="1:19" x14ac:dyDescent="0.3">
      <c r="A104">
        <v>103</v>
      </c>
      <c r="B104" t="s">
        <v>95</v>
      </c>
      <c r="C104">
        <v>2020</v>
      </c>
      <c r="D104" t="s">
        <v>96</v>
      </c>
      <c r="E104">
        <v>4</v>
      </c>
      <c r="F104" t="s">
        <v>62</v>
      </c>
      <c r="G104" t="s">
        <v>40</v>
      </c>
      <c r="H104">
        <v>39.97</v>
      </c>
      <c r="I104" t="s">
        <v>23</v>
      </c>
      <c r="J104">
        <v>29</v>
      </c>
      <c r="K104">
        <v>554</v>
      </c>
      <c r="L104">
        <v>88.67</v>
      </c>
      <c r="M104">
        <v>15.32</v>
      </c>
      <c r="N104">
        <v>5.91</v>
      </c>
      <c r="O104">
        <v>2.4700000000000002</v>
      </c>
      <c r="P104">
        <v>459.9</v>
      </c>
      <c r="Q104">
        <v>588</v>
      </c>
      <c r="R104">
        <v>4</v>
      </c>
      <c r="S104">
        <v>132</v>
      </c>
    </row>
    <row r="105" spans="1:19" x14ac:dyDescent="0.3">
      <c r="A105">
        <v>104</v>
      </c>
      <c r="B105" t="s">
        <v>97</v>
      </c>
      <c r="C105">
        <v>2020</v>
      </c>
      <c r="D105" t="s">
        <v>96</v>
      </c>
      <c r="E105">
        <v>4</v>
      </c>
      <c r="F105" t="s">
        <v>62</v>
      </c>
      <c r="G105" t="s">
        <v>22</v>
      </c>
      <c r="H105">
        <v>46.19</v>
      </c>
      <c r="I105" t="s">
        <v>23</v>
      </c>
      <c r="J105">
        <v>26</v>
      </c>
      <c r="K105">
        <v>460</v>
      </c>
      <c r="L105">
        <v>90.05</v>
      </c>
      <c r="M105">
        <v>11.95</v>
      </c>
      <c r="N105">
        <v>11.98</v>
      </c>
      <c r="O105">
        <v>8.4</v>
      </c>
      <c r="P105">
        <v>483.71</v>
      </c>
      <c r="Q105">
        <v>831</v>
      </c>
      <c r="R105">
        <v>2</v>
      </c>
      <c r="S105">
        <v>178</v>
      </c>
    </row>
    <row r="106" spans="1:19" x14ac:dyDescent="0.3">
      <c r="A106">
        <v>105</v>
      </c>
      <c r="B106" t="s">
        <v>98</v>
      </c>
      <c r="C106">
        <v>2020</v>
      </c>
      <c r="D106" t="s">
        <v>96</v>
      </c>
      <c r="E106">
        <v>4</v>
      </c>
      <c r="F106" t="s">
        <v>53</v>
      </c>
      <c r="G106" t="s">
        <v>35</v>
      </c>
      <c r="H106">
        <v>16.05</v>
      </c>
      <c r="I106" t="s">
        <v>32</v>
      </c>
      <c r="J106">
        <v>43</v>
      </c>
      <c r="K106">
        <v>479</v>
      </c>
      <c r="L106">
        <v>94.05</v>
      </c>
      <c r="M106">
        <v>33.36</v>
      </c>
      <c r="N106">
        <v>17.190000000000001</v>
      </c>
      <c r="O106">
        <v>11.42</v>
      </c>
      <c r="P106">
        <v>262.81</v>
      </c>
      <c r="Q106">
        <v>593</v>
      </c>
      <c r="R106">
        <v>2</v>
      </c>
      <c r="S106">
        <v>176</v>
      </c>
    </row>
    <row r="107" spans="1:19" x14ac:dyDescent="0.3">
      <c r="A107">
        <v>106</v>
      </c>
      <c r="B107" t="s">
        <v>99</v>
      </c>
      <c r="C107">
        <v>2020</v>
      </c>
      <c r="D107" t="s">
        <v>96</v>
      </c>
      <c r="E107">
        <v>4</v>
      </c>
      <c r="F107" t="s">
        <v>29</v>
      </c>
      <c r="G107" t="s">
        <v>42</v>
      </c>
      <c r="H107">
        <v>35.1</v>
      </c>
      <c r="I107" t="s">
        <v>32</v>
      </c>
      <c r="J107">
        <v>19</v>
      </c>
      <c r="K107">
        <v>249</v>
      </c>
      <c r="L107">
        <v>94.09</v>
      </c>
      <c r="M107">
        <v>13.71</v>
      </c>
      <c r="N107">
        <v>16.989999999999998</v>
      </c>
      <c r="O107">
        <v>4.74</v>
      </c>
      <c r="P107">
        <v>122.86</v>
      </c>
      <c r="Q107">
        <v>1031</v>
      </c>
      <c r="R107">
        <v>4</v>
      </c>
      <c r="S107">
        <v>120</v>
      </c>
    </row>
    <row r="108" spans="1:19" x14ac:dyDescent="0.3">
      <c r="A108">
        <v>107</v>
      </c>
      <c r="B108" t="s">
        <v>100</v>
      </c>
      <c r="C108">
        <v>2020</v>
      </c>
      <c r="D108" t="s">
        <v>96</v>
      </c>
      <c r="E108">
        <v>4</v>
      </c>
      <c r="F108" t="s">
        <v>62</v>
      </c>
      <c r="G108" t="s">
        <v>35</v>
      </c>
      <c r="H108">
        <v>36.5</v>
      </c>
      <c r="I108" t="s">
        <v>47</v>
      </c>
      <c r="J108">
        <v>50</v>
      </c>
      <c r="K108">
        <v>274</v>
      </c>
      <c r="L108">
        <v>83.22</v>
      </c>
      <c r="M108">
        <v>27.52</v>
      </c>
      <c r="N108">
        <v>11.7</v>
      </c>
      <c r="O108">
        <v>12.32</v>
      </c>
      <c r="P108">
        <v>320.77</v>
      </c>
      <c r="Q108">
        <v>535</v>
      </c>
      <c r="R108">
        <v>4</v>
      </c>
      <c r="S108">
        <v>132</v>
      </c>
    </row>
    <row r="109" spans="1:19" x14ac:dyDescent="0.3">
      <c r="A109">
        <v>108</v>
      </c>
      <c r="B109" t="s">
        <v>101</v>
      </c>
      <c r="C109">
        <v>2020</v>
      </c>
      <c r="D109" t="s">
        <v>96</v>
      </c>
      <c r="E109">
        <v>4</v>
      </c>
      <c r="F109" t="s">
        <v>34</v>
      </c>
      <c r="G109" t="s">
        <v>26</v>
      </c>
      <c r="H109">
        <v>27.55</v>
      </c>
      <c r="I109" t="s">
        <v>23</v>
      </c>
      <c r="J109">
        <v>48</v>
      </c>
      <c r="K109">
        <v>285</v>
      </c>
      <c r="L109">
        <v>78.63</v>
      </c>
      <c r="M109">
        <v>15.57</v>
      </c>
      <c r="N109">
        <v>2.96</v>
      </c>
      <c r="O109">
        <v>1.74</v>
      </c>
      <c r="P109">
        <v>358.88</v>
      </c>
      <c r="Q109">
        <v>814</v>
      </c>
      <c r="R109">
        <v>4</v>
      </c>
      <c r="S109">
        <v>117</v>
      </c>
    </row>
    <row r="110" spans="1:19" x14ac:dyDescent="0.3">
      <c r="A110">
        <v>109</v>
      </c>
      <c r="B110" t="s">
        <v>102</v>
      </c>
      <c r="C110">
        <v>2020</v>
      </c>
      <c r="D110" t="s">
        <v>96</v>
      </c>
      <c r="E110">
        <v>4</v>
      </c>
      <c r="F110" t="s">
        <v>62</v>
      </c>
      <c r="G110" t="s">
        <v>42</v>
      </c>
      <c r="H110">
        <v>45.82</v>
      </c>
      <c r="I110" t="s">
        <v>32</v>
      </c>
      <c r="J110">
        <v>30</v>
      </c>
      <c r="K110">
        <v>523</v>
      </c>
      <c r="L110">
        <v>85.38</v>
      </c>
      <c r="M110">
        <v>32.979999999999997</v>
      </c>
      <c r="N110">
        <v>4.5199999999999996</v>
      </c>
      <c r="O110">
        <v>13.81</v>
      </c>
      <c r="P110">
        <v>519.54999999999995</v>
      </c>
      <c r="Q110">
        <v>774</v>
      </c>
      <c r="R110">
        <v>4</v>
      </c>
      <c r="S110">
        <v>139</v>
      </c>
    </row>
    <row r="111" spans="1:19" x14ac:dyDescent="0.3">
      <c r="A111">
        <v>110</v>
      </c>
      <c r="B111" t="s">
        <v>103</v>
      </c>
      <c r="C111">
        <v>2020</v>
      </c>
      <c r="D111" t="s">
        <v>96</v>
      </c>
      <c r="E111">
        <v>4</v>
      </c>
      <c r="F111" t="s">
        <v>25</v>
      </c>
      <c r="G111" t="s">
        <v>35</v>
      </c>
      <c r="H111">
        <v>39.590000000000003</v>
      </c>
      <c r="I111" t="s">
        <v>27</v>
      </c>
      <c r="J111">
        <v>34</v>
      </c>
      <c r="K111">
        <v>441</v>
      </c>
      <c r="L111">
        <v>90.1</v>
      </c>
      <c r="M111">
        <v>32.1</v>
      </c>
      <c r="N111">
        <v>12.12</v>
      </c>
      <c r="O111">
        <v>5.38</v>
      </c>
      <c r="P111">
        <v>554.11</v>
      </c>
      <c r="Q111">
        <v>669</v>
      </c>
      <c r="R111">
        <v>3</v>
      </c>
      <c r="S111">
        <v>139</v>
      </c>
    </row>
    <row r="112" spans="1:19" x14ac:dyDescent="0.3">
      <c r="A112">
        <v>111</v>
      </c>
      <c r="B112" t="s">
        <v>104</v>
      </c>
      <c r="C112">
        <v>2020</v>
      </c>
      <c r="D112" t="s">
        <v>96</v>
      </c>
      <c r="E112">
        <v>4</v>
      </c>
      <c r="F112" t="s">
        <v>53</v>
      </c>
      <c r="G112" t="s">
        <v>26</v>
      </c>
      <c r="H112">
        <v>42.26</v>
      </c>
      <c r="I112" t="s">
        <v>23</v>
      </c>
      <c r="J112">
        <v>4</v>
      </c>
      <c r="K112">
        <v>192</v>
      </c>
      <c r="L112">
        <v>80.47</v>
      </c>
      <c r="M112">
        <v>27.84</v>
      </c>
      <c r="N112">
        <v>19.57</v>
      </c>
      <c r="O112">
        <v>8.41</v>
      </c>
      <c r="P112">
        <v>420.83</v>
      </c>
      <c r="Q112">
        <v>1082</v>
      </c>
      <c r="R112">
        <v>1</v>
      </c>
      <c r="S112">
        <v>117</v>
      </c>
    </row>
    <row r="113" spans="1:19" x14ac:dyDescent="0.3">
      <c r="A113">
        <v>112</v>
      </c>
      <c r="B113" t="s">
        <v>105</v>
      </c>
      <c r="C113">
        <v>2020</v>
      </c>
      <c r="D113" t="s">
        <v>96</v>
      </c>
      <c r="E113">
        <v>4</v>
      </c>
      <c r="F113" t="s">
        <v>34</v>
      </c>
      <c r="G113" t="s">
        <v>22</v>
      </c>
      <c r="H113">
        <v>42.9</v>
      </c>
      <c r="I113" t="s">
        <v>27</v>
      </c>
      <c r="J113">
        <v>11</v>
      </c>
      <c r="K113">
        <v>120</v>
      </c>
      <c r="L113">
        <v>80.84</v>
      </c>
      <c r="M113">
        <v>7.57</v>
      </c>
      <c r="N113">
        <v>18.37</v>
      </c>
      <c r="O113">
        <v>14.72</v>
      </c>
      <c r="P113">
        <v>351.94</v>
      </c>
      <c r="Q113">
        <v>976</v>
      </c>
      <c r="R113">
        <v>5</v>
      </c>
      <c r="S113">
        <v>174</v>
      </c>
    </row>
    <row r="114" spans="1:19" x14ac:dyDescent="0.3">
      <c r="A114">
        <v>113</v>
      </c>
      <c r="B114" t="s">
        <v>106</v>
      </c>
      <c r="C114">
        <v>2020</v>
      </c>
      <c r="D114" t="s">
        <v>96</v>
      </c>
      <c r="E114">
        <v>4</v>
      </c>
      <c r="F114" t="s">
        <v>21</v>
      </c>
      <c r="G114" t="s">
        <v>26</v>
      </c>
      <c r="H114">
        <v>14.7</v>
      </c>
      <c r="I114" t="s">
        <v>47</v>
      </c>
      <c r="J114">
        <v>32</v>
      </c>
      <c r="K114">
        <v>530</v>
      </c>
      <c r="L114">
        <v>81.88</v>
      </c>
      <c r="M114">
        <v>15.45</v>
      </c>
      <c r="N114">
        <v>13.48</v>
      </c>
      <c r="O114">
        <v>15.43</v>
      </c>
      <c r="P114">
        <v>112.4</v>
      </c>
      <c r="Q114">
        <v>848</v>
      </c>
      <c r="R114">
        <v>5</v>
      </c>
      <c r="S114">
        <v>175</v>
      </c>
    </row>
    <row r="115" spans="1:19" x14ac:dyDescent="0.3">
      <c r="A115">
        <v>114</v>
      </c>
      <c r="B115" t="s">
        <v>104</v>
      </c>
      <c r="C115">
        <v>2020</v>
      </c>
      <c r="D115" t="s">
        <v>96</v>
      </c>
      <c r="E115">
        <v>4</v>
      </c>
      <c r="F115" t="s">
        <v>53</v>
      </c>
      <c r="G115" t="s">
        <v>22</v>
      </c>
      <c r="H115">
        <v>29.93</v>
      </c>
      <c r="I115" t="s">
        <v>23</v>
      </c>
      <c r="J115">
        <v>16</v>
      </c>
      <c r="K115">
        <v>274</v>
      </c>
      <c r="L115">
        <v>92.43</v>
      </c>
      <c r="M115">
        <v>32.700000000000003</v>
      </c>
      <c r="N115">
        <v>3.62</v>
      </c>
      <c r="O115">
        <v>1.44</v>
      </c>
      <c r="P115">
        <v>317.89</v>
      </c>
      <c r="Q115">
        <v>272</v>
      </c>
      <c r="R115">
        <v>5</v>
      </c>
      <c r="S115">
        <v>65</v>
      </c>
    </row>
    <row r="116" spans="1:19" x14ac:dyDescent="0.3">
      <c r="A116">
        <v>115</v>
      </c>
      <c r="B116" t="s">
        <v>107</v>
      </c>
      <c r="C116">
        <v>2020</v>
      </c>
      <c r="D116" t="s">
        <v>96</v>
      </c>
      <c r="E116">
        <v>4</v>
      </c>
      <c r="F116" t="s">
        <v>53</v>
      </c>
      <c r="G116" t="s">
        <v>42</v>
      </c>
      <c r="H116">
        <v>30.27</v>
      </c>
      <c r="I116" t="s">
        <v>38</v>
      </c>
      <c r="J116">
        <v>28</v>
      </c>
      <c r="K116">
        <v>576</v>
      </c>
      <c r="L116">
        <v>77.67</v>
      </c>
      <c r="M116">
        <v>21.18</v>
      </c>
      <c r="N116">
        <v>19.28</v>
      </c>
      <c r="O116">
        <v>1.83</v>
      </c>
      <c r="P116">
        <v>149.52000000000001</v>
      </c>
      <c r="Q116">
        <v>311</v>
      </c>
      <c r="R116">
        <v>5</v>
      </c>
      <c r="S116">
        <v>112</v>
      </c>
    </row>
    <row r="117" spans="1:19" x14ac:dyDescent="0.3">
      <c r="A117">
        <v>116</v>
      </c>
      <c r="B117" t="s">
        <v>108</v>
      </c>
      <c r="C117">
        <v>2020</v>
      </c>
      <c r="D117" t="s">
        <v>96</v>
      </c>
      <c r="E117">
        <v>4</v>
      </c>
      <c r="F117" t="s">
        <v>21</v>
      </c>
      <c r="G117" t="s">
        <v>26</v>
      </c>
      <c r="H117">
        <v>26.84</v>
      </c>
      <c r="I117" t="s">
        <v>38</v>
      </c>
      <c r="J117">
        <v>23</v>
      </c>
      <c r="K117">
        <v>294</v>
      </c>
      <c r="L117">
        <v>79.03</v>
      </c>
      <c r="M117">
        <v>34.32</v>
      </c>
      <c r="N117">
        <v>16.670000000000002</v>
      </c>
      <c r="O117">
        <v>14.27</v>
      </c>
      <c r="P117">
        <v>282.94</v>
      </c>
      <c r="Q117">
        <v>1051</v>
      </c>
      <c r="R117">
        <v>1</v>
      </c>
      <c r="S117">
        <v>118</v>
      </c>
    </row>
    <row r="118" spans="1:19" x14ac:dyDescent="0.3">
      <c r="A118">
        <v>117</v>
      </c>
      <c r="B118" t="s">
        <v>109</v>
      </c>
      <c r="C118">
        <v>2020</v>
      </c>
      <c r="D118" t="s">
        <v>96</v>
      </c>
      <c r="E118">
        <v>4</v>
      </c>
      <c r="F118" t="s">
        <v>21</v>
      </c>
      <c r="G118" t="s">
        <v>26</v>
      </c>
      <c r="H118">
        <v>50.9</v>
      </c>
      <c r="I118" t="s">
        <v>32</v>
      </c>
      <c r="J118">
        <v>43</v>
      </c>
      <c r="K118">
        <v>345</v>
      </c>
      <c r="L118">
        <v>78.209999999999994</v>
      </c>
      <c r="M118">
        <v>22.71</v>
      </c>
      <c r="N118">
        <v>14.61</v>
      </c>
      <c r="O118">
        <v>9.26</v>
      </c>
      <c r="P118">
        <v>590.66999999999996</v>
      </c>
      <c r="Q118">
        <v>376</v>
      </c>
      <c r="R118">
        <v>4</v>
      </c>
      <c r="S118">
        <v>194</v>
      </c>
    </row>
    <row r="119" spans="1:19" x14ac:dyDescent="0.3">
      <c r="A119">
        <v>118</v>
      </c>
      <c r="B119" t="s">
        <v>109</v>
      </c>
      <c r="C119">
        <v>2020</v>
      </c>
      <c r="D119" t="s">
        <v>96</v>
      </c>
      <c r="E119">
        <v>4</v>
      </c>
      <c r="F119" t="s">
        <v>34</v>
      </c>
      <c r="G119" t="s">
        <v>40</v>
      </c>
      <c r="H119">
        <v>37.33</v>
      </c>
      <c r="I119" t="s">
        <v>27</v>
      </c>
      <c r="J119">
        <v>32</v>
      </c>
      <c r="K119">
        <v>139</v>
      </c>
      <c r="L119">
        <v>87.57</v>
      </c>
      <c r="M119">
        <v>7.68</v>
      </c>
      <c r="N119">
        <v>21.91</v>
      </c>
      <c r="O119">
        <v>9.8000000000000007</v>
      </c>
      <c r="P119">
        <v>125.13</v>
      </c>
      <c r="Q119">
        <v>176</v>
      </c>
      <c r="R119">
        <v>2</v>
      </c>
      <c r="S119">
        <v>54</v>
      </c>
    </row>
    <row r="120" spans="1:19" x14ac:dyDescent="0.3">
      <c r="A120">
        <v>119</v>
      </c>
      <c r="B120" t="s">
        <v>110</v>
      </c>
      <c r="C120">
        <v>2020</v>
      </c>
      <c r="D120" t="s">
        <v>96</v>
      </c>
      <c r="E120">
        <v>4</v>
      </c>
      <c r="F120" t="s">
        <v>62</v>
      </c>
      <c r="G120" t="s">
        <v>22</v>
      </c>
      <c r="H120">
        <v>45.89</v>
      </c>
      <c r="I120" t="s">
        <v>38</v>
      </c>
      <c r="J120">
        <v>7</v>
      </c>
      <c r="K120">
        <v>592</v>
      </c>
      <c r="L120">
        <v>87.7</v>
      </c>
      <c r="M120">
        <v>32.94</v>
      </c>
      <c r="N120">
        <v>10.79</v>
      </c>
      <c r="O120">
        <v>7.67</v>
      </c>
      <c r="P120">
        <v>145.78</v>
      </c>
      <c r="Q120">
        <v>938</v>
      </c>
      <c r="R120">
        <v>3</v>
      </c>
      <c r="S120">
        <v>99</v>
      </c>
    </row>
    <row r="121" spans="1:19" x14ac:dyDescent="0.3">
      <c r="A121">
        <v>120</v>
      </c>
      <c r="B121" t="s">
        <v>100</v>
      </c>
      <c r="C121">
        <v>2020</v>
      </c>
      <c r="D121" t="s">
        <v>96</v>
      </c>
      <c r="E121">
        <v>4</v>
      </c>
      <c r="F121" t="s">
        <v>29</v>
      </c>
      <c r="G121" t="s">
        <v>40</v>
      </c>
      <c r="H121">
        <v>48.33</v>
      </c>
      <c r="I121" t="s">
        <v>32</v>
      </c>
      <c r="J121">
        <v>38</v>
      </c>
      <c r="K121">
        <v>575</v>
      </c>
      <c r="L121">
        <v>91.6</v>
      </c>
      <c r="M121">
        <v>26.56</v>
      </c>
      <c r="N121">
        <v>8.7799999999999994</v>
      </c>
      <c r="O121">
        <v>1.24</v>
      </c>
      <c r="P121">
        <v>582.30999999999995</v>
      </c>
      <c r="Q121">
        <v>232</v>
      </c>
      <c r="R121">
        <v>4</v>
      </c>
      <c r="S121">
        <v>170</v>
      </c>
    </row>
    <row r="122" spans="1:19" x14ac:dyDescent="0.3">
      <c r="A122">
        <v>121</v>
      </c>
      <c r="B122" t="s">
        <v>110</v>
      </c>
      <c r="C122">
        <v>2020</v>
      </c>
      <c r="D122" t="s">
        <v>96</v>
      </c>
      <c r="E122">
        <v>4</v>
      </c>
      <c r="F122" t="s">
        <v>53</v>
      </c>
      <c r="G122" t="s">
        <v>35</v>
      </c>
      <c r="H122">
        <v>17.87</v>
      </c>
      <c r="I122" t="s">
        <v>27</v>
      </c>
      <c r="J122">
        <v>15</v>
      </c>
      <c r="K122">
        <v>333</v>
      </c>
      <c r="L122">
        <v>83.66</v>
      </c>
      <c r="M122">
        <v>23.24</v>
      </c>
      <c r="N122">
        <v>16.86</v>
      </c>
      <c r="O122">
        <v>12.36</v>
      </c>
      <c r="P122">
        <v>305.32</v>
      </c>
      <c r="Q122">
        <v>633</v>
      </c>
      <c r="R122">
        <v>3</v>
      </c>
      <c r="S122">
        <v>187</v>
      </c>
    </row>
    <row r="123" spans="1:19" x14ac:dyDescent="0.3">
      <c r="A123">
        <v>122</v>
      </c>
      <c r="B123" t="s">
        <v>111</v>
      </c>
      <c r="C123">
        <v>2020</v>
      </c>
      <c r="D123" t="s">
        <v>96</v>
      </c>
      <c r="E123">
        <v>4</v>
      </c>
      <c r="F123" t="s">
        <v>25</v>
      </c>
      <c r="G123" t="s">
        <v>40</v>
      </c>
      <c r="H123">
        <v>30.37</v>
      </c>
      <c r="I123" t="s">
        <v>23</v>
      </c>
      <c r="J123">
        <v>11</v>
      </c>
      <c r="K123">
        <v>161</v>
      </c>
      <c r="L123">
        <v>94.11</v>
      </c>
      <c r="M123">
        <v>31.68</v>
      </c>
      <c r="N123">
        <v>19.850000000000001</v>
      </c>
      <c r="O123">
        <v>11.28</v>
      </c>
      <c r="P123">
        <v>277.01</v>
      </c>
      <c r="Q123">
        <v>346</v>
      </c>
      <c r="R123">
        <v>2</v>
      </c>
      <c r="S123">
        <v>151</v>
      </c>
    </row>
    <row r="124" spans="1:19" x14ac:dyDescent="0.3">
      <c r="A124">
        <v>123</v>
      </c>
      <c r="B124" t="s">
        <v>98</v>
      </c>
      <c r="C124">
        <v>2020</v>
      </c>
      <c r="D124" t="s">
        <v>96</v>
      </c>
      <c r="E124">
        <v>4</v>
      </c>
      <c r="F124" t="s">
        <v>34</v>
      </c>
      <c r="G124" t="s">
        <v>35</v>
      </c>
      <c r="H124">
        <v>39.880000000000003</v>
      </c>
      <c r="I124" t="s">
        <v>32</v>
      </c>
      <c r="J124">
        <v>27</v>
      </c>
      <c r="K124">
        <v>523</v>
      </c>
      <c r="L124">
        <v>88.73</v>
      </c>
      <c r="M124">
        <v>20.170000000000002</v>
      </c>
      <c r="N124">
        <v>9.83</v>
      </c>
      <c r="O124">
        <v>6.51</v>
      </c>
      <c r="P124">
        <v>445.44</v>
      </c>
      <c r="Q124">
        <v>573</v>
      </c>
      <c r="R124">
        <v>3</v>
      </c>
      <c r="S124">
        <v>153</v>
      </c>
    </row>
    <row r="125" spans="1:19" x14ac:dyDescent="0.3">
      <c r="A125">
        <v>124</v>
      </c>
      <c r="B125" t="s">
        <v>107</v>
      </c>
      <c r="C125">
        <v>2020</v>
      </c>
      <c r="D125" t="s">
        <v>96</v>
      </c>
      <c r="E125">
        <v>4</v>
      </c>
      <c r="F125" t="s">
        <v>53</v>
      </c>
      <c r="G125" t="s">
        <v>35</v>
      </c>
      <c r="H125">
        <v>7.33</v>
      </c>
      <c r="I125" t="s">
        <v>32</v>
      </c>
      <c r="J125">
        <v>41</v>
      </c>
      <c r="K125">
        <v>337</v>
      </c>
      <c r="L125">
        <v>87.72</v>
      </c>
      <c r="M125">
        <v>21.61</v>
      </c>
      <c r="N125">
        <v>8.81</v>
      </c>
      <c r="O125">
        <v>8.49</v>
      </c>
      <c r="P125">
        <v>429.96</v>
      </c>
      <c r="Q125">
        <v>364</v>
      </c>
      <c r="R125">
        <v>3</v>
      </c>
      <c r="S125">
        <v>190</v>
      </c>
    </row>
    <row r="126" spans="1:19" x14ac:dyDescent="0.3">
      <c r="A126">
        <v>125</v>
      </c>
      <c r="B126" t="s">
        <v>110</v>
      </c>
      <c r="C126">
        <v>2020</v>
      </c>
      <c r="D126" t="s">
        <v>96</v>
      </c>
      <c r="E126">
        <v>4</v>
      </c>
      <c r="F126" t="s">
        <v>37</v>
      </c>
      <c r="G126" t="s">
        <v>26</v>
      </c>
      <c r="H126">
        <v>35</v>
      </c>
      <c r="I126" t="s">
        <v>27</v>
      </c>
      <c r="J126">
        <v>29</v>
      </c>
      <c r="K126">
        <v>229</v>
      </c>
      <c r="L126">
        <v>77.27</v>
      </c>
      <c r="M126">
        <v>6.94</v>
      </c>
      <c r="N126">
        <v>20.149999999999999</v>
      </c>
      <c r="O126">
        <v>3.44</v>
      </c>
      <c r="P126">
        <v>250.68</v>
      </c>
      <c r="Q126">
        <v>173</v>
      </c>
      <c r="R126">
        <v>5</v>
      </c>
      <c r="S126">
        <v>179</v>
      </c>
    </row>
    <row r="127" spans="1:19" x14ac:dyDescent="0.3">
      <c r="A127">
        <v>126</v>
      </c>
      <c r="B127" t="s">
        <v>98</v>
      </c>
      <c r="C127">
        <v>2020</v>
      </c>
      <c r="D127" t="s">
        <v>96</v>
      </c>
      <c r="E127">
        <v>4</v>
      </c>
      <c r="F127" t="s">
        <v>31</v>
      </c>
      <c r="G127" t="s">
        <v>26</v>
      </c>
      <c r="H127">
        <v>42.37</v>
      </c>
      <c r="I127" t="s">
        <v>32</v>
      </c>
      <c r="J127">
        <v>2</v>
      </c>
      <c r="K127">
        <v>477</v>
      </c>
      <c r="L127">
        <v>83.62</v>
      </c>
      <c r="M127">
        <v>32.17</v>
      </c>
      <c r="N127">
        <v>7.01</v>
      </c>
      <c r="O127">
        <v>3.53</v>
      </c>
      <c r="P127">
        <v>406.16</v>
      </c>
      <c r="Q127">
        <v>622</v>
      </c>
      <c r="R127">
        <v>3</v>
      </c>
      <c r="S127">
        <v>155</v>
      </c>
    </row>
    <row r="128" spans="1:19" x14ac:dyDescent="0.3">
      <c r="A128">
        <v>127</v>
      </c>
      <c r="B128" t="s">
        <v>112</v>
      </c>
      <c r="C128">
        <v>2020</v>
      </c>
      <c r="D128" t="s">
        <v>96</v>
      </c>
      <c r="E128">
        <v>4</v>
      </c>
      <c r="F128" t="s">
        <v>31</v>
      </c>
      <c r="G128" t="s">
        <v>40</v>
      </c>
      <c r="H128">
        <v>51.77</v>
      </c>
      <c r="I128" t="s">
        <v>27</v>
      </c>
      <c r="J128">
        <v>28</v>
      </c>
      <c r="K128">
        <v>444</v>
      </c>
      <c r="L128">
        <v>82.54</v>
      </c>
      <c r="M128">
        <v>31.16</v>
      </c>
      <c r="N128">
        <v>11.25</v>
      </c>
      <c r="O128">
        <v>10.43</v>
      </c>
      <c r="P128">
        <v>325.11</v>
      </c>
      <c r="Q128">
        <v>826</v>
      </c>
      <c r="R128">
        <v>4</v>
      </c>
      <c r="S128">
        <v>65</v>
      </c>
    </row>
    <row r="129" spans="1:19" x14ac:dyDescent="0.3">
      <c r="A129">
        <v>128</v>
      </c>
      <c r="B129" t="s">
        <v>113</v>
      </c>
      <c r="C129">
        <v>2020</v>
      </c>
      <c r="D129" t="s">
        <v>96</v>
      </c>
      <c r="E129">
        <v>4</v>
      </c>
      <c r="F129" t="s">
        <v>53</v>
      </c>
      <c r="G129" t="s">
        <v>40</v>
      </c>
      <c r="H129">
        <v>20.57</v>
      </c>
      <c r="I129" t="s">
        <v>23</v>
      </c>
      <c r="J129">
        <v>15</v>
      </c>
      <c r="K129">
        <v>494</v>
      </c>
      <c r="L129">
        <v>84.35</v>
      </c>
      <c r="M129">
        <v>20.28</v>
      </c>
      <c r="N129">
        <v>21.45</v>
      </c>
      <c r="O129">
        <v>12.52</v>
      </c>
      <c r="P129">
        <v>336.8</v>
      </c>
      <c r="Q129">
        <v>1028</v>
      </c>
      <c r="R129">
        <v>4</v>
      </c>
      <c r="S129">
        <v>68</v>
      </c>
    </row>
    <row r="130" spans="1:19" x14ac:dyDescent="0.3">
      <c r="A130">
        <v>129</v>
      </c>
      <c r="B130" t="s">
        <v>114</v>
      </c>
      <c r="C130">
        <v>2020</v>
      </c>
      <c r="D130" t="s">
        <v>96</v>
      </c>
      <c r="E130">
        <v>4</v>
      </c>
      <c r="F130" t="s">
        <v>25</v>
      </c>
      <c r="G130" t="s">
        <v>26</v>
      </c>
      <c r="H130">
        <v>45.89</v>
      </c>
      <c r="I130" t="s">
        <v>32</v>
      </c>
      <c r="J130">
        <v>1</v>
      </c>
      <c r="K130">
        <v>138</v>
      </c>
      <c r="L130">
        <v>80.38</v>
      </c>
      <c r="M130">
        <v>29.99</v>
      </c>
      <c r="N130">
        <v>15.81</v>
      </c>
      <c r="O130">
        <v>10.51</v>
      </c>
      <c r="P130">
        <v>294.25</v>
      </c>
      <c r="Q130">
        <v>261</v>
      </c>
      <c r="R130">
        <v>1</v>
      </c>
      <c r="S130">
        <v>103</v>
      </c>
    </row>
    <row r="131" spans="1:19" x14ac:dyDescent="0.3">
      <c r="A131">
        <v>130</v>
      </c>
      <c r="B131" t="s">
        <v>106</v>
      </c>
      <c r="C131">
        <v>2020</v>
      </c>
      <c r="D131" t="s">
        <v>96</v>
      </c>
      <c r="E131">
        <v>4</v>
      </c>
      <c r="F131" t="s">
        <v>21</v>
      </c>
      <c r="G131" t="s">
        <v>26</v>
      </c>
      <c r="H131">
        <v>24.1</v>
      </c>
      <c r="I131" t="s">
        <v>27</v>
      </c>
      <c r="J131">
        <v>6</v>
      </c>
      <c r="K131">
        <v>263</v>
      </c>
      <c r="L131">
        <v>84</v>
      </c>
      <c r="M131">
        <v>12.76</v>
      </c>
      <c r="N131">
        <v>19.59</v>
      </c>
      <c r="O131">
        <v>5.89</v>
      </c>
      <c r="P131">
        <v>566.75</v>
      </c>
      <c r="Q131">
        <v>832</v>
      </c>
      <c r="R131">
        <v>1</v>
      </c>
      <c r="S131">
        <v>58</v>
      </c>
    </row>
    <row r="132" spans="1:19" x14ac:dyDescent="0.3">
      <c r="A132">
        <v>131</v>
      </c>
      <c r="B132" t="s">
        <v>115</v>
      </c>
      <c r="C132">
        <v>2020</v>
      </c>
      <c r="D132" t="s">
        <v>96</v>
      </c>
      <c r="E132">
        <v>4</v>
      </c>
      <c r="F132" t="s">
        <v>21</v>
      </c>
      <c r="G132" t="s">
        <v>42</v>
      </c>
      <c r="H132">
        <v>13.98</v>
      </c>
      <c r="I132" t="s">
        <v>38</v>
      </c>
      <c r="J132">
        <v>20</v>
      </c>
      <c r="K132">
        <v>107</v>
      </c>
      <c r="L132">
        <v>76.930000000000007</v>
      </c>
      <c r="M132">
        <v>23.13</v>
      </c>
      <c r="N132">
        <v>3.78</v>
      </c>
      <c r="O132">
        <v>13.45</v>
      </c>
      <c r="P132">
        <v>126.63</v>
      </c>
      <c r="Q132">
        <v>253</v>
      </c>
      <c r="R132">
        <v>4</v>
      </c>
      <c r="S132">
        <v>59</v>
      </c>
    </row>
    <row r="133" spans="1:19" x14ac:dyDescent="0.3">
      <c r="A133">
        <v>132</v>
      </c>
      <c r="B133" t="s">
        <v>116</v>
      </c>
      <c r="C133">
        <v>2020</v>
      </c>
      <c r="D133" t="s">
        <v>96</v>
      </c>
      <c r="E133">
        <v>4</v>
      </c>
      <c r="F133" t="s">
        <v>34</v>
      </c>
      <c r="G133" t="s">
        <v>22</v>
      </c>
      <c r="H133">
        <v>53.47</v>
      </c>
      <c r="I133" t="s">
        <v>27</v>
      </c>
      <c r="J133">
        <v>20</v>
      </c>
      <c r="K133">
        <v>346</v>
      </c>
      <c r="L133">
        <v>78.930000000000007</v>
      </c>
      <c r="M133">
        <v>33.35</v>
      </c>
      <c r="N133">
        <v>20.64</v>
      </c>
      <c r="O133">
        <v>13.4</v>
      </c>
      <c r="P133">
        <v>368.37</v>
      </c>
      <c r="Q133">
        <v>762</v>
      </c>
      <c r="R133">
        <v>2</v>
      </c>
      <c r="S133">
        <v>101</v>
      </c>
    </row>
    <row r="134" spans="1:19" x14ac:dyDescent="0.3">
      <c r="A134">
        <v>133</v>
      </c>
      <c r="B134" t="s">
        <v>117</v>
      </c>
      <c r="C134">
        <v>2020</v>
      </c>
      <c r="D134" t="s">
        <v>96</v>
      </c>
      <c r="E134">
        <v>4</v>
      </c>
      <c r="F134" t="s">
        <v>31</v>
      </c>
      <c r="G134" t="s">
        <v>26</v>
      </c>
      <c r="H134">
        <v>23.95</v>
      </c>
      <c r="I134" t="s">
        <v>27</v>
      </c>
      <c r="J134">
        <v>13</v>
      </c>
      <c r="K134">
        <v>362</v>
      </c>
      <c r="L134">
        <v>89.51</v>
      </c>
      <c r="M134">
        <v>26.97</v>
      </c>
      <c r="N134">
        <v>7.45</v>
      </c>
      <c r="O134">
        <v>11.66</v>
      </c>
      <c r="P134">
        <v>530.87</v>
      </c>
      <c r="Q134">
        <v>261</v>
      </c>
      <c r="R134">
        <v>3</v>
      </c>
      <c r="S134">
        <v>112</v>
      </c>
    </row>
    <row r="135" spans="1:19" x14ac:dyDescent="0.3">
      <c r="A135">
        <v>134</v>
      </c>
      <c r="B135" t="s">
        <v>97</v>
      </c>
      <c r="C135">
        <v>2020</v>
      </c>
      <c r="D135" t="s">
        <v>96</v>
      </c>
      <c r="E135">
        <v>4</v>
      </c>
      <c r="F135" t="s">
        <v>53</v>
      </c>
      <c r="G135" t="s">
        <v>22</v>
      </c>
      <c r="H135">
        <v>37.979999999999997</v>
      </c>
      <c r="I135" t="s">
        <v>38</v>
      </c>
      <c r="J135">
        <v>1</v>
      </c>
      <c r="K135">
        <v>376</v>
      </c>
      <c r="L135">
        <v>89.91</v>
      </c>
      <c r="M135">
        <v>11.68</v>
      </c>
      <c r="N135">
        <v>7.31</v>
      </c>
      <c r="O135">
        <v>15.09</v>
      </c>
      <c r="P135">
        <v>260.99</v>
      </c>
      <c r="Q135">
        <v>1048</v>
      </c>
      <c r="R135">
        <v>5</v>
      </c>
      <c r="S135">
        <v>177</v>
      </c>
    </row>
    <row r="136" spans="1:19" x14ac:dyDescent="0.3">
      <c r="A136">
        <v>135</v>
      </c>
      <c r="B136" t="s">
        <v>113</v>
      </c>
      <c r="C136">
        <v>2020</v>
      </c>
      <c r="D136" t="s">
        <v>96</v>
      </c>
      <c r="E136">
        <v>4</v>
      </c>
      <c r="F136" t="s">
        <v>53</v>
      </c>
      <c r="G136" t="s">
        <v>42</v>
      </c>
      <c r="H136">
        <v>45.22</v>
      </c>
      <c r="I136" t="s">
        <v>38</v>
      </c>
      <c r="J136">
        <v>13</v>
      </c>
      <c r="K136">
        <v>385</v>
      </c>
      <c r="L136">
        <v>83.63</v>
      </c>
      <c r="M136">
        <v>22.6</v>
      </c>
      <c r="N136">
        <v>5.67</v>
      </c>
      <c r="O136">
        <v>10.71</v>
      </c>
      <c r="P136">
        <v>555.58000000000004</v>
      </c>
      <c r="Q136">
        <v>179</v>
      </c>
      <c r="R136">
        <v>3</v>
      </c>
      <c r="S136">
        <v>151</v>
      </c>
    </row>
    <row r="137" spans="1:19" x14ac:dyDescent="0.3">
      <c r="A137">
        <v>136</v>
      </c>
      <c r="B137" t="s">
        <v>99</v>
      </c>
      <c r="C137">
        <v>2020</v>
      </c>
      <c r="D137" t="s">
        <v>96</v>
      </c>
      <c r="E137">
        <v>4</v>
      </c>
      <c r="F137" t="s">
        <v>53</v>
      </c>
      <c r="G137" t="s">
        <v>40</v>
      </c>
      <c r="H137">
        <v>54.13</v>
      </c>
      <c r="I137" t="s">
        <v>27</v>
      </c>
      <c r="J137">
        <v>16</v>
      </c>
      <c r="K137">
        <v>439</v>
      </c>
      <c r="L137">
        <v>79.06</v>
      </c>
      <c r="M137">
        <v>14.64</v>
      </c>
      <c r="N137">
        <v>12.88</v>
      </c>
      <c r="O137">
        <v>6.41</v>
      </c>
      <c r="P137">
        <v>387.66</v>
      </c>
      <c r="Q137">
        <v>1061</v>
      </c>
      <c r="R137">
        <v>2</v>
      </c>
      <c r="S137">
        <v>78</v>
      </c>
    </row>
    <row r="138" spans="1:19" x14ac:dyDescent="0.3">
      <c r="A138">
        <v>137</v>
      </c>
      <c r="B138" t="s">
        <v>118</v>
      </c>
      <c r="C138">
        <v>2020</v>
      </c>
      <c r="D138" t="s">
        <v>96</v>
      </c>
      <c r="E138">
        <v>5</v>
      </c>
      <c r="F138" t="s">
        <v>29</v>
      </c>
      <c r="G138" t="s">
        <v>35</v>
      </c>
      <c r="H138">
        <v>26.48</v>
      </c>
      <c r="I138" t="s">
        <v>23</v>
      </c>
      <c r="J138">
        <v>1</v>
      </c>
      <c r="K138">
        <v>157</v>
      </c>
      <c r="L138">
        <v>84.8</v>
      </c>
      <c r="M138">
        <v>12.69</v>
      </c>
      <c r="N138">
        <v>19.02</v>
      </c>
      <c r="O138">
        <v>11.46</v>
      </c>
      <c r="P138">
        <v>211.29</v>
      </c>
      <c r="Q138">
        <v>679</v>
      </c>
      <c r="R138">
        <v>3</v>
      </c>
      <c r="S138">
        <v>217</v>
      </c>
    </row>
    <row r="139" spans="1:19" x14ac:dyDescent="0.3">
      <c r="A139">
        <v>138</v>
      </c>
      <c r="B139" t="s">
        <v>119</v>
      </c>
      <c r="C139">
        <v>2020</v>
      </c>
      <c r="D139" t="s">
        <v>96</v>
      </c>
      <c r="E139">
        <v>5</v>
      </c>
      <c r="F139" t="s">
        <v>21</v>
      </c>
      <c r="G139" t="s">
        <v>40</v>
      </c>
      <c r="H139">
        <v>32.65</v>
      </c>
      <c r="I139" t="s">
        <v>23</v>
      </c>
      <c r="J139">
        <v>10</v>
      </c>
      <c r="K139">
        <v>306</v>
      </c>
      <c r="L139">
        <v>89.55</v>
      </c>
      <c r="M139">
        <v>33.43</v>
      </c>
      <c r="N139">
        <v>15.36</v>
      </c>
      <c r="O139">
        <v>13.25</v>
      </c>
      <c r="P139">
        <v>345.79</v>
      </c>
      <c r="Q139">
        <v>856</v>
      </c>
      <c r="R139">
        <v>2</v>
      </c>
      <c r="S139">
        <v>195</v>
      </c>
    </row>
    <row r="140" spans="1:19" x14ac:dyDescent="0.3">
      <c r="A140">
        <v>139</v>
      </c>
      <c r="B140" t="s">
        <v>120</v>
      </c>
      <c r="C140">
        <v>2020</v>
      </c>
      <c r="D140" t="s">
        <v>96</v>
      </c>
      <c r="E140">
        <v>5</v>
      </c>
      <c r="F140" t="s">
        <v>31</v>
      </c>
      <c r="G140" t="s">
        <v>40</v>
      </c>
      <c r="H140">
        <v>40.590000000000003</v>
      </c>
      <c r="I140" t="s">
        <v>47</v>
      </c>
      <c r="J140">
        <v>13</v>
      </c>
      <c r="K140">
        <v>222</v>
      </c>
      <c r="L140">
        <v>79.3</v>
      </c>
      <c r="M140">
        <v>9.93</v>
      </c>
      <c r="N140">
        <v>7.71</v>
      </c>
      <c r="O140">
        <v>13.12</v>
      </c>
      <c r="P140">
        <v>389.18</v>
      </c>
      <c r="Q140">
        <v>1051</v>
      </c>
      <c r="R140">
        <v>4</v>
      </c>
      <c r="S140">
        <v>191</v>
      </c>
    </row>
    <row r="141" spans="1:19" x14ac:dyDescent="0.3">
      <c r="A141">
        <v>140</v>
      </c>
      <c r="B141" t="s">
        <v>121</v>
      </c>
      <c r="C141">
        <v>2020</v>
      </c>
      <c r="D141" t="s">
        <v>96</v>
      </c>
      <c r="E141">
        <v>5</v>
      </c>
      <c r="F141" t="s">
        <v>53</v>
      </c>
      <c r="G141" t="s">
        <v>40</v>
      </c>
      <c r="H141">
        <v>39.659999999999997</v>
      </c>
      <c r="I141" t="s">
        <v>47</v>
      </c>
      <c r="J141">
        <v>6</v>
      </c>
      <c r="K141">
        <v>538</v>
      </c>
      <c r="L141">
        <v>81.61</v>
      </c>
      <c r="M141">
        <v>17.93</v>
      </c>
      <c r="N141">
        <v>9.98</v>
      </c>
      <c r="O141">
        <v>3.45</v>
      </c>
      <c r="P141">
        <v>481.92</v>
      </c>
      <c r="Q141">
        <v>713</v>
      </c>
      <c r="R141">
        <v>5</v>
      </c>
      <c r="S141">
        <v>53</v>
      </c>
    </row>
    <row r="142" spans="1:19" x14ac:dyDescent="0.3">
      <c r="A142">
        <v>141</v>
      </c>
      <c r="B142" t="s">
        <v>122</v>
      </c>
      <c r="C142">
        <v>2020</v>
      </c>
      <c r="D142" t="s">
        <v>96</v>
      </c>
      <c r="E142">
        <v>5</v>
      </c>
      <c r="F142" t="s">
        <v>53</v>
      </c>
      <c r="G142" t="s">
        <v>40</v>
      </c>
      <c r="H142">
        <v>37.43</v>
      </c>
      <c r="I142" t="s">
        <v>38</v>
      </c>
      <c r="J142">
        <v>13</v>
      </c>
      <c r="K142">
        <v>265</v>
      </c>
      <c r="L142">
        <v>92.04</v>
      </c>
      <c r="M142">
        <v>19.170000000000002</v>
      </c>
      <c r="N142">
        <v>13.31</v>
      </c>
      <c r="O142">
        <v>15.94</v>
      </c>
      <c r="P142">
        <v>438.22</v>
      </c>
      <c r="Q142">
        <v>370</v>
      </c>
      <c r="R142">
        <v>4</v>
      </c>
      <c r="S142">
        <v>50</v>
      </c>
    </row>
    <row r="143" spans="1:19" x14ac:dyDescent="0.3">
      <c r="A143">
        <v>142</v>
      </c>
      <c r="B143" t="s">
        <v>123</v>
      </c>
      <c r="C143">
        <v>2020</v>
      </c>
      <c r="D143" t="s">
        <v>96</v>
      </c>
      <c r="E143">
        <v>5</v>
      </c>
      <c r="F143" t="s">
        <v>37</v>
      </c>
      <c r="G143" t="s">
        <v>22</v>
      </c>
      <c r="H143">
        <v>17.12</v>
      </c>
      <c r="I143" t="s">
        <v>32</v>
      </c>
      <c r="J143">
        <v>42</v>
      </c>
      <c r="K143">
        <v>443</v>
      </c>
      <c r="L143">
        <v>85.91</v>
      </c>
      <c r="M143">
        <v>11.68</v>
      </c>
      <c r="N143">
        <v>14.76</v>
      </c>
      <c r="O143">
        <v>3.29</v>
      </c>
      <c r="P143">
        <v>182.16</v>
      </c>
      <c r="Q143">
        <v>114</v>
      </c>
      <c r="R143">
        <v>5</v>
      </c>
      <c r="S143">
        <v>135</v>
      </c>
    </row>
    <row r="144" spans="1:19" x14ac:dyDescent="0.3">
      <c r="A144">
        <v>143</v>
      </c>
      <c r="B144" t="s">
        <v>124</v>
      </c>
      <c r="C144">
        <v>2020</v>
      </c>
      <c r="D144" t="s">
        <v>96</v>
      </c>
      <c r="E144">
        <v>5</v>
      </c>
      <c r="F144" t="s">
        <v>31</v>
      </c>
      <c r="G144" t="s">
        <v>35</v>
      </c>
      <c r="H144">
        <v>32.630000000000003</v>
      </c>
      <c r="I144" t="s">
        <v>38</v>
      </c>
      <c r="J144">
        <v>44</v>
      </c>
      <c r="K144">
        <v>575</v>
      </c>
      <c r="L144">
        <v>79.98</v>
      </c>
      <c r="M144">
        <v>18.690000000000001</v>
      </c>
      <c r="N144">
        <v>21.14</v>
      </c>
      <c r="O144">
        <v>11.5</v>
      </c>
      <c r="P144">
        <v>165.93</v>
      </c>
      <c r="Q144">
        <v>302</v>
      </c>
      <c r="R144">
        <v>2</v>
      </c>
      <c r="S144">
        <v>86</v>
      </c>
    </row>
    <row r="145" spans="1:19" x14ac:dyDescent="0.3">
      <c r="A145">
        <v>144</v>
      </c>
      <c r="B145" t="s">
        <v>121</v>
      </c>
      <c r="C145">
        <v>2020</v>
      </c>
      <c r="D145" t="s">
        <v>96</v>
      </c>
      <c r="E145">
        <v>5</v>
      </c>
      <c r="F145" t="s">
        <v>37</v>
      </c>
      <c r="G145" t="s">
        <v>26</v>
      </c>
      <c r="H145">
        <v>36.6</v>
      </c>
      <c r="I145" t="s">
        <v>38</v>
      </c>
      <c r="J145">
        <v>41</v>
      </c>
      <c r="K145">
        <v>368</v>
      </c>
      <c r="L145">
        <v>78.56</v>
      </c>
      <c r="M145">
        <v>24.62</v>
      </c>
      <c r="N145">
        <v>19.68</v>
      </c>
      <c r="O145">
        <v>3.93</v>
      </c>
      <c r="P145">
        <v>543.83000000000004</v>
      </c>
      <c r="Q145">
        <v>972</v>
      </c>
      <c r="R145">
        <v>4</v>
      </c>
      <c r="S145">
        <v>166</v>
      </c>
    </row>
    <row r="146" spans="1:19" x14ac:dyDescent="0.3">
      <c r="A146">
        <v>145</v>
      </c>
      <c r="B146" t="s">
        <v>125</v>
      </c>
      <c r="C146">
        <v>2020</v>
      </c>
      <c r="D146" t="s">
        <v>96</v>
      </c>
      <c r="E146">
        <v>5</v>
      </c>
      <c r="F146" t="s">
        <v>29</v>
      </c>
      <c r="G146" t="s">
        <v>35</v>
      </c>
      <c r="H146">
        <v>31.8</v>
      </c>
      <c r="I146" t="s">
        <v>38</v>
      </c>
      <c r="J146">
        <v>38</v>
      </c>
      <c r="K146">
        <v>422</v>
      </c>
      <c r="L146">
        <v>82.28</v>
      </c>
      <c r="M146">
        <v>9.18</v>
      </c>
      <c r="N146">
        <v>5.49</v>
      </c>
      <c r="O146">
        <v>8.64</v>
      </c>
      <c r="P146">
        <v>342.83</v>
      </c>
      <c r="Q146">
        <v>181</v>
      </c>
      <c r="R146">
        <v>4</v>
      </c>
      <c r="S146">
        <v>116</v>
      </c>
    </row>
    <row r="147" spans="1:19" x14ac:dyDescent="0.3">
      <c r="A147">
        <v>146</v>
      </c>
      <c r="B147" t="s">
        <v>126</v>
      </c>
      <c r="C147">
        <v>2020</v>
      </c>
      <c r="D147" t="s">
        <v>96</v>
      </c>
      <c r="E147">
        <v>5</v>
      </c>
      <c r="F147" t="s">
        <v>29</v>
      </c>
      <c r="G147" t="s">
        <v>35</v>
      </c>
      <c r="H147">
        <v>39.24</v>
      </c>
      <c r="I147" t="s">
        <v>38</v>
      </c>
      <c r="J147">
        <v>8</v>
      </c>
      <c r="K147">
        <v>533</v>
      </c>
      <c r="L147">
        <v>86.43</v>
      </c>
      <c r="M147">
        <v>33.5</v>
      </c>
      <c r="N147">
        <v>9.18</v>
      </c>
      <c r="O147">
        <v>5.24</v>
      </c>
      <c r="P147">
        <v>312.27</v>
      </c>
      <c r="Q147">
        <v>744</v>
      </c>
      <c r="R147">
        <v>3</v>
      </c>
      <c r="S147">
        <v>50</v>
      </c>
    </row>
    <row r="148" spans="1:19" x14ac:dyDescent="0.3">
      <c r="A148">
        <v>147</v>
      </c>
      <c r="B148" t="s">
        <v>126</v>
      </c>
      <c r="C148">
        <v>2020</v>
      </c>
      <c r="D148" t="s">
        <v>96</v>
      </c>
      <c r="E148">
        <v>5</v>
      </c>
      <c r="F148" t="s">
        <v>53</v>
      </c>
      <c r="G148" t="s">
        <v>40</v>
      </c>
      <c r="H148">
        <v>41.32</v>
      </c>
      <c r="I148" t="s">
        <v>38</v>
      </c>
      <c r="J148">
        <v>49</v>
      </c>
      <c r="K148">
        <v>450</v>
      </c>
      <c r="L148">
        <v>81.069999999999993</v>
      </c>
      <c r="M148">
        <v>13.6</v>
      </c>
      <c r="N148">
        <v>9.86</v>
      </c>
      <c r="O148">
        <v>5.16</v>
      </c>
      <c r="P148">
        <v>192.6</v>
      </c>
      <c r="Q148">
        <v>408</v>
      </c>
      <c r="R148">
        <v>3</v>
      </c>
      <c r="S148">
        <v>244</v>
      </c>
    </row>
    <row r="149" spans="1:19" x14ac:dyDescent="0.3">
      <c r="A149">
        <v>148</v>
      </c>
      <c r="B149" t="s">
        <v>124</v>
      </c>
      <c r="C149">
        <v>2020</v>
      </c>
      <c r="D149" t="s">
        <v>96</v>
      </c>
      <c r="E149">
        <v>5</v>
      </c>
      <c r="F149" t="s">
        <v>25</v>
      </c>
      <c r="G149" t="s">
        <v>40</v>
      </c>
      <c r="H149">
        <v>30.52</v>
      </c>
      <c r="I149" t="s">
        <v>27</v>
      </c>
      <c r="J149">
        <v>34</v>
      </c>
      <c r="K149">
        <v>477</v>
      </c>
      <c r="L149">
        <v>77.760000000000005</v>
      </c>
      <c r="M149">
        <v>15.9</v>
      </c>
      <c r="N149">
        <v>8.25</v>
      </c>
      <c r="O149">
        <v>7.31</v>
      </c>
      <c r="P149">
        <v>283.36</v>
      </c>
      <c r="Q149">
        <v>1044</v>
      </c>
      <c r="R149">
        <v>4</v>
      </c>
      <c r="S149">
        <v>104</v>
      </c>
    </row>
    <row r="150" spans="1:19" x14ac:dyDescent="0.3">
      <c r="A150">
        <v>149</v>
      </c>
      <c r="B150" t="s">
        <v>127</v>
      </c>
      <c r="C150">
        <v>2020</v>
      </c>
      <c r="D150" t="s">
        <v>96</v>
      </c>
      <c r="E150">
        <v>5</v>
      </c>
      <c r="F150" t="s">
        <v>31</v>
      </c>
      <c r="G150" t="s">
        <v>26</v>
      </c>
      <c r="H150">
        <v>30.73</v>
      </c>
      <c r="I150" t="s">
        <v>27</v>
      </c>
      <c r="J150">
        <v>22</v>
      </c>
      <c r="K150">
        <v>567</v>
      </c>
      <c r="L150">
        <v>94.85</v>
      </c>
      <c r="M150">
        <v>17.579999999999998</v>
      </c>
      <c r="N150">
        <v>6.32</v>
      </c>
      <c r="O150">
        <v>15.07</v>
      </c>
      <c r="P150">
        <v>206.32</v>
      </c>
      <c r="Q150">
        <v>497</v>
      </c>
      <c r="R150">
        <v>2</v>
      </c>
      <c r="S150">
        <v>78</v>
      </c>
    </row>
    <row r="151" spans="1:19" x14ac:dyDescent="0.3">
      <c r="A151">
        <v>150</v>
      </c>
      <c r="B151" t="s">
        <v>126</v>
      </c>
      <c r="C151">
        <v>2020</v>
      </c>
      <c r="D151" t="s">
        <v>96</v>
      </c>
      <c r="E151">
        <v>5</v>
      </c>
      <c r="F151" t="s">
        <v>25</v>
      </c>
      <c r="G151" t="s">
        <v>40</v>
      </c>
      <c r="H151">
        <v>37.72</v>
      </c>
      <c r="I151" t="s">
        <v>47</v>
      </c>
      <c r="J151">
        <v>5</v>
      </c>
      <c r="K151">
        <v>318</v>
      </c>
      <c r="L151">
        <v>82.26</v>
      </c>
      <c r="M151">
        <v>13.03</v>
      </c>
      <c r="N151">
        <v>13.36</v>
      </c>
      <c r="O151">
        <v>8.34</v>
      </c>
      <c r="P151">
        <v>551.98</v>
      </c>
      <c r="Q151">
        <v>251</v>
      </c>
      <c r="R151">
        <v>2</v>
      </c>
      <c r="S151">
        <v>109</v>
      </c>
    </row>
    <row r="152" spans="1:19" x14ac:dyDescent="0.3">
      <c r="A152">
        <v>151</v>
      </c>
      <c r="B152" t="s">
        <v>127</v>
      </c>
      <c r="C152">
        <v>2020</v>
      </c>
      <c r="D152" t="s">
        <v>96</v>
      </c>
      <c r="E152">
        <v>5</v>
      </c>
      <c r="F152" t="s">
        <v>21</v>
      </c>
      <c r="G152" t="s">
        <v>22</v>
      </c>
      <c r="H152">
        <v>9.9499999999999993</v>
      </c>
      <c r="I152" t="s">
        <v>32</v>
      </c>
      <c r="J152">
        <v>34</v>
      </c>
      <c r="K152">
        <v>445</v>
      </c>
      <c r="L152">
        <v>93.51</v>
      </c>
      <c r="M152">
        <v>11.44</v>
      </c>
      <c r="N152">
        <v>3.11</v>
      </c>
      <c r="O152">
        <v>3.08</v>
      </c>
      <c r="P152">
        <v>365.77</v>
      </c>
      <c r="Q152">
        <v>957</v>
      </c>
      <c r="R152">
        <v>4</v>
      </c>
      <c r="S152">
        <v>111</v>
      </c>
    </row>
    <row r="153" spans="1:19" x14ac:dyDescent="0.3">
      <c r="A153">
        <v>152</v>
      </c>
      <c r="B153" t="s">
        <v>121</v>
      </c>
      <c r="C153">
        <v>2020</v>
      </c>
      <c r="D153" t="s">
        <v>96</v>
      </c>
      <c r="E153">
        <v>5</v>
      </c>
      <c r="F153" t="s">
        <v>37</v>
      </c>
      <c r="G153" t="s">
        <v>40</v>
      </c>
      <c r="H153">
        <v>54.08</v>
      </c>
      <c r="I153" t="s">
        <v>47</v>
      </c>
      <c r="J153">
        <v>12</v>
      </c>
      <c r="K153">
        <v>493</v>
      </c>
      <c r="L153">
        <v>84.35</v>
      </c>
      <c r="M153">
        <v>15.23</v>
      </c>
      <c r="N153">
        <v>19.649999999999999</v>
      </c>
      <c r="O153">
        <v>4.3499999999999996</v>
      </c>
      <c r="P153">
        <v>167.96</v>
      </c>
      <c r="Q153">
        <v>416</v>
      </c>
      <c r="R153">
        <v>2</v>
      </c>
      <c r="S153">
        <v>223</v>
      </c>
    </row>
    <row r="154" spans="1:19" x14ac:dyDescent="0.3">
      <c r="A154">
        <v>153</v>
      </c>
      <c r="B154" t="s">
        <v>128</v>
      </c>
      <c r="C154">
        <v>2020</v>
      </c>
      <c r="D154" t="s">
        <v>96</v>
      </c>
      <c r="E154">
        <v>5</v>
      </c>
      <c r="F154" t="s">
        <v>62</v>
      </c>
      <c r="G154" t="s">
        <v>35</v>
      </c>
      <c r="H154">
        <v>39.380000000000003</v>
      </c>
      <c r="I154" t="s">
        <v>47</v>
      </c>
      <c r="J154">
        <v>32</v>
      </c>
      <c r="K154">
        <v>148</v>
      </c>
      <c r="L154">
        <v>89.55</v>
      </c>
      <c r="M154">
        <v>10.65</v>
      </c>
      <c r="N154">
        <v>13.23</v>
      </c>
      <c r="O154">
        <v>2.62</v>
      </c>
      <c r="P154">
        <v>207.47</v>
      </c>
      <c r="Q154">
        <v>726</v>
      </c>
      <c r="R154">
        <v>5</v>
      </c>
      <c r="S154">
        <v>214</v>
      </c>
    </row>
    <row r="155" spans="1:19" x14ac:dyDescent="0.3">
      <c r="A155">
        <v>154</v>
      </c>
      <c r="B155" t="s">
        <v>120</v>
      </c>
      <c r="C155">
        <v>2020</v>
      </c>
      <c r="D155" t="s">
        <v>96</v>
      </c>
      <c r="E155">
        <v>5</v>
      </c>
      <c r="F155" t="s">
        <v>37</v>
      </c>
      <c r="G155" t="s">
        <v>22</v>
      </c>
      <c r="H155">
        <v>39.54</v>
      </c>
      <c r="I155" t="s">
        <v>27</v>
      </c>
      <c r="J155">
        <v>30</v>
      </c>
      <c r="K155">
        <v>487</v>
      </c>
      <c r="L155">
        <v>94.02</v>
      </c>
      <c r="M155">
        <v>21.87</v>
      </c>
      <c r="N155">
        <v>13.04</v>
      </c>
      <c r="O155">
        <v>10.52</v>
      </c>
      <c r="P155">
        <v>261.60000000000002</v>
      </c>
      <c r="Q155">
        <v>502</v>
      </c>
      <c r="R155">
        <v>3</v>
      </c>
      <c r="S155">
        <v>175</v>
      </c>
    </row>
    <row r="156" spans="1:19" x14ac:dyDescent="0.3">
      <c r="A156">
        <v>155</v>
      </c>
      <c r="B156" t="s">
        <v>129</v>
      </c>
      <c r="C156">
        <v>2020</v>
      </c>
      <c r="D156" t="s">
        <v>96</v>
      </c>
      <c r="E156">
        <v>5</v>
      </c>
      <c r="F156" t="s">
        <v>21</v>
      </c>
      <c r="G156" t="s">
        <v>22</v>
      </c>
      <c r="H156">
        <v>20.46</v>
      </c>
      <c r="I156" t="s">
        <v>32</v>
      </c>
      <c r="J156">
        <v>28</v>
      </c>
      <c r="K156">
        <v>118</v>
      </c>
      <c r="L156">
        <v>80.430000000000007</v>
      </c>
      <c r="M156">
        <v>34.659999999999997</v>
      </c>
      <c r="N156">
        <v>5.24</v>
      </c>
      <c r="O156">
        <v>5.17</v>
      </c>
      <c r="P156">
        <v>436.68</v>
      </c>
      <c r="Q156">
        <v>611</v>
      </c>
      <c r="R156">
        <v>5</v>
      </c>
      <c r="S156">
        <v>174</v>
      </c>
    </row>
    <row r="157" spans="1:19" x14ac:dyDescent="0.3">
      <c r="A157">
        <v>156</v>
      </c>
      <c r="B157" t="s">
        <v>128</v>
      </c>
      <c r="C157">
        <v>2020</v>
      </c>
      <c r="D157" t="s">
        <v>96</v>
      </c>
      <c r="E157">
        <v>5</v>
      </c>
      <c r="F157" t="s">
        <v>29</v>
      </c>
      <c r="G157" t="s">
        <v>35</v>
      </c>
      <c r="H157">
        <v>28.83</v>
      </c>
      <c r="I157" t="s">
        <v>32</v>
      </c>
      <c r="J157">
        <v>46</v>
      </c>
      <c r="K157">
        <v>537</v>
      </c>
      <c r="L157">
        <v>84.24</v>
      </c>
      <c r="M157">
        <v>30.06</v>
      </c>
      <c r="N157">
        <v>5.91</v>
      </c>
      <c r="O157">
        <v>9.9600000000000009</v>
      </c>
      <c r="P157">
        <v>196.05</v>
      </c>
      <c r="Q157">
        <v>365</v>
      </c>
      <c r="R157">
        <v>1</v>
      </c>
      <c r="S157">
        <v>122</v>
      </c>
    </row>
    <row r="158" spans="1:19" x14ac:dyDescent="0.3">
      <c r="A158">
        <v>157</v>
      </c>
      <c r="B158" t="s">
        <v>130</v>
      </c>
      <c r="C158">
        <v>2020</v>
      </c>
      <c r="D158" t="s">
        <v>96</v>
      </c>
      <c r="E158">
        <v>5</v>
      </c>
      <c r="F158" t="s">
        <v>31</v>
      </c>
      <c r="G158" t="s">
        <v>22</v>
      </c>
      <c r="H158">
        <v>35.08</v>
      </c>
      <c r="I158" t="s">
        <v>47</v>
      </c>
      <c r="J158">
        <v>19</v>
      </c>
      <c r="K158">
        <v>430</v>
      </c>
      <c r="L158">
        <v>77.239999999999995</v>
      </c>
      <c r="M158">
        <v>15.81</v>
      </c>
      <c r="N158">
        <v>19.84</v>
      </c>
      <c r="O158">
        <v>7.01</v>
      </c>
      <c r="P158">
        <v>180.52</v>
      </c>
      <c r="Q158">
        <v>703</v>
      </c>
      <c r="R158">
        <v>2</v>
      </c>
      <c r="S158">
        <v>224</v>
      </c>
    </row>
    <row r="159" spans="1:19" x14ac:dyDescent="0.3">
      <c r="A159">
        <v>158</v>
      </c>
      <c r="B159" t="s">
        <v>131</v>
      </c>
      <c r="C159">
        <v>2020</v>
      </c>
      <c r="D159" t="s">
        <v>96</v>
      </c>
      <c r="E159">
        <v>5</v>
      </c>
      <c r="F159" t="s">
        <v>21</v>
      </c>
      <c r="G159" t="s">
        <v>42</v>
      </c>
      <c r="H159">
        <v>49.97</v>
      </c>
      <c r="I159" t="s">
        <v>38</v>
      </c>
      <c r="J159">
        <v>32</v>
      </c>
      <c r="K159">
        <v>123</v>
      </c>
      <c r="L159">
        <v>93.05</v>
      </c>
      <c r="M159">
        <v>24.07</v>
      </c>
      <c r="N159">
        <v>10.6</v>
      </c>
      <c r="O159">
        <v>14.98</v>
      </c>
      <c r="P159">
        <v>551.73</v>
      </c>
      <c r="Q159">
        <v>282</v>
      </c>
      <c r="R159">
        <v>2</v>
      </c>
      <c r="S159">
        <v>85</v>
      </c>
    </row>
    <row r="160" spans="1:19" x14ac:dyDescent="0.3">
      <c r="A160">
        <v>159</v>
      </c>
      <c r="B160" t="s">
        <v>132</v>
      </c>
      <c r="C160">
        <v>2020</v>
      </c>
      <c r="D160" t="s">
        <v>96</v>
      </c>
      <c r="E160">
        <v>5</v>
      </c>
      <c r="F160" t="s">
        <v>62</v>
      </c>
      <c r="G160" t="s">
        <v>26</v>
      </c>
      <c r="H160">
        <v>21.6</v>
      </c>
      <c r="I160" t="s">
        <v>27</v>
      </c>
      <c r="J160">
        <v>49</v>
      </c>
      <c r="K160">
        <v>193</v>
      </c>
      <c r="L160">
        <v>91.52</v>
      </c>
      <c r="M160">
        <v>24.18</v>
      </c>
      <c r="N160">
        <v>21.26</v>
      </c>
      <c r="O160">
        <v>12.5</v>
      </c>
      <c r="P160">
        <v>203.29</v>
      </c>
      <c r="Q160">
        <v>527</v>
      </c>
      <c r="R160">
        <v>1</v>
      </c>
      <c r="S160">
        <v>206</v>
      </c>
    </row>
    <row r="161" spans="1:19" x14ac:dyDescent="0.3">
      <c r="A161">
        <v>160</v>
      </c>
      <c r="B161" t="s">
        <v>133</v>
      </c>
      <c r="C161">
        <v>2020</v>
      </c>
      <c r="D161" t="s">
        <v>96</v>
      </c>
      <c r="E161">
        <v>5</v>
      </c>
      <c r="F161" t="s">
        <v>21</v>
      </c>
      <c r="G161" t="s">
        <v>22</v>
      </c>
      <c r="H161">
        <v>11.65</v>
      </c>
      <c r="I161" t="s">
        <v>38</v>
      </c>
      <c r="J161">
        <v>30</v>
      </c>
      <c r="K161">
        <v>124</v>
      </c>
      <c r="L161">
        <v>89.14</v>
      </c>
      <c r="M161">
        <v>8.66</v>
      </c>
      <c r="N161">
        <v>14.44</v>
      </c>
      <c r="O161">
        <v>14.47</v>
      </c>
      <c r="P161">
        <v>130.29</v>
      </c>
      <c r="Q161">
        <v>967</v>
      </c>
      <c r="R161">
        <v>3</v>
      </c>
      <c r="S161">
        <v>168</v>
      </c>
    </row>
    <row r="162" spans="1:19" x14ac:dyDescent="0.3">
      <c r="A162">
        <v>161</v>
      </c>
      <c r="B162" t="s">
        <v>134</v>
      </c>
      <c r="C162">
        <v>2020</v>
      </c>
      <c r="D162" t="s">
        <v>96</v>
      </c>
      <c r="E162">
        <v>5</v>
      </c>
      <c r="F162" t="s">
        <v>34</v>
      </c>
      <c r="G162" t="s">
        <v>42</v>
      </c>
      <c r="H162">
        <v>8.39</v>
      </c>
      <c r="I162" t="s">
        <v>23</v>
      </c>
      <c r="J162">
        <v>24</v>
      </c>
      <c r="K162">
        <v>120</v>
      </c>
      <c r="L162">
        <v>79.680000000000007</v>
      </c>
      <c r="M162">
        <v>18.760000000000002</v>
      </c>
      <c r="N162">
        <v>7.05</v>
      </c>
      <c r="O162">
        <v>10.65</v>
      </c>
      <c r="P162">
        <v>459.08</v>
      </c>
      <c r="Q162">
        <v>639</v>
      </c>
      <c r="R162">
        <v>4</v>
      </c>
      <c r="S162">
        <v>83</v>
      </c>
    </row>
    <row r="163" spans="1:19" x14ac:dyDescent="0.3">
      <c r="A163">
        <v>162</v>
      </c>
      <c r="B163" t="s">
        <v>123</v>
      </c>
      <c r="C163">
        <v>2020</v>
      </c>
      <c r="D163" t="s">
        <v>96</v>
      </c>
      <c r="E163">
        <v>5</v>
      </c>
      <c r="F163" t="s">
        <v>62</v>
      </c>
      <c r="G163" t="s">
        <v>35</v>
      </c>
      <c r="H163">
        <v>51.03</v>
      </c>
      <c r="I163" t="s">
        <v>23</v>
      </c>
      <c r="J163">
        <v>45</v>
      </c>
      <c r="K163">
        <v>102</v>
      </c>
      <c r="L163">
        <v>75.11</v>
      </c>
      <c r="M163">
        <v>32.21</v>
      </c>
      <c r="N163">
        <v>19.45</v>
      </c>
      <c r="O163">
        <v>13.53</v>
      </c>
      <c r="P163">
        <v>298.85000000000002</v>
      </c>
      <c r="Q163">
        <v>375</v>
      </c>
      <c r="R163">
        <v>3</v>
      </c>
      <c r="S163">
        <v>225</v>
      </c>
    </row>
    <row r="164" spans="1:19" x14ac:dyDescent="0.3">
      <c r="A164">
        <v>163</v>
      </c>
      <c r="B164" t="s">
        <v>135</v>
      </c>
      <c r="C164">
        <v>2020</v>
      </c>
      <c r="D164" t="s">
        <v>96</v>
      </c>
      <c r="E164">
        <v>5</v>
      </c>
      <c r="F164" t="s">
        <v>31</v>
      </c>
      <c r="G164" t="s">
        <v>42</v>
      </c>
      <c r="H164">
        <v>38.979999999999997</v>
      </c>
      <c r="I164" t="s">
        <v>38</v>
      </c>
      <c r="J164">
        <v>14</v>
      </c>
      <c r="K164">
        <v>364</v>
      </c>
      <c r="L164">
        <v>84.23</v>
      </c>
      <c r="M164">
        <v>10.6</v>
      </c>
      <c r="N164">
        <v>9.32</v>
      </c>
      <c r="O164">
        <v>9.16</v>
      </c>
      <c r="P164">
        <v>340.33</v>
      </c>
      <c r="Q164">
        <v>490</v>
      </c>
      <c r="R164">
        <v>5</v>
      </c>
      <c r="S164">
        <v>58</v>
      </c>
    </row>
    <row r="165" spans="1:19" x14ac:dyDescent="0.3">
      <c r="A165">
        <v>164</v>
      </c>
      <c r="B165" t="s">
        <v>133</v>
      </c>
      <c r="C165">
        <v>2020</v>
      </c>
      <c r="D165" t="s">
        <v>96</v>
      </c>
      <c r="E165">
        <v>5</v>
      </c>
      <c r="F165" t="s">
        <v>37</v>
      </c>
      <c r="G165" t="s">
        <v>22</v>
      </c>
      <c r="H165">
        <v>27.33</v>
      </c>
      <c r="I165" t="s">
        <v>38</v>
      </c>
      <c r="J165">
        <v>39</v>
      </c>
      <c r="K165">
        <v>173</v>
      </c>
      <c r="L165">
        <v>78.95</v>
      </c>
      <c r="M165">
        <v>17.57</v>
      </c>
      <c r="N165">
        <v>18.64</v>
      </c>
      <c r="O165">
        <v>15.22</v>
      </c>
      <c r="P165">
        <v>338.17</v>
      </c>
      <c r="Q165">
        <v>897</v>
      </c>
      <c r="R165">
        <v>2</v>
      </c>
      <c r="S165">
        <v>126</v>
      </c>
    </row>
    <row r="166" spans="1:19" x14ac:dyDescent="0.3">
      <c r="A166">
        <v>165</v>
      </c>
      <c r="B166" t="s">
        <v>122</v>
      </c>
      <c r="C166">
        <v>2020</v>
      </c>
      <c r="D166" t="s">
        <v>96</v>
      </c>
      <c r="E166">
        <v>5</v>
      </c>
      <c r="F166" t="s">
        <v>29</v>
      </c>
      <c r="G166" t="s">
        <v>26</v>
      </c>
      <c r="H166">
        <v>38.4</v>
      </c>
      <c r="I166" t="s">
        <v>27</v>
      </c>
      <c r="J166">
        <v>6</v>
      </c>
      <c r="K166">
        <v>261</v>
      </c>
      <c r="L166">
        <v>80.510000000000005</v>
      </c>
      <c r="M166">
        <v>24.38</v>
      </c>
      <c r="N166">
        <v>2.25</v>
      </c>
      <c r="O166">
        <v>11.82</v>
      </c>
      <c r="P166">
        <v>335.58</v>
      </c>
      <c r="Q166">
        <v>978</v>
      </c>
      <c r="R166">
        <v>1</v>
      </c>
      <c r="S166">
        <v>160</v>
      </c>
    </row>
    <row r="167" spans="1:19" x14ac:dyDescent="0.3">
      <c r="A167">
        <v>166</v>
      </c>
      <c r="B167" t="s">
        <v>119</v>
      </c>
      <c r="C167">
        <v>2020</v>
      </c>
      <c r="D167" t="s">
        <v>96</v>
      </c>
      <c r="E167">
        <v>5</v>
      </c>
      <c r="F167" t="s">
        <v>29</v>
      </c>
      <c r="G167" t="s">
        <v>22</v>
      </c>
      <c r="H167">
        <v>50.02</v>
      </c>
      <c r="I167" t="s">
        <v>38</v>
      </c>
      <c r="J167">
        <v>38</v>
      </c>
      <c r="K167">
        <v>317</v>
      </c>
      <c r="L167">
        <v>89.63</v>
      </c>
      <c r="M167">
        <v>31.1</v>
      </c>
      <c r="N167">
        <v>18.97</v>
      </c>
      <c r="O167">
        <v>5.48</v>
      </c>
      <c r="P167">
        <v>459.57</v>
      </c>
      <c r="Q167">
        <v>296</v>
      </c>
      <c r="R167">
        <v>1</v>
      </c>
      <c r="S167">
        <v>128</v>
      </c>
    </row>
    <row r="168" spans="1:19" x14ac:dyDescent="0.3">
      <c r="A168">
        <v>167</v>
      </c>
      <c r="B168" t="s">
        <v>121</v>
      </c>
      <c r="C168">
        <v>2020</v>
      </c>
      <c r="D168" t="s">
        <v>96</v>
      </c>
      <c r="E168">
        <v>5</v>
      </c>
      <c r="F168" t="s">
        <v>29</v>
      </c>
      <c r="G168" t="s">
        <v>40</v>
      </c>
      <c r="H168">
        <v>11.36</v>
      </c>
      <c r="I168" t="s">
        <v>47</v>
      </c>
      <c r="J168">
        <v>31</v>
      </c>
      <c r="K168">
        <v>113</v>
      </c>
      <c r="L168">
        <v>76.17</v>
      </c>
      <c r="M168">
        <v>8.2899999999999991</v>
      </c>
      <c r="N168">
        <v>7.22</v>
      </c>
      <c r="O168">
        <v>9.1</v>
      </c>
      <c r="P168">
        <v>299.83999999999997</v>
      </c>
      <c r="Q168">
        <v>672</v>
      </c>
      <c r="R168">
        <v>4</v>
      </c>
      <c r="S168">
        <v>145</v>
      </c>
    </row>
    <row r="169" spans="1:19" x14ac:dyDescent="0.3">
      <c r="A169">
        <v>168</v>
      </c>
      <c r="B169" t="s">
        <v>132</v>
      </c>
      <c r="C169">
        <v>2020</v>
      </c>
      <c r="D169" t="s">
        <v>96</v>
      </c>
      <c r="E169">
        <v>5</v>
      </c>
      <c r="F169" t="s">
        <v>37</v>
      </c>
      <c r="G169" t="s">
        <v>40</v>
      </c>
      <c r="H169">
        <v>7.48</v>
      </c>
      <c r="I169" t="s">
        <v>38</v>
      </c>
      <c r="J169">
        <v>16</v>
      </c>
      <c r="K169">
        <v>334</v>
      </c>
      <c r="L169">
        <v>82.29</v>
      </c>
      <c r="M169">
        <v>32.479999999999997</v>
      </c>
      <c r="N169">
        <v>15.72</v>
      </c>
      <c r="O169">
        <v>9.17</v>
      </c>
      <c r="P169">
        <v>443.45</v>
      </c>
      <c r="Q169">
        <v>1032</v>
      </c>
      <c r="R169">
        <v>5</v>
      </c>
      <c r="S169">
        <v>148</v>
      </c>
    </row>
    <row r="170" spans="1:19" x14ac:dyDescent="0.3">
      <c r="A170">
        <v>169</v>
      </c>
      <c r="B170" t="s">
        <v>136</v>
      </c>
      <c r="C170">
        <v>2020</v>
      </c>
      <c r="D170" t="s">
        <v>96</v>
      </c>
      <c r="E170">
        <v>5</v>
      </c>
      <c r="F170" t="s">
        <v>34</v>
      </c>
      <c r="G170" t="s">
        <v>42</v>
      </c>
      <c r="H170">
        <v>5.85</v>
      </c>
      <c r="I170" t="s">
        <v>32</v>
      </c>
      <c r="J170">
        <v>27</v>
      </c>
      <c r="K170">
        <v>594</v>
      </c>
      <c r="L170">
        <v>84.74</v>
      </c>
      <c r="M170">
        <v>25.28</v>
      </c>
      <c r="N170">
        <v>20.170000000000002</v>
      </c>
      <c r="O170">
        <v>9.57</v>
      </c>
      <c r="P170">
        <v>405.82</v>
      </c>
      <c r="Q170">
        <v>1032</v>
      </c>
      <c r="R170">
        <v>2</v>
      </c>
      <c r="S170">
        <v>215</v>
      </c>
    </row>
    <row r="171" spans="1:19" x14ac:dyDescent="0.3">
      <c r="A171">
        <v>170</v>
      </c>
      <c r="B171" t="s">
        <v>137</v>
      </c>
      <c r="C171">
        <v>2020</v>
      </c>
      <c r="D171" t="s">
        <v>96</v>
      </c>
      <c r="E171">
        <v>5</v>
      </c>
      <c r="F171" t="s">
        <v>37</v>
      </c>
      <c r="G171" t="s">
        <v>22</v>
      </c>
      <c r="H171">
        <v>10.36</v>
      </c>
      <c r="I171" t="s">
        <v>38</v>
      </c>
      <c r="J171">
        <v>49</v>
      </c>
      <c r="K171">
        <v>489</v>
      </c>
      <c r="L171">
        <v>85.32</v>
      </c>
      <c r="M171">
        <v>33.61</v>
      </c>
      <c r="N171">
        <v>15.74</v>
      </c>
      <c r="O171">
        <v>6.96</v>
      </c>
      <c r="P171">
        <v>284.19</v>
      </c>
      <c r="Q171">
        <v>579</v>
      </c>
      <c r="R171">
        <v>5</v>
      </c>
      <c r="S171">
        <v>153</v>
      </c>
    </row>
    <row r="172" spans="1:19" x14ac:dyDescent="0.3">
      <c r="A172">
        <v>171</v>
      </c>
      <c r="B172" t="s">
        <v>138</v>
      </c>
      <c r="C172">
        <v>2020</v>
      </c>
      <c r="D172" t="s">
        <v>96</v>
      </c>
      <c r="E172">
        <v>6</v>
      </c>
      <c r="F172" t="s">
        <v>62</v>
      </c>
      <c r="G172" t="s">
        <v>35</v>
      </c>
      <c r="H172">
        <v>50.63</v>
      </c>
      <c r="I172" t="s">
        <v>23</v>
      </c>
      <c r="J172">
        <v>46</v>
      </c>
      <c r="K172">
        <v>253</v>
      </c>
      <c r="L172">
        <v>86.64</v>
      </c>
      <c r="M172">
        <v>29.89</v>
      </c>
      <c r="N172">
        <v>13.75</v>
      </c>
      <c r="O172">
        <v>15.56</v>
      </c>
      <c r="P172">
        <v>286.82</v>
      </c>
      <c r="Q172">
        <v>546</v>
      </c>
      <c r="R172">
        <v>5</v>
      </c>
      <c r="S172">
        <v>223</v>
      </c>
    </row>
    <row r="173" spans="1:19" x14ac:dyDescent="0.3">
      <c r="A173">
        <v>172</v>
      </c>
      <c r="B173" t="s">
        <v>139</v>
      </c>
      <c r="C173">
        <v>2020</v>
      </c>
      <c r="D173" t="s">
        <v>96</v>
      </c>
      <c r="E173">
        <v>6</v>
      </c>
      <c r="F173" t="s">
        <v>62</v>
      </c>
      <c r="G173" t="s">
        <v>22</v>
      </c>
      <c r="H173">
        <v>47.92</v>
      </c>
      <c r="I173" t="s">
        <v>47</v>
      </c>
      <c r="J173">
        <v>40</v>
      </c>
      <c r="K173">
        <v>484</v>
      </c>
      <c r="L173">
        <v>91.99</v>
      </c>
      <c r="M173">
        <v>13.46</v>
      </c>
      <c r="N173">
        <v>18.329999999999998</v>
      </c>
      <c r="O173">
        <v>4.29</v>
      </c>
      <c r="P173">
        <v>584.02</v>
      </c>
      <c r="Q173">
        <v>135</v>
      </c>
      <c r="R173">
        <v>2</v>
      </c>
      <c r="S173">
        <v>59</v>
      </c>
    </row>
    <row r="174" spans="1:19" x14ac:dyDescent="0.3">
      <c r="A174">
        <v>173</v>
      </c>
      <c r="B174" t="s">
        <v>140</v>
      </c>
      <c r="C174">
        <v>2020</v>
      </c>
      <c r="D174" t="s">
        <v>96</v>
      </c>
      <c r="E174">
        <v>6</v>
      </c>
      <c r="F174" t="s">
        <v>34</v>
      </c>
      <c r="G174" t="s">
        <v>42</v>
      </c>
      <c r="H174">
        <v>13.78</v>
      </c>
      <c r="I174" t="s">
        <v>38</v>
      </c>
      <c r="J174">
        <v>6</v>
      </c>
      <c r="K174">
        <v>430</v>
      </c>
      <c r="L174">
        <v>94.76</v>
      </c>
      <c r="M174">
        <v>6.69</v>
      </c>
      <c r="N174">
        <v>4.17</v>
      </c>
      <c r="O174">
        <v>11.93</v>
      </c>
      <c r="P174">
        <v>388.3</v>
      </c>
      <c r="Q174">
        <v>933</v>
      </c>
      <c r="R174">
        <v>5</v>
      </c>
      <c r="S174">
        <v>91</v>
      </c>
    </row>
    <row r="175" spans="1:19" x14ac:dyDescent="0.3">
      <c r="A175">
        <v>174</v>
      </c>
      <c r="B175" t="s">
        <v>141</v>
      </c>
      <c r="C175">
        <v>2020</v>
      </c>
      <c r="D175" t="s">
        <v>96</v>
      </c>
      <c r="E175">
        <v>6</v>
      </c>
      <c r="F175" t="s">
        <v>53</v>
      </c>
      <c r="G175" t="s">
        <v>22</v>
      </c>
      <c r="H175">
        <v>14.19</v>
      </c>
      <c r="I175" t="s">
        <v>47</v>
      </c>
      <c r="J175">
        <v>30</v>
      </c>
      <c r="K175">
        <v>455</v>
      </c>
      <c r="L175">
        <v>85.34</v>
      </c>
      <c r="M175">
        <v>31.55</v>
      </c>
      <c r="N175">
        <v>20.46</v>
      </c>
      <c r="O175">
        <v>3.49</v>
      </c>
      <c r="P175">
        <v>115.71</v>
      </c>
      <c r="Q175">
        <v>729</v>
      </c>
      <c r="R175">
        <v>2</v>
      </c>
      <c r="S175">
        <v>59</v>
      </c>
    </row>
    <row r="176" spans="1:19" x14ac:dyDescent="0.3">
      <c r="A176">
        <v>175</v>
      </c>
      <c r="B176" t="s">
        <v>139</v>
      </c>
      <c r="C176">
        <v>2020</v>
      </c>
      <c r="D176" t="s">
        <v>96</v>
      </c>
      <c r="E176">
        <v>6</v>
      </c>
      <c r="F176" t="s">
        <v>34</v>
      </c>
      <c r="G176" t="s">
        <v>26</v>
      </c>
      <c r="H176">
        <v>38.99</v>
      </c>
      <c r="I176" t="s">
        <v>27</v>
      </c>
      <c r="J176">
        <v>28</v>
      </c>
      <c r="K176">
        <v>438</v>
      </c>
      <c r="L176">
        <v>86.52</v>
      </c>
      <c r="M176">
        <v>26.16</v>
      </c>
      <c r="N176">
        <v>16.78</v>
      </c>
      <c r="O176">
        <v>8.86</v>
      </c>
      <c r="P176">
        <v>149.81</v>
      </c>
      <c r="Q176">
        <v>534</v>
      </c>
      <c r="R176">
        <v>4</v>
      </c>
      <c r="S176">
        <v>117</v>
      </c>
    </row>
    <row r="177" spans="1:19" x14ac:dyDescent="0.3">
      <c r="A177">
        <v>176</v>
      </c>
      <c r="B177" t="s">
        <v>142</v>
      </c>
      <c r="C177">
        <v>2020</v>
      </c>
      <c r="D177" t="s">
        <v>96</v>
      </c>
      <c r="E177">
        <v>6</v>
      </c>
      <c r="F177" t="s">
        <v>34</v>
      </c>
      <c r="G177" t="s">
        <v>42</v>
      </c>
      <c r="H177">
        <v>8.17</v>
      </c>
      <c r="I177" t="s">
        <v>23</v>
      </c>
      <c r="J177">
        <v>37</v>
      </c>
      <c r="K177">
        <v>131</v>
      </c>
      <c r="L177">
        <v>75.91</v>
      </c>
      <c r="M177">
        <v>7.74</v>
      </c>
      <c r="N177">
        <v>12.69</v>
      </c>
      <c r="O177">
        <v>1.1599999999999999</v>
      </c>
      <c r="P177">
        <v>314.73</v>
      </c>
      <c r="Q177">
        <v>314</v>
      </c>
      <c r="R177">
        <v>5</v>
      </c>
      <c r="S177">
        <v>83</v>
      </c>
    </row>
    <row r="178" spans="1:19" x14ac:dyDescent="0.3">
      <c r="A178">
        <v>177</v>
      </c>
      <c r="B178" t="s">
        <v>141</v>
      </c>
      <c r="C178">
        <v>2020</v>
      </c>
      <c r="D178" t="s">
        <v>96</v>
      </c>
      <c r="E178">
        <v>6</v>
      </c>
      <c r="F178" t="s">
        <v>53</v>
      </c>
      <c r="G178" t="s">
        <v>26</v>
      </c>
      <c r="H178">
        <v>48.37</v>
      </c>
      <c r="I178" t="s">
        <v>27</v>
      </c>
      <c r="J178">
        <v>27</v>
      </c>
      <c r="K178">
        <v>346</v>
      </c>
      <c r="L178">
        <v>82.35</v>
      </c>
      <c r="M178">
        <v>8.2200000000000006</v>
      </c>
      <c r="N178">
        <v>10</v>
      </c>
      <c r="O178">
        <v>1.07</v>
      </c>
      <c r="P178">
        <v>302.75</v>
      </c>
      <c r="Q178">
        <v>174</v>
      </c>
      <c r="R178">
        <v>2</v>
      </c>
      <c r="S178">
        <v>64</v>
      </c>
    </row>
    <row r="179" spans="1:19" x14ac:dyDescent="0.3">
      <c r="A179">
        <v>178</v>
      </c>
      <c r="B179" t="s">
        <v>143</v>
      </c>
      <c r="C179">
        <v>2020</v>
      </c>
      <c r="D179" t="s">
        <v>96</v>
      </c>
      <c r="E179">
        <v>6</v>
      </c>
      <c r="F179" t="s">
        <v>31</v>
      </c>
      <c r="G179" t="s">
        <v>26</v>
      </c>
      <c r="H179">
        <v>40.51</v>
      </c>
      <c r="I179" t="s">
        <v>32</v>
      </c>
      <c r="J179">
        <v>16</v>
      </c>
      <c r="K179">
        <v>149</v>
      </c>
      <c r="L179">
        <v>93.06</v>
      </c>
      <c r="M179">
        <v>26.79</v>
      </c>
      <c r="N179">
        <v>20.8</v>
      </c>
      <c r="O179">
        <v>11.66</v>
      </c>
      <c r="P179">
        <v>196.15</v>
      </c>
      <c r="Q179">
        <v>1027</v>
      </c>
      <c r="R179">
        <v>1</v>
      </c>
      <c r="S179">
        <v>54</v>
      </c>
    </row>
    <row r="180" spans="1:19" x14ac:dyDescent="0.3">
      <c r="A180">
        <v>179</v>
      </c>
      <c r="B180" t="s">
        <v>144</v>
      </c>
      <c r="C180">
        <v>2020</v>
      </c>
      <c r="D180" t="s">
        <v>96</v>
      </c>
      <c r="E180">
        <v>6</v>
      </c>
      <c r="F180" t="s">
        <v>21</v>
      </c>
      <c r="G180" t="s">
        <v>22</v>
      </c>
      <c r="H180">
        <v>22.02</v>
      </c>
      <c r="I180" t="s">
        <v>38</v>
      </c>
      <c r="J180">
        <v>31</v>
      </c>
      <c r="K180">
        <v>598</v>
      </c>
      <c r="L180">
        <v>85.97</v>
      </c>
      <c r="M180">
        <v>12.92</v>
      </c>
      <c r="N180">
        <v>20.87</v>
      </c>
      <c r="O180">
        <v>4.76</v>
      </c>
      <c r="P180">
        <v>164.02</v>
      </c>
      <c r="Q180">
        <v>882</v>
      </c>
      <c r="R180">
        <v>1</v>
      </c>
      <c r="S180">
        <v>51</v>
      </c>
    </row>
    <row r="181" spans="1:19" x14ac:dyDescent="0.3">
      <c r="A181">
        <v>180</v>
      </c>
      <c r="B181" t="s">
        <v>145</v>
      </c>
      <c r="C181">
        <v>2020</v>
      </c>
      <c r="D181" t="s">
        <v>96</v>
      </c>
      <c r="E181">
        <v>6</v>
      </c>
      <c r="F181" t="s">
        <v>62</v>
      </c>
      <c r="G181" t="s">
        <v>42</v>
      </c>
      <c r="H181">
        <v>12.36</v>
      </c>
      <c r="I181" t="s">
        <v>32</v>
      </c>
      <c r="J181">
        <v>17</v>
      </c>
      <c r="K181">
        <v>242</v>
      </c>
      <c r="L181">
        <v>85.62</v>
      </c>
      <c r="M181">
        <v>11.34</v>
      </c>
      <c r="N181">
        <v>5.7</v>
      </c>
      <c r="O181">
        <v>2.6</v>
      </c>
      <c r="P181">
        <v>256.55</v>
      </c>
      <c r="Q181">
        <v>135</v>
      </c>
      <c r="R181">
        <v>5</v>
      </c>
      <c r="S181">
        <v>146</v>
      </c>
    </row>
    <row r="182" spans="1:19" x14ac:dyDescent="0.3">
      <c r="A182">
        <v>181</v>
      </c>
      <c r="B182" t="s">
        <v>142</v>
      </c>
      <c r="C182">
        <v>2020</v>
      </c>
      <c r="D182" t="s">
        <v>96</v>
      </c>
      <c r="E182">
        <v>6</v>
      </c>
      <c r="F182" t="s">
        <v>25</v>
      </c>
      <c r="G182" t="s">
        <v>26</v>
      </c>
      <c r="H182">
        <v>23.6</v>
      </c>
      <c r="I182" t="s">
        <v>38</v>
      </c>
      <c r="J182">
        <v>34</v>
      </c>
      <c r="K182">
        <v>425</v>
      </c>
      <c r="L182">
        <v>93.6</v>
      </c>
      <c r="M182">
        <v>11.7</v>
      </c>
      <c r="N182">
        <v>5.36</v>
      </c>
      <c r="O182">
        <v>1.07</v>
      </c>
      <c r="P182">
        <v>117.39</v>
      </c>
      <c r="Q182">
        <v>1092</v>
      </c>
      <c r="R182">
        <v>1</v>
      </c>
      <c r="S182">
        <v>196</v>
      </c>
    </row>
    <row r="183" spans="1:19" x14ac:dyDescent="0.3">
      <c r="A183">
        <v>182</v>
      </c>
      <c r="B183" t="s">
        <v>146</v>
      </c>
      <c r="C183">
        <v>2020</v>
      </c>
      <c r="D183" t="s">
        <v>96</v>
      </c>
      <c r="E183">
        <v>6</v>
      </c>
      <c r="F183" t="s">
        <v>29</v>
      </c>
      <c r="G183" t="s">
        <v>26</v>
      </c>
      <c r="H183">
        <v>51.12</v>
      </c>
      <c r="I183" t="s">
        <v>23</v>
      </c>
      <c r="J183">
        <v>49</v>
      </c>
      <c r="K183">
        <v>299</v>
      </c>
      <c r="L183">
        <v>91.51</v>
      </c>
      <c r="M183">
        <v>15.7</v>
      </c>
      <c r="N183">
        <v>4.6900000000000004</v>
      </c>
      <c r="O183">
        <v>7.61</v>
      </c>
      <c r="P183">
        <v>342.21</v>
      </c>
      <c r="Q183">
        <v>269</v>
      </c>
      <c r="R183">
        <v>2</v>
      </c>
      <c r="S183">
        <v>79</v>
      </c>
    </row>
    <row r="184" spans="1:19" x14ac:dyDescent="0.3">
      <c r="A184">
        <v>183</v>
      </c>
      <c r="B184" t="s">
        <v>147</v>
      </c>
      <c r="C184">
        <v>2020</v>
      </c>
      <c r="D184" t="s">
        <v>96</v>
      </c>
      <c r="E184">
        <v>6</v>
      </c>
      <c r="F184" t="s">
        <v>31</v>
      </c>
      <c r="G184" t="s">
        <v>42</v>
      </c>
      <c r="H184">
        <v>7.57</v>
      </c>
      <c r="I184" t="s">
        <v>38</v>
      </c>
      <c r="J184">
        <v>30</v>
      </c>
      <c r="K184">
        <v>435</v>
      </c>
      <c r="L184">
        <v>88.46</v>
      </c>
      <c r="M184">
        <v>7.57</v>
      </c>
      <c r="N184">
        <v>19.11</v>
      </c>
      <c r="O184">
        <v>8.65</v>
      </c>
      <c r="P184">
        <v>276.01</v>
      </c>
      <c r="Q184">
        <v>199</v>
      </c>
      <c r="R184">
        <v>5</v>
      </c>
      <c r="S184">
        <v>50</v>
      </c>
    </row>
    <row r="185" spans="1:19" x14ac:dyDescent="0.3">
      <c r="A185">
        <v>184</v>
      </c>
      <c r="B185" t="s">
        <v>148</v>
      </c>
      <c r="C185">
        <v>2020</v>
      </c>
      <c r="D185" t="s">
        <v>96</v>
      </c>
      <c r="E185">
        <v>6</v>
      </c>
      <c r="F185" t="s">
        <v>62</v>
      </c>
      <c r="G185" t="s">
        <v>22</v>
      </c>
      <c r="H185">
        <v>22.37</v>
      </c>
      <c r="I185" t="s">
        <v>38</v>
      </c>
      <c r="J185">
        <v>27</v>
      </c>
      <c r="K185">
        <v>500</v>
      </c>
      <c r="L185">
        <v>84.62</v>
      </c>
      <c r="M185">
        <v>11.49</v>
      </c>
      <c r="N185">
        <v>19.97</v>
      </c>
      <c r="O185">
        <v>5.46</v>
      </c>
      <c r="P185">
        <v>125.22</v>
      </c>
      <c r="Q185">
        <v>785</v>
      </c>
      <c r="R185">
        <v>5</v>
      </c>
      <c r="S185">
        <v>152</v>
      </c>
    </row>
    <row r="186" spans="1:19" x14ac:dyDescent="0.3">
      <c r="A186">
        <v>185</v>
      </c>
      <c r="B186" t="s">
        <v>149</v>
      </c>
      <c r="C186">
        <v>2020</v>
      </c>
      <c r="D186" t="s">
        <v>96</v>
      </c>
      <c r="E186">
        <v>6</v>
      </c>
      <c r="F186" t="s">
        <v>29</v>
      </c>
      <c r="G186" t="s">
        <v>22</v>
      </c>
      <c r="H186">
        <v>34.479999999999997</v>
      </c>
      <c r="I186" t="s">
        <v>23</v>
      </c>
      <c r="J186">
        <v>38</v>
      </c>
      <c r="K186">
        <v>405</v>
      </c>
      <c r="L186">
        <v>84.31</v>
      </c>
      <c r="M186">
        <v>34.25</v>
      </c>
      <c r="N186">
        <v>19.57</v>
      </c>
      <c r="O186">
        <v>6.32</v>
      </c>
      <c r="P186">
        <v>183.89</v>
      </c>
      <c r="Q186">
        <v>913</v>
      </c>
      <c r="R186">
        <v>4</v>
      </c>
      <c r="S186">
        <v>99</v>
      </c>
    </row>
    <row r="187" spans="1:19" x14ac:dyDescent="0.3">
      <c r="A187">
        <v>186</v>
      </c>
      <c r="B187" t="s">
        <v>150</v>
      </c>
      <c r="C187">
        <v>2020</v>
      </c>
      <c r="D187" t="s">
        <v>96</v>
      </c>
      <c r="E187">
        <v>6</v>
      </c>
      <c r="F187" t="s">
        <v>53</v>
      </c>
      <c r="G187" t="s">
        <v>35</v>
      </c>
      <c r="H187">
        <v>29.23</v>
      </c>
      <c r="I187" t="s">
        <v>47</v>
      </c>
      <c r="J187">
        <v>24</v>
      </c>
      <c r="K187">
        <v>221</v>
      </c>
      <c r="L187">
        <v>94.93</v>
      </c>
      <c r="M187">
        <v>6.4</v>
      </c>
      <c r="N187">
        <v>11.43</v>
      </c>
      <c r="O187">
        <v>4.01</v>
      </c>
      <c r="P187">
        <v>286.55</v>
      </c>
      <c r="Q187">
        <v>865</v>
      </c>
      <c r="R187">
        <v>5</v>
      </c>
      <c r="S187">
        <v>212</v>
      </c>
    </row>
    <row r="188" spans="1:19" x14ac:dyDescent="0.3">
      <c r="A188">
        <v>187</v>
      </c>
      <c r="B188" t="s">
        <v>151</v>
      </c>
      <c r="C188">
        <v>2020</v>
      </c>
      <c r="D188" t="s">
        <v>96</v>
      </c>
      <c r="E188">
        <v>6</v>
      </c>
      <c r="F188" t="s">
        <v>29</v>
      </c>
      <c r="G188" t="s">
        <v>26</v>
      </c>
      <c r="H188">
        <v>27.68</v>
      </c>
      <c r="I188" t="s">
        <v>32</v>
      </c>
      <c r="J188">
        <v>41</v>
      </c>
      <c r="K188">
        <v>427</v>
      </c>
      <c r="L188">
        <v>78.569999999999993</v>
      </c>
      <c r="M188">
        <v>21.99</v>
      </c>
      <c r="N188">
        <v>4.75</v>
      </c>
      <c r="O188">
        <v>1.03</v>
      </c>
      <c r="P188">
        <v>187.91</v>
      </c>
      <c r="Q188">
        <v>398</v>
      </c>
      <c r="R188">
        <v>1</v>
      </c>
      <c r="S188">
        <v>178</v>
      </c>
    </row>
    <row r="189" spans="1:19" x14ac:dyDescent="0.3">
      <c r="A189">
        <v>188</v>
      </c>
      <c r="B189" t="s">
        <v>140</v>
      </c>
      <c r="C189">
        <v>2020</v>
      </c>
      <c r="D189" t="s">
        <v>96</v>
      </c>
      <c r="E189">
        <v>6</v>
      </c>
      <c r="F189" t="s">
        <v>31</v>
      </c>
      <c r="G189" t="s">
        <v>22</v>
      </c>
      <c r="H189">
        <v>6.31</v>
      </c>
      <c r="I189" t="s">
        <v>23</v>
      </c>
      <c r="J189">
        <v>13</v>
      </c>
      <c r="K189">
        <v>374</v>
      </c>
      <c r="L189">
        <v>83.96</v>
      </c>
      <c r="M189">
        <v>34.07</v>
      </c>
      <c r="N189">
        <v>3.87</v>
      </c>
      <c r="O189">
        <v>9.42</v>
      </c>
      <c r="P189">
        <v>489.46</v>
      </c>
      <c r="Q189">
        <v>116</v>
      </c>
      <c r="R189">
        <v>2</v>
      </c>
      <c r="S189">
        <v>85</v>
      </c>
    </row>
    <row r="190" spans="1:19" x14ac:dyDescent="0.3">
      <c r="A190">
        <v>189</v>
      </c>
      <c r="B190" t="s">
        <v>152</v>
      </c>
      <c r="C190">
        <v>2020</v>
      </c>
      <c r="D190" t="s">
        <v>96</v>
      </c>
      <c r="E190">
        <v>6</v>
      </c>
      <c r="F190" t="s">
        <v>21</v>
      </c>
      <c r="G190" t="s">
        <v>35</v>
      </c>
      <c r="H190">
        <v>29.13</v>
      </c>
      <c r="I190" t="s">
        <v>38</v>
      </c>
      <c r="J190">
        <v>27</v>
      </c>
      <c r="K190">
        <v>350</v>
      </c>
      <c r="L190">
        <v>83.94</v>
      </c>
      <c r="M190">
        <v>17.8</v>
      </c>
      <c r="N190">
        <v>6.63</v>
      </c>
      <c r="O190">
        <v>11.88</v>
      </c>
      <c r="P190">
        <v>166.27</v>
      </c>
      <c r="Q190">
        <v>738</v>
      </c>
      <c r="R190">
        <v>5</v>
      </c>
      <c r="S190">
        <v>161</v>
      </c>
    </row>
    <row r="191" spans="1:19" x14ac:dyDescent="0.3">
      <c r="A191">
        <v>190</v>
      </c>
      <c r="B191" t="s">
        <v>152</v>
      </c>
      <c r="C191">
        <v>2020</v>
      </c>
      <c r="D191" t="s">
        <v>96</v>
      </c>
      <c r="E191">
        <v>6</v>
      </c>
      <c r="F191" t="s">
        <v>34</v>
      </c>
      <c r="G191" t="s">
        <v>22</v>
      </c>
      <c r="H191">
        <v>27.52</v>
      </c>
      <c r="I191" t="s">
        <v>23</v>
      </c>
      <c r="J191">
        <v>45</v>
      </c>
      <c r="K191">
        <v>567</v>
      </c>
      <c r="L191">
        <v>78.45</v>
      </c>
      <c r="M191">
        <v>18.25</v>
      </c>
      <c r="N191">
        <v>21.81</v>
      </c>
      <c r="O191">
        <v>13.95</v>
      </c>
      <c r="P191">
        <v>465.98</v>
      </c>
      <c r="Q191">
        <v>523</v>
      </c>
      <c r="R191">
        <v>1</v>
      </c>
      <c r="S191">
        <v>203</v>
      </c>
    </row>
    <row r="192" spans="1:19" x14ac:dyDescent="0.3">
      <c r="A192">
        <v>191</v>
      </c>
      <c r="B192" t="s">
        <v>153</v>
      </c>
      <c r="C192">
        <v>2020</v>
      </c>
      <c r="D192" t="s">
        <v>96</v>
      </c>
      <c r="E192">
        <v>6</v>
      </c>
      <c r="F192" t="s">
        <v>31</v>
      </c>
      <c r="G192" t="s">
        <v>42</v>
      </c>
      <c r="H192">
        <v>40.85</v>
      </c>
      <c r="I192" t="s">
        <v>38</v>
      </c>
      <c r="J192">
        <v>17</v>
      </c>
      <c r="K192">
        <v>293</v>
      </c>
      <c r="L192">
        <v>90.29</v>
      </c>
      <c r="M192">
        <v>16.989999999999998</v>
      </c>
      <c r="N192">
        <v>10.02</v>
      </c>
      <c r="O192">
        <v>13.87</v>
      </c>
      <c r="P192">
        <v>583.35</v>
      </c>
      <c r="Q192">
        <v>749</v>
      </c>
      <c r="R192">
        <v>4</v>
      </c>
      <c r="S192">
        <v>129</v>
      </c>
    </row>
    <row r="193" spans="1:19" x14ac:dyDescent="0.3">
      <c r="A193">
        <v>192</v>
      </c>
      <c r="B193" t="s">
        <v>146</v>
      </c>
      <c r="C193">
        <v>2020</v>
      </c>
      <c r="D193" t="s">
        <v>96</v>
      </c>
      <c r="E193">
        <v>6</v>
      </c>
      <c r="F193" t="s">
        <v>34</v>
      </c>
      <c r="G193" t="s">
        <v>40</v>
      </c>
      <c r="H193">
        <v>38.99</v>
      </c>
      <c r="I193" t="s">
        <v>32</v>
      </c>
      <c r="J193">
        <v>40</v>
      </c>
      <c r="K193">
        <v>252</v>
      </c>
      <c r="L193">
        <v>82.38</v>
      </c>
      <c r="M193">
        <v>12.17</v>
      </c>
      <c r="N193">
        <v>17.22</v>
      </c>
      <c r="O193">
        <v>12.9</v>
      </c>
      <c r="P193">
        <v>287.86</v>
      </c>
      <c r="Q193">
        <v>503</v>
      </c>
      <c r="R193">
        <v>1</v>
      </c>
      <c r="S193">
        <v>185</v>
      </c>
    </row>
    <row r="194" spans="1:19" x14ac:dyDescent="0.3">
      <c r="A194">
        <v>193</v>
      </c>
      <c r="B194" t="s">
        <v>150</v>
      </c>
      <c r="C194">
        <v>2020</v>
      </c>
      <c r="D194" t="s">
        <v>96</v>
      </c>
      <c r="E194">
        <v>6</v>
      </c>
      <c r="F194" t="s">
        <v>53</v>
      </c>
      <c r="G194" t="s">
        <v>40</v>
      </c>
      <c r="H194">
        <v>34.81</v>
      </c>
      <c r="I194" t="s">
        <v>23</v>
      </c>
      <c r="J194">
        <v>36</v>
      </c>
      <c r="K194">
        <v>182</v>
      </c>
      <c r="L194">
        <v>94.96</v>
      </c>
      <c r="M194">
        <v>23.96</v>
      </c>
      <c r="N194">
        <v>21.6</v>
      </c>
      <c r="O194">
        <v>10.66</v>
      </c>
      <c r="P194">
        <v>117.7</v>
      </c>
      <c r="Q194">
        <v>1068</v>
      </c>
      <c r="R194">
        <v>4</v>
      </c>
      <c r="S194">
        <v>185</v>
      </c>
    </row>
    <row r="195" spans="1:19" x14ac:dyDescent="0.3">
      <c r="A195">
        <v>194</v>
      </c>
      <c r="B195" t="s">
        <v>154</v>
      </c>
      <c r="C195">
        <v>2020</v>
      </c>
      <c r="D195" t="s">
        <v>96</v>
      </c>
      <c r="E195">
        <v>6</v>
      </c>
      <c r="F195" t="s">
        <v>34</v>
      </c>
      <c r="G195" t="s">
        <v>22</v>
      </c>
      <c r="H195">
        <v>49.93</v>
      </c>
      <c r="I195" t="s">
        <v>47</v>
      </c>
      <c r="J195">
        <v>6</v>
      </c>
      <c r="K195">
        <v>259</v>
      </c>
      <c r="L195">
        <v>93.17</v>
      </c>
      <c r="M195">
        <v>28.33</v>
      </c>
      <c r="N195">
        <v>4.99</v>
      </c>
      <c r="O195">
        <v>13.79</v>
      </c>
      <c r="P195">
        <v>235.69</v>
      </c>
      <c r="Q195">
        <v>138</v>
      </c>
      <c r="R195">
        <v>4</v>
      </c>
      <c r="S195">
        <v>148</v>
      </c>
    </row>
    <row r="196" spans="1:19" x14ac:dyDescent="0.3">
      <c r="A196">
        <v>195</v>
      </c>
      <c r="B196" t="s">
        <v>155</v>
      </c>
      <c r="C196">
        <v>2020</v>
      </c>
      <c r="D196" t="s">
        <v>96</v>
      </c>
      <c r="E196">
        <v>6</v>
      </c>
      <c r="F196" t="s">
        <v>62</v>
      </c>
      <c r="G196" t="s">
        <v>26</v>
      </c>
      <c r="H196">
        <v>23.7</v>
      </c>
      <c r="I196" t="s">
        <v>32</v>
      </c>
      <c r="J196">
        <v>28</v>
      </c>
      <c r="K196">
        <v>469</v>
      </c>
      <c r="L196">
        <v>84.58</v>
      </c>
      <c r="M196">
        <v>18.37</v>
      </c>
      <c r="N196">
        <v>10.08</v>
      </c>
      <c r="O196">
        <v>14.71</v>
      </c>
      <c r="P196">
        <v>450.3</v>
      </c>
      <c r="Q196">
        <v>210</v>
      </c>
      <c r="R196">
        <v>4</v>
      </c>
      <c r="S196">
        <v>244</v>
      </c>
    </row>
    <row r="197" spans="1:19" x14ac:dyDescent="0.3">
      <c r="A197">
        <v>196</v>
      </c>
      <c r="B197" t="s">
        <v>149</v>
      </c>
      <c r="C197">
        <v>2020</v>
      </c>
      <c r="D197" t="s">
        <v>96</v>
      </c>
      <c r="E197">
        <v>6</v>
      </c>
      <c r="F197" t="s">
        <v>21</v>
      </c>
      <c r="G197" t="s">
        <v>42</v>
      </c>
      <c r="H197">
        <v>50.9</v>
      </c>
      <c r="I197" t="s">
        <v>23</v>
      </c>
      <c r="J197">
        <v>18</v>
      </c>
      <c r="K197">
        <v>137</v>
      </c>
      <c r="L197">
        <v>92.35</v>
      </c>
      <c r="M197">
        <v>24.54</v>
      </c>
      <c r="N197">
        <v>6.39</v>
      </c>
      <c r="O197">
        <v>5.78</v>
      </c>
      <c r="P197">
        <v>385.62</v>
      </c>
      <c r="Q197">
        <v>745</v>
      </c>
      <c r="R197">
        <v>2</v>
      </c>
      <c r="S197">
        <v>162</v>
      </c>
    </row>
    <row r="198" spans="1:19" x14ac:dyDescent="0.3">
      <c r="A198">
        <v>197</v>
      </c>
      <c r="B198" t="s">
        <v>156</v>
      </c>
      <c r="C198">
        <v>2020</v>
      </c>
      <c r="D198" t="s">
        <v>96</v>
      </c>
      <c r="E198">
        <v>6</v>
      </c>
      <c r="F198" t="s">
        <v>31</v>
      </c>
      <c r="G198" t="s">
        <v>22</v>
      </c>
      <c r="H198">
        <v>22.85</v>
      </c>
      <c r="I198" t="s">
        <v>32</v>
      </c>
      <c r="J198">
        <v>13</v>
      </c>
      <c r="K198">
        <v>186</v>
      </c>
      <c r="L198">
        <v>86.19</v>
      </c>
      <c r="M198">
        <v>31.88</v>
      </c>
      <c r="N198">
        <v>8.7899999999999991</v>
      </c>
      <c r="O198">
        <v>11.28</v>
      </c>
      <c r="P198">
        <v>165.58</v>
      </c>
      <c r="Q198">
        <v>360</v>
      </c>
      <c r="R198">
        <v>3</v>
      </c>
      <c r="S198">
        <v>162</v>
      </c>
    </row>
    <row r="199" spans="1:19" x14ac:dyDescent="0.3">
      <c r="A199">
        <v>198</v>
      </c>
      <c r="B199" t="s">
        <v>156</v>
      </c>
      <c r="C199">
        <v>2020</v>
      </c>
      <c r="D199" t="s">
        <v>96</v>
      </c>
      <c r="E199">
        <v>6</v>
      </c>
      <c r="F199" t="s">
        <v>21</v>
      </c>
      <c r="G199" t="s">
        <v>35</v>
      </c>
      <c r="H199">
        <v>47.07</v>
      </c>
      <c r="I199" t="s">
        <v>27</v>
      </c>
      <c r="J199">
        <v>33</v>
      </c>
      <c r="K199">
        <v>453</v>
      </c>
      <c r="L199">
        <v>94.86</v>
      </c>
      <c r="M199">
        <v>15.2</v>
      </c>
      <c r="N199">
        <v>8.6300000000000008</v>
      </c>
      <c r="O199">
        <v>10.41</v>
      </c>
      <c r="P199">
        <v>255.61</v>
      </c>
      <c r="Q199">
        <v>757</v>
      </c>
      <c r="R199">
        <v>1</v>
      </c>
      <c r="S199">
        <v>148</v>
      </c>
    </row>
    <row r="200" spans="1:19" x14ac:dyDescent="0.3">
      <c r="A200">
        <v>199</v>
      </c>
      <c r="B200" t="s">
        <v>157</v>
      </c>
      <c r="C200">
        <v>2020</v>
      </c>
      <c r="D200" t="s">
        <v>96</v>
      </c>
      <c r="E200">
        <v>6</v>
      </c>
      <c r="F200" t="s">
        <v>29</v>
      </c>
      <c r="G200" t="s">
        <v>22</v>
      </c>
      <c r="H200">
        <v>11.37</v>
      </c>
      <c r="I200" t="s">
        <v>27</v>
      </c>
      <c r="J200">
        <v>24</v>
      </c>
      <c r="K200">
        <v>567</v>
      </c>
      <c r="L200">
        <v>75.209999999999994</v>
      </c>
      <c r="M200">
        <v>15.65</v>
      </c>
      <c r="N200">
        <v>5.87</v>
      </c>
      <c r="O200">
        <v>12.21</v>
      </c>
      <c r="P200">
        <v>323.13</v>
      </c>
      <c r="Q200">
        <v>304</v>
      </c>
      <c r="R200">
        <v>3</v>
      </c>
      <c r="S200">
        <v>65</v>
      </c>
    </row>
    <row r="201" spans="1:19" x14ac:dyDescent="0.3">
      <c r="A201">
        <v>200</v>
      </c>
      <c r="B201" t="s">
        <v>139</v>
      </c>
      <c r="C201">
        <v>2020</v>
      </c>
      <c r="D201" t="s">
        <v>96</v>
      </c>
      <c r="E201">
        <v>6</v>
      </c>
      <c r="F201" t="s">
        <v>29</v>
      </c>
      <c r="G201" t="s">
        <v>26</v>
      </c>
      <c r="H201">
        <v>36.29</v>
      </c>
      <c r="I201" t="s">
        <v>27</v>
      </c>
      <c r="J201">
        <v>23</v>
      </c>
      <c r="K201">
        <v>132</v>
      </c>
      <c r="L201">
        <v>86.09</v>
      </c>
      <c r="M201">
        <v>29.56</v>
      </c>
      <c r="N201">
        <v>6.22</v>
      </c>
      <c r="O201">
        <v>9.89</v>
      </c>
      <c r="P201">
        <v>362.86</v>
      </c>
      <c r="Q201">
        <v>1085</v>
      </c>
      <c r="R201">
        <v>5</v>
      </c>
      <c r="S201">
        <v>189</v>
      </c>
    </row>
    <row r="202" spans="1:19" x14ac:dyDescent="0.3">
      <c r="A202">
        <v>201</v>
      </c>
      <c r="B202" t="s">
        <v>158</v>
      </c>
      <c r="C202">
        <v>2020</v>
      </c>
      <c r="D202" t="s">
        <v>96</v>
      </c>
      <c r="E202">
        <v>6</v>
      </c>
      <c r="F202" t="s">
        <v>53</v>
      </c>
      <c r="G202" t="s">
        <v>40</v>
      </c>
      <c r="H202">
        <v>21.14</v>
      </c>
      <c r="I202" t="s">
        <v>47</v>
      </c>
      <c r="J202">
        <v>1</v>
      </c>
      <c r="K202">
        <v>175</v>
      </c>
      <c r="L202">
        <v>79.59</v>
      </c>
      <c r="M202">
        <v>13.06</v>
      </c>
      <c r="N202">
        <v>3.7</v>
      </c>
      <c r="O202">
        <v>10.95</v>
      </c>
      <c r="P202">
        <v>511.51</v>
      </c>
      <c r="Q202">
        <v>336</v>
      </c>
      <c r="R202">
        <v>5</v>
      </c>
      <c r="S202">
        <v>158</v>
      </c>
    </row>
    <row r="203" spans="1:19" x14ac:dyDescent="0.3">
      <c r="A203">
        <v>202</v>
      </c>
      <c r="B203" t="s">
        <v>156</v>
      </c>
      <c r="C203">
        <v>2020</v>
      </c>
      <c r="D203" t="s">
        <v>96</v>
      </c>
      <c r="E203">
        <v>6</v>
      </c>
      <c r="F203" t="s">
        <v>53</v>
      </c>
      <c r="G203" t="s">
        <v>42</v>
      </c>
      <c r="H203">
        <v>12.29</v>
      </c>
      <c r="I203" t="s">
        <v>47</v>
      </c>
      <c r="J203">
        <v>15</v>
      </c>
      <c r="K203">
        <v>312</v>
      </c>
      <c r="L203">
        <v>79.44</v>
      </c>
      <c r="M203">
        <v>17.079999999999998</v>
      </c>
      <c r="N203">
        <v>20.440000000000001</v>
      </c>
      <c r="O203">
        <v>11.03</v>
      </c>
      <c r="P203">
        <v>201.88</v>
      </c>
      <c r="Q203">
        <v>646</v>
      </c>
      <c r="R203">
        <v>3</v>
      </c>
      <c r="S203">
        <v>208</v>
      </c>
    </row>
    <row r="204" spans="1:19" x14ac:dyDescent="0.3">
      <c r="A204">
        <v>203</v>
      </c>
      <c r="B204" t="s">
        <v>159</v>
      </c>
      <c r="C204">
        <v>2020</v>
      </c>
      <c r="D204" t="s">
        <v>96</v>
      </c>
      <c r="E204">
        <v>6</v>
      </c>
      <c r="F204" t="s">
        <v>37</v>
      </c>
      <c r="G204" t="s">
        <v>26</v>
      </c>
      <c r="H204">
        <v>33.39</v>
      </c>
      <c r="I204" t="s">
        <v>32</v>
      </c>
      <c r="J204">
        <v>49</v>
      </c>
      <c r="K204">
        <v>251</v>
      </c>
      <c r="L204">
        <v>79.819999999999993</v>
      </c>
      <c r="M204">
        <v>10.19</v>
      </c>
      <c r="N204">
        <v>13.44</v>
      </c>
      <c r="O204">
        <v>12.08</v>
      </c>
      <c r="P204">
        <v>586.88</v>
      </c>
      <c r="Q204">
        <v>475</v>
      </c>
      <c r="R204">
        <v>3</v>
      </c>
      <c r="S204">
        <v>174</v>
      </c>
    </row>
    <row r="205" spans="1:19" x14ac:dyDescent="0.3">
      <c r="A205">
        <v>204</v>
      </c>
      <c r="B205" t="s">
        <v>154</v>
      </c>
      <c r="C205">
        <v>2020</v>
      </c>
      <c r="D205" t="s">
        <v>96</v>
      </c>
      <c r="E205">
        <v>6</v>
      </c>
      <c r="F205" t="s">
        <v>62</v>
      </c>
      <c r="G205" t="s">
        <v>35</v>
      </c>
      <c r="H205">
        <v>9.32</v>
      </c>
      <c r="I205" t="s">
        <v>27</v>
      </c>
      <c r="J205">
        <v>5</v>
      </c>
      <c r="K205">
        <v>282</v>
      </c>
      <c r="L205">
        <v>90.92</v>
      </c>
      <c r="M205">
        <v>11.44</v>
      </c>
      <c r="N205">
        <v>4.7</v>
      </c>
      <c r="O205">
        <v>12.48</v>
      </c>
      <c r="P205">
        <v>103.47</v>
      </c>
      <c r="Q205">
        <v>938</v>
      </c>
      <c r="R205">
        <v>2</v>
      </c>
      <c r="S205">
        <v>195</v>
      </c>
    </row>
    <row r="206" spans="1:19" x14ac:dyDescent="0.3">
      <c r="A206">
        <v>205</v>
      </c>
      <c r="B206" t="s">
        <v>160</v>
      </c>
      <c r="C206">
        <v>2020</v>
      </c>
      <c r="D206" t="s">
        <v>161</v>
      </c>
      <c r="E206">
        <v>7</v>
      </c>
      <c r="F206" t="s">
        <v>25</v>
      </c>
      <c r="G206" t="s">
        <v>26</v>
      </c>
      <c r="H206">
        <v>28.36</v>
      </c>
      <c r="I206" t="s">
        <v>38</v>
      </c>
      <c r="J206">
        <v>30</v>
      </c>
      <c r="K206">
        <v>434</v>
      </c>
      <c r="L206">
        <v>93.51</v>
      </c>
      <c r="M206">
        <v>8.75</v>
      </c>
      <c r="N206">
        <v>19.5</v>
      </c>
      <c r="O206">
        <v>10.75</v>
      </c>
      <c r="P206">
        <v>264.73</v>
      </c>
      <c r="Q206">
        <v>465</v>
      </c>
      <c r="R206">
        <v>5</v>
      </c>
      <c r="S206">
        <v>76</v>
      </c>
    </row>
    <row r="207" spans="1:19" x14ac:dyDescent="0.3">
      <c r="A207">
        <v>206</v>
      </c>
      <c r="B207" t="s">
        <v>162</v>
      </c>
      <c r="C207">
        <v>2020</v>
      </c>
      <c r="D207" t="s">
        <v>161</v>
      </c>
      <c r="E207">
        <v>7</v>
      </c>
      <c r="F207" t="s">
        <v>29</v>
      </c>
      <c r="G207" t="s">
        <v>35</v>
      </c>
      <c r="H207">
        <v>48.76</v>
      </c>
      <c r="I207" t="s">
        <v>23</v>
      </c>
      <c r="J207">
        <v>18</v>
      </c>
      <c r="K207">
        <v>587</v>
      </c>
      <c r="L207">
        <v>79.2</v>
      </c>
      <c r="M207">
        <v>6.8</v>
      </c>
      <c r="N207">
        <v>12.7</v>
      </c>
      <c r="O207">
        <v>2.34</v>
      </c>
      <c r="P207">
        <v>340.18</v>
      </c>
      <c r="Q207">
        <v>319</v>
      </c>
      <c r="R207">
        <v>5</v>
      </c>
      <c r="S207">
        <v>154</v>
      </c>
    </row>
    <row r="208" spans="1:19" x14ac:dyDescent="0.3">
      <c r="A208">
        <v>207</v>
      </c>
      <c r="B208" t="s">
        <v>163</v>
      </c>
      <c r="C208">
        <v>2020</v>
      </c>
      <c r="D208" t="s">
        <v>161</v>
      </c>
      <c r="E208">
        <v>7</v>
      </c>
      <c r="F208" t="s">
        <v>53</v>
      </c>
      <c r="G208" t="s">
        <v>35</v>
      </c>
      <c r="H208">
        <v>36.71</v>
      </c>
      <c r="I208" t="s">
        <v>47</v>
      </c>
      <c r="J208">
        <v>4</v>
      </c>
      <c r="K208">
        <v>424</v>
      </c>
      <c r="L208">
        <v>77.010000000000005</v>
      </c>
      <c r="M208">
        <v>10.36</v>
      </c>
      <c r="N208">
        <v>10.27</v>
      </c>
      <c r="O208">
        <v>14.09</v>
      </c>
      <c r="P208">
        <v>248.91</v>
      </c>
      <c r="Q208">
        <v>153</v>
      </c>
      <c r="R208">
        <v>3</v>
      </c>
      <c r="S208">
        <v>59</v>
      </c>
    </row>
    <row r="209" spans="1:19" x14ac:dyDescent="0.3">
      <c r="A209">
        <v>208</v>
      </c>
      <c r="B209" t="s">
        <v>164</v>
      </c>
      <c r="C209">
        <v>2020</v>
      </c>
      <c r="D209" t="s">
        <v>161</v>
      </c>
      <c r="E209">
        <v>7</v>
      </c>
      <c r="F209" t="s">
        <v>31</v>
      </c>
      <c r="G209" t="s">
        <v>26</v>
      </c>
      <c r="H209">
        <v>34.99</v>
      </c>
      <c r="I209" t="s">
        <v>47</v>
      </c>
      <c r="J209">
        <v>21</v>
      </c>
      <c r="K209">
        <v>244</v>
      </c>
      <c r="L209">
        <v>81.150000000000006</v>
      </c>
      <c r="M209">
        <v>14.99</v>
      </c>
      <c r="N209">
        <v>14.45</v>
      </c>
      <c r="O209">
        <v>3.57</v>
      </c>
      <c r="P209">
        <v>590.41</v>
      </c>
      <c r="Q209">
        <v>492</v>
      </c>
      <c r="R209">
        <v>3</v>
      </c>
      <c r="S209">
        <v>98</v>
      </c>
    </row>
    <row r="210" spans="1:19" x14ac:dyDescent="0.3">
      <c r="A210">
        <v>209</v>
      </c>
      <c r="B210" t="s">
        <v>165</v>
      </c>
      <c r="C210">
        <v>2020</v>
      </c>
      <c r="D210" t="s">
        <v>161</v>
      </c>
      <c r="E210">
        <v>7</v>
      </c>
      <c r="F210" t="s">
        <v>37</v>
      </c>
      <c r="G210" t="s">
        <v>22</v>
      </c>
      <c r="H210">
        <v>14.07</v>
      </c>
      <c r="I210" t="s">
        <v>32</v>
      </c>
      <c r="J210">
        <v>30</v>
      </c>
      <c r="K210">
        <v>319</v>
      </c>
      <c r="L210">
        <v>75.069999999999993</v>
      </c>
      <c r="M210">
        <v>33.76</v>
      </c>
      <c r="N210">
        <v>12.14</v>
      </c>
      <c r="O210">
        <v>9.19</v>
      </c>
      <c r="P210">
        <v>165.18</v>
      </c>
      <c r="Q210">
        <v>244</v>
      </c>
      <c r="R210">
        <v>4</v>
      </c>
      <c r="S210">
        <v>51</v>
      </c>
    </row>
    <row r="211" spans="1:19" x14ac:dyDescent="0.3">
      <c r="A211">
        <v>210</v>
      </c>
      <c r="B211" t="s">
        <v>166</v>
      </c>
      <c r="C211">
        <v>2020</v>
      </c>
      <c r="D211" t="s">
        <v>161</v>
      </c>
      <c r="E211">
        <v>7</v>
      </c>
      <c r="F211" t="s">
        <v>29</v>
      </c>
      <c r="G211" t="s">
        <v>40</v>
      </c>
      <c r="H211">
        <v>37.1</v>
      </c>
      <c r="I211" t="s">
        <v>38</v>
      </c>
      <c r="J211">
        <v>35</v>
      </c>
      <c r="K211">
        <v>315</v>
      </c>
      <c r="L211">
        <v>94.35</v>
      </c>
      <c r="M211">
        <v>28.41</v>
      </c>
      <c r="N211">
        <v>2.0299999999999998</v>
      </c>
      <c r="O211">
        <v>2.2200000000000002</v>
      </c>
      <c r="P211">
        <v>444.18</v>
      </c>
      <c r="Q211">
        <v>638</v>
      </c>
      <c r="R211">
        <v>2</v>
      </c>
      <c r="S211">
        <v>108</v>
      </c>
    </row>
    <row r="212" spans="1:19" x14ac:dyDescent="0.3">
      <c r="A212">
        <v>211</v>
      </c>
      <c r="B212" t="s">
        <v>167</v>
      </c>
      <c r="C212">
        <v>2020</v>
      </c>
      <c r="D212" t="s">
        <v>161</v>
      </c>
      <c r="E212">
        <v>7</v>
      </c>
      <c r="F212" t="s">
        <v>25</v>
      </c>
      <c r="G212" t="s">
        <v>22</v>
      </c>
      <c r="H212">
        <v>11.77</v>
      </c>
      <c r="I212" t="s">
        <v>23</v>
      </c>
      <c r="J212">
        <v>50</v>
      </c>
      <c r="K212">
        <v>371</v>
      </c>
      <c r="L212">
        <v>92.86</v>
      </c>
      <c r="M212">
        <v>8.4700000000000006</v>
      </c>
      <c r="N212">
        <v>12.16</v>
      </c>
      <c r="O212">
        <v>11.28</v>
      </c>
      <c r="P212">
        <v>317.19</v>
      </c>
      <c r="Q212">
        <v>182</v>
      </c>
      <c r="R212">
        <v>4</v>
      </c>
      <c r="S212">
        <v>230</v>
      </c>
    </row>
    <row r="213" spans="1:19" x14ac:dyDescent="0.3">
      <c r="A213">
        <v>212</v>
      </c>
      <c r="B213" t="s">
        <v>168</v>
      </c>
      <c r="C213">
        <v>2020</v>
      </c>
      <c r="D213" t="s">
        <v>161</v>
      </c>
      <c r="E213">
        <v>7</v>
      </c>
      <c r="F213" t="s">
        <v>37</v>
      </c>
      <c r="G213" t="s">
        <v>42</v>
      </c>
      <c r="H213">
        <v>35.18</v>
      </c>
      <c r="I213" t="s">
        <v>23</v>
      </c>
      <c r="J213">
        <v>7</v>
      </c>
      <c r="K213">
        <v>208</v>
      </c>
      <c r="L213">
        <v>93.62</v>
      </c>
      <c r="M213">
        <v>8.15</v>
      </c>
      <c r="N213">
        <v>12.89</v>
      </c>
      <c r="O213">
        <v>11.58</v>
      </c>
      <c r="P213">
        <v>587.48</v>
      </c>
      <c r="Q213">
        <v>400</v>
      </c>
      <c r="R213">
        <v>4</v>
      </c>
      <c r="S213">
        <v>230</v>
      </c>
    </row>
    <row r="214" spans="1:19" x14ac:dyDescent="0.3">
      <c r="A214">
        <v>213</v>
      </c>
      <c r="B214" t="s">
        <v>169</v>
      </c>
      <c r="C214">
        <v>2020</v>
      </c>
      <c r="D214" t="s">
        <v>161</v>
      </c>
      <c r="E214">
        <v>7</v>
      </c>
      <c r="F214" t="s">
        <v>34</v>
      </c>
      <c r="G214" t="s">
        <v>42</v>
      </c>
      <c r="H214">
        <v>27.6</v>
      </c>
      <c r="I214" t="s">
        <v>27</v>
      </c>
      <c r="J214">
        <v>5</v>
      </c>
      <c r="K214">
        <v>348</v>
      </c>
      <c r="L214">
        <v>94.93</v>
      </c>
      <c r="M214">
        <v>22.33</v>
      </c>
      <c r="N214">
        <v>17.77</v>
      </c>
      <c r="O214">
        <v>10.02</v>
      </c>
      <c r="P214">
        <v>213.46</v>
      </c>
      <c r="Q214">
        <v>403</v>
      </c>
      <c r="R214">
        <v>1</v>
      </c>
      <c r="S214">
        <v>248</v>
      </c>
    </row>
    <row r="215" spans="1:19" x14ac:dyDescent="0.3">
      <c r="A215">
        <v>214</v>
      </c>
      <c r="B215" t="s">
        <v>170</v>
      </c>
      <c r="C215">
        <v>2020</v>
      </c>
      <c r="D215" t="s">
        <v>161</v>
      </c>
      <c r="E215">
        <v>7</v>
      </c>
      <c r="F215" t="s">
        <v>31</v>
      </c>
      <c r="G215" t="s">
        <v>35</v>
      </c>
      <c r="H215">
        <v>20.81</v>
      </c>
      <c r="I215" t="s">
        <v>32</v>
      </c>
      <c r="J215">
        <v>24</v>
      </c>
      <c r="K215">
        <v>512</v>
      </c>
      <c r="L215">
        <v>90.69</v>
      </c>
      <c r="M215">
        <v>20.5</v>
      </c>
      <c r="N215">
        <v>20.8</v>
      </c>
      <c r="O215">
        <v>6.34</v>
      </c>
      <c r="P215">
        <v>386.92</v>
      </c>
      <c r="Q215">
        <v>124</v>
      </c>
      <c r="R215">
        <v>3</v>
      </c>
      <c r="S215">
        <v>111</v>
      </c>
    </row>
    <row r="216" spans="1:19" x14ac:dyDescent="0.3">
      <c r="A216">
        <v>215</v>
      </c>
      <c r="B216" t="s">
        <v>171</v>
      </c>
      <c r="C216">
        <v>2020</v>
      </c>
      <c r="D216" t="s">
        <v>161</v>
      </c>
      <c r="E216">
        <v>7</v>
      </c>
      <c r="F216" t="s">
        <v>53</v>
      </c>
      <c r="G216" t="s">
        <v>22</v>
      </c>
      <c r="H216">
        <v>20.21</v>
      </c>
      <c r="I216" t="s">
        <v>38</v>
      </c>
      <c r="J216">
        <v>15</v>
      </c>
      <c r="K216">
        <v>348</v>
      </c>
      <c r="L216">
        <v>76.64</v>
      </c>
      <c r="M216">
        <v>14.31</v>
      </c>
      <c r="N216">
        <v>4.32</v>
      </c>
      <c r="O216">
        <v>13.9</v>
      </c>
      <c r="P216">
        <v>409.62</v>
      </c>
      <c r="Q216">
        <v>716</v>
      </c>
      <c r="R216">
        <v>4</v>
      </c>
      <c r="S216">
        <v>213</v>
      </c>
    </row>
    <row r="217" spans="1:19" x14ac:dyDescent="0.3">
      <c r="A217">
        <v>216</v>
      </c>
      <c r="B217" t="s">
        <v>172</v>
      </c>
      <c r="C217">
        <v>2020</v>
      </c>
      <c r="D217" t="s">
        <v>161</v>
      </c>
      <c r="E217">
        <v>7</v>
      </c>
      <c r="F217" t="s">
        <v>31</v>
      </c>
      <c r="G217" t="s">
        <v>22</v>
      </c>
      <c r="H217">
        <v>28.6</v>
      </c>
      <c r="I217" t="s">
        <v>32</v>
      </c>
      <c r="J217">
        <v>1</v>
      </c>
      <c r="K217">
        <v>449</v>
      </c>
      <c r="L217">
        <v>90.47</v>
      </c>
      <c r="M217">
        <v>32.35</v>
      </c>
      <c r="N217">
        <v>3.59</v>
      </c>
      <c r="O217">
        <v>15.21</v>
      </c>
      <c r="P217">
        <v>238.71</v>
      </c>
      <c r="Q217">
        <v>574</v>
      </c>
      <c r="R217">
        <v>2</v>
      </c>
      <c r="S217">
        <v>118</v>
      </c>
    </row>
    <row r="218" spans="1:19" x14ac:dyDescent="0.3">
      <c r="A218">
        <v>217</v>
      </c>
      <c r="B218" t="s">
        <v>171</v>
      </c>
      <c r="C218">
        <v>2020</v>
      </c>
      <c r="D218" t="s">
        <v>161</v>
      </c>
      <c r="E218">
        <v>7</v>
      </c>
      <c r="F218" t="s">
        <v>21</v>
      </c>
      <c r="G218" t="s">
        <v>22</v>
      </c>
      <c r="H218">
        <v>33.01</v>
      </c>
      <c r="I218" t="s">
        <v>32</v>
      </c>
      <c r="J218">
        <v>35</v>
      </c>
      <c r="K218">
        <v>208</v>
      </c>
      <c r="L218">
        <v>85.27</v>
      </c>
      <c r="M218">
        <v>20.53</v>
      </c>
      <c r="N218">
        <v>14.95</v>
      </c>
      <c r="O218">
        <v>7.34</v>
      </c>
      <c r="P218">
        <v>491.62</v>
      </c>
      <c r="Q218">
        <v>761</v>
      </c>
      <c r="R218">
        <v>4</v>
      </c>
      <c r="S218">
        <v>159</v>
      </c>
    </row>
    <row r="219" spans="1:19" x14ac:dyDescent="0.3">
      <c r="A219">
        <v>218</v>
      </c>
      <c r="B219" t="s">
        <v>173</v>
      </c>
      <c r="C219">
        <v>2020</v>
      </c>
      <c r="D219" t="s">
        <v>161</v>
      </c>
      <c r="E219">
        <v>7</v>
      </c>
      <c r="F219" t="s">
        <v>21</v>
      </c>
      <c r="G219" t="s">
        <v>26</v>
      </c>
      <c r="H219">
        <v>19.82</v>
      </c>
      <c r="I219" t="s">
        <v>47</v>
      </c>
      <c r="J219">
        <v>35</v>
      </c>
      <c r="K219">
        <v>387</v>
      </c>
      <c r="L219">
        <v>79.89</v>
      </c>
      <c r="M219">
        <v>23.37</v>
      </c>
      <c r="N219">
        <v>13</v>
      </c>
      <c r="O219">
        <v>10.92</v>
      </c>
      <c r="P219">
        <v>362.7</v>
      </c>
      <c r="Q219">
        <v>197</v>
      </c>
      <c r="R219">
        <v>1</v>
      </c>
      <c r="S219">
        <v>65</v>
      </c>
    </row>
    <row r="220" spans="1:19" x14ac:dyDescent="0.3">
      <c r="A220">
        <v>219</v>
      </c>
      <c r="B220" t="s">
        <v>160</v>
      </c>
      <c r="C220">
        <v>2020</v>
      </c>
      <c r="D220" t="s">
        <v>161</v>
      </c>
      <c r="E220">
        <v>7</v>
      </c>
      <c r="F220" t="s">
        <v>62</v>
      </c>
      <c r="G220" t="s">
        <v>26</v>
      </c>
      <c r="H220">
        <v>12.81</v>
      </c>
      <c r="I220" t="s">
        <v>32</v>
      </c>
      <c r="J220">
        <v>9</v>
      </c>
      <c r="K220">
        <v>424</v>
      </c>
      <c r="L220">
        <v>85.19</v>
      </c>
      <c r="M220">
        <v>16.440000000000001</v>
      </c>
      <c r="N220">
        <v>12.35</v>
      </c>
      <c r="O220">
        <v>10.67</v>
      </c>
      <c r="P220">
        <v>372.45</v>
      </c>
      <c r="Q220">
        <v>930</v>
      </c>
      <c r="R220">
        <v>4</v>
      </c>
      <c r="S220">
        <v>184</v>
      </c>
    </row>
    <row r="221" spans="1:19" x14ac:dyDescent="0.3">
      <c r="A221">
        <v>220</v>
      </c>
      <c r="B221" t="s">
        <v>171</v>
      </c>
      <c r="C221">
        <v>2020</v>
      </c>
      <c r="D221" t="s">
        <v>161</v>
      </c>
      <c r="E221">
        <v>7</v>
      </c>
      <c r="F221" t="s">
        <v>34</v>
      </c>
      <c r="G221" t="s">
        <v>26</v>
      </c>
      <c r="H221">
        <v>13.42</v>
      </c>
      <c r="I221" t="s">
        <v>27</v>
      </c>
      <c r="J221">
        <v>49</v>
      </c>
      <c r="K221">
        <v>516</v>
      </c>
      <c r="L221">
        <v>82.83</v>
      </c>
      <c r="M221">
        <v>27.63</v>
      </c>
      <c r="N221">
        <v>20.149999999999999</v>
      </c>
      <c r="O221">
        <v>8</v>
      </c>
      <c r="P221">
        <v>550.91</v>
      </c>
      <c r="Q221">
        <v>972</v>
      </c>
      <c r="R221">
        <v>2</v>
      </c>
      <c r="S221">
        <v>121</v>
      </c>
    </row>
    <row r="222" spans="1:19" x14ac:dyDescent="0.3">
      <c r="A222">
        <v>221</v>
      </c>
      <c r="B222" t="s">
        <v>174</v>
      </c>
      <c r="C222">
        <v>2020</v>
      </c>
      <c r="D222" t="s">
        <v>161</v>
      </c>
      <c r="E222">
        <v>7</v>
      </c>
      <c r="F222" t="s">
        <v>21</v>
      </c>
      <c r="G222" t="s">
        <v>22</v>
      </c>
      <c r="H222">
        <v>33.65</v>
      </c>
      <c r="I222" t="s">
        <v>27</v>
      </c>
      <c r="J222">
        <v>38</v>
      </c>
      <c r="K222">
        <v>573</v>
      </c>
      <c r="L222">
        <v>91.79</v>
      </c>
      <c r="M222">
        <v>22.62</v>
      </c>
      <c r="N222">
        <v>8.7200000000000006</v>
      </c>
      <c r="O222">
        <v>8.31</v>
      </c>
      <c r="P222">
        <v>273.60000000000002</v>
      </c>
      <c r="Q222">
        <v>1071</v>
      </c>
      <c r="R222">
        <v>3</v>
      </c>
      <c r="S222">
        <v>60</v>
      </c>
    </row>
    <row r="223" spans="1:19" x14ac:dyDescent="0.3">
      <c r="A223">
        <v>222</v>
      </c>
      <c r="B223" t="s">
        <v>175</v>
      </c>
      <c r="C223">
        <v>2020</v>
      </c>
      <c r="D223" t="s">
        <v>161</v>
      </c>
      <c r="E223">
        <v>7</v>
      </c>
      <c r="F223" t="s">
        <v>25</v>
      </c>
      <c r="G223" t="s">
        <v>35</v>
      </c>
      <c r="H223">
        <v>48.46</v>
      </c>
      <c r="I223" t="s">
        <v>32</v>
      </c>
      <c r="J223">
        <v>26</v>
      </c>
      <c r="K223">
        <v>295</v>
      </c>
      <c r="L223">
        <v>81</v>
      </c>
      <c r="M223">
        <v>11.38</v>
      </c>
      <c r="N223">
        <v>10.01</v>
      </c>
      <c r="O223">
        <v>9.2799999999999994</v>
      </c>
      <c r="P223">
        <v>441.08</v>
      </c>
      <c r="Q223">
        <v>198</v>
      </c>
      <c r="R223">
        <v>1</v>
      </c>
      <c r="S223">
        <v>218</v>
      </c>
    </row>
    <row r="224" spans="1:19" x14ac:dyDescent="0.3">
      <c r="A224">
        <v>223</v>
      </c>
      <c r="B224" t="s">
        <v>176</v>
      </c>
      <c r="C224">
        <v>2020</v>
      </c>
      <c r="D224" t="s">
        <v>161</v>
      </c>
      <c r="E224">
        <v>7</v>
      </c>
      <c r="F224" t="s">
        <v>37</v>
      </c>
      <c r="G224" t="s">
        <v>42</v>
      </c>
      <c r="H224">
        <v>15.91</v>
      </c>
      <c r="I224" t="s">
        <v>27</v>
      </c>
      <c r="J224">
        <v>25</v>
      </c>
      <c r="K224">
        <v>267</v>
      </c>
      <c r="L224">
        <v>92.83</v>
      </c>
      <c r="M224">
        <v>19.440000000000001</v>
      </c>
      <c r="N224">
        <v>13.63</v>
      </c>
      <c r="O224">
        <v>3.81</v>
      </c>
      <c r="P224">
        <v>164.54</v>
      </c>
      <c r="Q224">
        <v>906</v>
      </c>
      <c r="R224">
        <v>1</v>
      </c>
      <c r="S224">
        <v>163</v>
      </c>
    </row>
    <row r="225" spans="1:19" x14ac:dyDescent="0.3">
      <c r="A225">
        <v>224</v>
      </c>
      <c r="B225" t="s">
        <v>169</v>
      </c>
      <c r="C225">
        <v>2020</v>
      </c>
      <c r="D225" t="s">
        <v>161</v>
      </c>
      <c r="E225">
        <v>7</v>
      </c>
      <c r="F225" t="s">
        <v>31</v>
      </c>
      <c r="G225" t="s">
        <v>35</v>
      </c>
      <c r="H225">
        <v>20.100000000000001</v>
      </c>
      <c r="I225" t="s">
        <v>27</v>
      </c>
      <c r="J225">
        <v>26</v>
      </c>
      <c r="K225">
        <v>204</v>
      </c>
      <c r="L225">
        <v>93.6</v>
      </c>
      <c r="M225">
        <v>6.71</v>
      </c>
      <c r="N225">
        <v>18.25</v>
      </c>
      <c r="O225">
        <v>9.17</v>
      </c>
      <c r="P225">
        <v>201.68</v>
      </c>
      <c r="Q225">
        <v>711</v>
      </c>
      <c r="R225">
        <v>2</v>
      </c>
      <c r="S225">
        <v>227</v>
      </c>
    </row>
    <row r="226" spans="1:19" x14ac:dyDescent="0.3">
      <c r="A226">
        <v>225</v>
      </c>
      <c r="B226" t="s">
        <v>177</v>
      </c>
      <c r="C226">
        <v>2020</v>
      </c>
      <c r="D226" t="s">
        <v>161</v>
      </c>
      <c r="E226">
        <v>7</v>
      </c>
      <c r="F226" t="s">
        <v>31</v>
      </c>
      <c r="G226" t="s">
        <v>40</v>
      </c>
      <c r="H226">
        <v>10.54</v>
      </c>
      <c r="I226" t="s">
        <v>23</v>
      </c>
      <c r="J226">
        <v>34</v>
      </c>
      <c r="K226">
        <v>422</v>
      </c>
      <c r="L226">
        <v>86.55</v>
      </c>
      <c r="M226">
        <v>9.27</v>
      </c>
      <c r="N226">
        <v>4.9800000000000004</v>
      </c>
      <c r="O226">
        <v>7.55</v>
      </c>
      <c r="P226">
        <v>352.02</v>
      </c>
      <c r="Q226">
        <v>1020</v>
      </c>
      <c r="R226">
        <v>3</v>
      </c>
      <c r="S226">
        <v>100</v>
      </c>
    </row>
    <row r="227" spans="1:19" x14ac:dyDescent="0.3">
      <c r="A227">
        <v>226</v>
      </c>
      <c r="B227" t="s">
        <v>178</v>
      </c>
      <c r="C227">
        <v>2020</v>
      </c>
      <c r="D227" t="s">
        <v>161</v>
      </c>
      <c r="E227">
        <v>7</v>
      </c>
      <c r="F227" t="s">
        <v>62</v>
      </c>
      <c r="G227" t="s">
        <v>40</v>
      </c>
      <c r="H227">
        <v>48.86</v>
      </c>
      <c r="I227" t="s">
        <v>27</v>
      </c>
      <c r="J227">
        <v>35</v>
      </c>
      <c r="K227">
        <v>415</v>
      </c>
      <c r="L227">
        <v>89.31</v>
      </c>
      <c r="M227">
        <v>11.29</v>
      </c>
      <c r="N227">
        <v>13.92</v>
      </c>
      <c r="O227">
        <v>1.47</v>
      </c>
      <c r="P227">
        <v>288.57</v>
      </c>
      <c r="Q227">
        <v>422</v>
      </c>
      <c r="R227">
        <v>5</v>
      </c>
      <c r="S227">
        <v>117</v>
      </c>
    </row>
    <row r="228" spans="1:19" x14ac:dyDescent="0.3">
      <c r="A228">
        <v>227</v>
      </c>
      <c r="B228" t="s">
        <v>175</v>
      </c>
      <c r="C228">
        <v>2020</v>
      </c>
      <c r="D228" t="s">
        <v>161</v>
      </c>
      <c r="E228">
        <v>7</v>
      </c>
      <c r="F228" t="s">
        <v>25</v>
      </c>
      <c r="G228" t="s">
        <v>26</v>
      </c>
      <c r="H228">
        <v>22.62</v>
      </c>
      <c r="I228" t="s">
        <v>27</v>
      </c>
      <c r="J228">
        <v>18</v>
      </c>
      <c r="K228">
        <v>417</v>
      </c>
      <c r="L228">
        <v>83.26</v>
      </c>
      <c r="M228">
        <v>30.46</v>
      </c>
      <c r="N228">
        <v>9.01</v>
      </c>
      <c r="O228">
        <v>14.81</v>
      </c>
      <c r="P228">
        <v>480.12</v>
      </c>
      <c r="Q228">
        <v>368</v>
      </c>
      <c r="R228">
        <v>1</v>
      </c>
      <c r="S228">
        <v>153</v>
      </c>
    </row>
    <row r="229" spans="1:19" x14ac:dyDescent="0.3">
      <c r="A229">
        <v>228</v>
      </c>
      <c r="B229" t="s">
        <v>179</v>
      </c>
      <c r="C229">
        <v>2020</v>
      </c>
      <c r="D229" t="s">
        <v>161</v>
      </c>
      <c r="E229">
        <v>7</v>
      </c>
      <c r="F229" t="s">
        <v>21</v>
      </c>
      <c r="G229" t="s">
        <v>26</v>
      </c>
      <c r="H229">
        <v>13.67</v>
      </c>
      <c r="I229" t="s">
        <v>23</v>
      </c>
      <c r="J229">
        <v>30</v>
      </c>
      <c r="K229">
        <v>160</v>
      </c>
      <c r="L229">
        <v>91.83</v>
      </c>
      <c r="M229">
        <v>15.18</v>
      </c>
      <c r="N229">
        <v>3.33</v>
      </c>
      <c r="O229">
        <v>9.7100000000000009</v>
      </c>
      <c r="P229">
        <v>535.55999999999995</v>
      </c>
      <c r="Q229">
        <v>826</v>
      </c>
      <c r="R229">
        <v>4</v>
      </c>
      <c r="S229">
        <v>214</v>
      </c>
    </row>
    <row r="230" spans="1:19" x14ac:dyDescent="0.3">
      <c r="A230">
        <v>229</v>
      </c>
      <c r="B230" t="s">
        <v>180</v>
      </c>
      <c r="C230">
        <v>2020</v>
      </c>
      <c r="D230" t="s">
        <v>161</v>
      </c>
      <c r="E230">
        <v>7</v>
      </c>
      <c r="F230" t="s">
        <v>29</v>
      </c>
      <c r="G230" t="s">
        <v>35</v>
      </c>
      <c r="H230">
        <v>17.16</v>
      </c>
      <c r="I230" t="s">
        <v>38</v>
      </c>
      <c r="J230">
        <v>43</v>
      </c>
      <c r="K230">
        <v>522</v>
      </c>
      <c r="L230">
        <v>91.92</v>
      </c>
      <c r="M230">
        <v>16.62</v>
      </c>
      <c r="N230">
        <v>12.64</v>
      </c>
      <c r="O230">
        <v>12.37</v>
      </c>
      <c r="P230">
        <v>590.91</v>
      </c>
      <c r="Q230">
        <v>317</v>
      </c>
      <c r="R230">
        <v>4</v>
      </c>
      <c r="S230">
        <v>131</v>
      </c>
    </row>
    <row r="231" spans="1:19" x14ac:dyDescent="0.3">
      <c r="A231">
        <v>230</v>
      </c>
      <c r="B231" t="s">
        <v>181</v>
      </c>
      <c r="C231">
        <v>2020</v>
      </c>
      <c r="D231" t="s">
        <v>161</v>
      </c>
      <c r="E231">
        <v>7</v>
      </c>
      <c r="F231" t="s">
        <v>62</v>
      </c>
      <c r="G231" t="s">
        <v>26</v>
      </c>
      <c r="H231">
        <v>34.26</v>
      </c>
      <c r="I231" t="s">
        <v>47</v>
      </c>
      <c r="J231">
        <v>37</v>
      </c>
      <c r="K231">
        <v>534</v>
      </c>
      <c r="L231">
        <v>91.16</v>
      </c>
      <c r="M231">
        <v>20.75</v>
      </c>
      <c r="N231">
        <v>9.11</v>
      </c>
      <c r="O231">
        <v>3.98</v>
      </c>
      <c r="P231">
        <v>543.04999999999995</v>
      </c>
      <c r="Q231">
        <v>611</v>
      </c>
      <c r="R231">
        <v>4</v>
      </c>
      <c r="S231">
        <v>176</v>
      </c>
    </row>
    <row r="232" spans="1:19" x14ac:dyDescent="0.3">
      <c r="A232">
        <v>231</v>
      </c>
      <c r="B232" t="s">
        <v>167</v>
      </c>
      <c r="C232">
        <v>2020</v>
      </c>
      <c r="D232" t="s">
        <v>161</v>
      </c>
      <c r="E232">
        <v>7</v>
      </c>
      <c r="F232" t="s">
        <v>25</v>
      </c>
      <c r="G232" t="s">
        <v>22</v>
      </c>
      <c r="H232">
        <v>52.56</v>
      </c>
      <c r="I232" t="s">
        <v>38</v>
      </c>
      <c r="J232">
        <v>36</v>
      </c>
      <c r="K232">
        <v>332</v>
      </c>
      <c r="L232">
        <v>85.56</v>
      </c>
      <c r="M232">
        <v>12.48</v>
      </c>
      <c r="N232">
        <v>10.09</v>
      </c>
      <c r="O232">
        <v>2.14</v>
      </c>
      <c r="P232">
        <v>544.26</v>
      </c>
      <c r="Q232">
        <v>826</v>
      </c>
      <c r="R232">
        <v>1</v>
      </c>
      <c r="S232">
        <v>52</v>
      </c>
    </row>
    <row r="233" spans="1:19" x14ac:dyDescent="0.3">
      <c r="A233">
        <v>232</v>
      </c>
      <c r="B233" t="s">
        <v>182</v>
      </c>
      <c r="C233">
        <v>2020</v>
      </c>
      <c r="D233" t="s">
        <v>161</v>
      </c>
      <c r="E233">
        <v>7</v>
      </c>
      <c r="F233" t="s">
        <v>62</v>
      </c>
      <c r="G233" t="s">
        <v>42</v>
      </c>
      <c r="H233">
        <v>5.32</v>
      </c>
      <c r="I233" t="s">
        <v>47</v>
      </c>
      <c r="J233">
        <v>28</v>
      </c>
      <c r="K233">
        <v>259</v>
      </c>
      <c r="L233">
        <v>75.44</v>
      </c>
      <c r="M233">
        <v>5.54</v>
      </c>
      <c r="N233">
        <v>18.63</v>
      </c>
      <c r="O233">
        <v>4.3600000000000003</v>
      </c>
      <c r="P233">
        <v>214.72</v>
      </c>
      <c r="Q233">
        <v>246</v>
      </c>
      <c r="R233">
        <v>3</v>
      </c>
      <c r="S233">
        <v>241</v>
      </c>
    </row>
    <row r="234" spans="1:19" x14ac:dyDescent="0.3">
      <c r="A234">
        <v>233</v>
      </c>
      <c r="B234" t="s">
        <v>174</v>
      </c>
      <c r="C234">
        <v>2020</v>
      </c>
      <c r="D234" t="s">
        <v>161</v>
      </c>
      <c r="E234">
        <v>7</v>
      </c>
      <c r="F234" t="s">
        <v>62</v>
      </c>
      <c r="G234" t="s">
        <v>35</v>
      </c>
      <c r="H234">
        <v>25.17</v>
      </c>
      <c r="I234" t="s">
        <v>38</v>
      </c>
      <c r="J234">
        <v>41</v>
      </c>
      <c r="K234">
        <v>558</v>
      </c>
      <c r="L234">
        <v>90.76</v>
      </c>
      <c r="M234">
        <v>9.07</v>
      </c>
      <c r="N234">
        <v>18.75</v>
      </c>
      <c r="O234">
        <v>11.92</v>
      </c>
      <c r="P234">
        <v>492.21</v>
      </c>
      <c r="Q234">
        <v>872</v>
      </c>
      <c r="R234">
        <v>4</v>
      </c>
      <c r="S234">
        <v>126</v>
      </c>
    </row>
    <row r="235" spans="1:19" x14ac:dyDescent="0.3">
      <c r="A235">
        <v>234</v>
      </c>
      <c r="B235" t="s">
        <v>183</v>
      </c>
      <c r="C235">
        <v>2020</v>
      </c>
      <c r="D235" t="s">
        <v>161</v>
      </c>
      <c r="E235">
        <v>7</v>
      </c>
      <c r="F235" t="s">
        <v>29</v>
      </c>
      <c r="G235" t="s">
        <v>26</v>
      </c>
      <c r="H235">
        <v>44.52</v>
      </c>
      <c r="I235" t="s">
        <v>38</v>
      </c>
      <c r="J235">
        <v>17</v>
      </c>
      <c r="K235">
        <v>552</v>
      </c>
      <c r="L235">
        <v>93.03</v>
      </c>
      <c r="M235">
        <v>7.17</v>
      </c>
      <c r="N235">
        <v>17.04</v>
      </c>
      <c r="O235">
        <v>4.75</v>
      </c>
      <c r="P235">
        <v>292.13</v>
      </c>
      <c r="Q235">
        <v>452</v>
      </c>
      <c r="R235">
        <v>2</v>
      </c>
      <c r="S235">
        <v>138</v>
      </c>
    </row>
    <row r="236" spans="1:19" x14ac:dyDescent="0.3">
      <c r="A236">
        <v>235</v>
      </c>
      <c r="B236" t="s">
        <v>184</v>
      </c>
      <c r="C236">
        <v>2020</v>
      </c>
      <c r="D236" t="s">
        <v>161</v>
      </c>
      <c r="E236">
        <v>7</v>
      </c>
      <c r="F236" t="s">
        <v>25</v>
      </c>
      <c r="G236" t="s">
        <v>26</v>
      </c>
      <c r="H236">
        <v>40.82</v>
      </c>
      <c r="I236" t="s">
        <v>38</v>
      </c>
      <c r="J236">
        <v>37</v>
      </c>
      <c r="K236">
        <v>281</v>
      </c>
      <c r="L236">
        <v>88.88</v>
      </c>
      <c r="M236">
        <v>10.09</v>
      </c>
      <c r="N236">
        <v>7.26</v>
      </c>
      <c r="O236">
        <v>14.03</v>
      </c>
      <c r="P236">
        <v>339.74</v>
      </c>
      <c r="Q236">
        <v>663</v>
      </c>
      <c r="R236">
        <v>1</v>
      </c>
      <c r="S236">
        <v>113</v>
      </c>
    </row>
    <row r="237" spans="1:19" x14ac:dyDescent="0.3">
      <c r="A237">
        <v>236</v>
      </c>
      <c r="B237" t="s">
        <v>179</v>
      </c>
      <c r="C237">
        <v>2020</v>
      </c>
      <c r="D237" t="s">
        <v>161</v>
      </c>
      <c r="E237">
        <v>7</v>
      </c>
      <c r="F237" t="s">
        <v>25</v>
      </c>
      <c r="G237" t="s">
        <v>22</v>
      </c>
      <c r="H237">
        <v>12.03</v>
      </c>
      <c r="I237" t="s">
        <v>32</v>
      </c>
      <c r="J237">
        <v>19</v>
      </c>
      <c r="K237">
        <v>267</v>
      </c>
      <c r="L237">
        <v>84.8</v>
      </c>
      <c r="M237">
        <v>30.73</v>
      </c>
      <c r="N237">
        <v>15.03</v>
      </c>
      <c r="O237">
        <v>4.66</v>
      </c>
      <c r="P237">
        <v>202.03</v>
      </c>
      <c r="Q237">
        <v>368</v>
      </c>
      <c r="R237">
        <v>2</v>
      </c>
      <c r="S237">
        <v>74</v>
      </c>
    </row>
    <row r="238" spans="1:19" x14ac:dyDescent="0.3">
      <c r="A238">
        <v>237</v>
      </c>
      <c r="B238" t="s">
        <v>185</v>
      </c>
      <c r="C238">
        <v>2020</v>
      </c>
      <c r="D238" t="s">
        <v>161</v>
      </c>
      <c r="E238">
        <v>7</v>
      </c>
      <c r="F238" t="s">
        <v>53</v>
      </c>
      <c r="G238" t="s">
        <v>22</v>
      </c>
      <c r="H238">
        <v>48.09</v>
      </c>
      <c r="I238" t="s">
        <v>32</v>
      </c>
      <c r="J238">
        <v>7</v>
      </c>
      <c r="K238">
        <v>537</v>
      </c>
      <c r="L238">
        <v>90.55</v>
      </c>
      <c r="M238">
        <v>13.22</v>
      </c>
      <c r="N238">
        <v>11.64</v>
      </c>
      <c r="O238">
        <v>6.45</v>
      </c>
      <c r="P238">
        <v>123.85</v>
      </c>
      <c r="Q238">
        <v>460</v>
      </c>
      <c r="R238">
        <v>2</v>
      </c>
      <c r="S238">
        <v>181</v>
      </c>
    </row>
    <row r="239" spans="1:19" x14ac:dyDescent="0.3">
      <c r="A239">
        <v>238</v>
      </c>
      <c r="B239" t="s">
        <v>173</v>
      </c>
      <c r="C239">
        <v>2020</v>
      </c>
      <c r="D239" t="s">
        <v>161</v>
      </c>
      <c r="E239">
        <v>7</v>
      </c>
      <c r="F239" t="s">
        <v>29</v>
      </c>
      <c r="G239" t="s">
        <v>42</v>
      </c>
      <c r="H239">
        <v>11.78</v>
      </c>
      <c r="I239" t="s">
        <v>27</v>
      </c>
      <c r="J239">
        <v>23</v>
      </c>
      <c r="K239">
        <v>495</v>
      </c>
      <c r="L239">
        <v>79.98</v>
      </c>
      <c r="M239">
        <v>27.82</v>
      </c>
      <c r="N239">
        <v>7.4</v>
      </c>
      <c r="O239">
        <v>10.210000000000001</v>
      </c>
      <c r="P239">
        <v>500.66</v>
      </c>
      <c r="Q239">
        <v>1046</v>
      </c>
      <c r="R239">
        <v>2</v>
      </c>
      <c r="S239">
        <v>188</v>
      </c>
    </row>
    <row r="240" spans="1:19" x14ac:dyDescent="0.3">
      <c r="A240">
        <v>239</v>
      </c>
      <c r="B240" t="s">
        <v>186</v>
      </c>
      <c r="C240">
        <v>2020</v>
      </c>
      <c r="D240" t="s">
        <v>161</v>
      </c>
      <c r="E240">
        <v>8</v>
      </c>
      <c r="F240" t="s">
        <v>31</v>
      </c>
      <c r="G240" t="s">
        <v>35</v>
      </c>
      <c r="H240">
        <v>49.99</v>
      </c>
      <c r="I240" t="s">
        <v>27</v>
      </c>
      <c r="J240">
        <v>39</v>
      </c>
      <c r="K240">
        <v>170</v>
      </c>
      <c r="L240">
        <v>93.49</v>
      </c>
      <c r="M240">
        <v>14.34</v>
      </c>
      <c r="N240">
        <v>18.39</v>
      </c>
      <c r="O240">
        <v>3.42</v>
      </c>
      <c r="P240">
        <v>532.75</v>
      </c>
      <c r="Q240">
        <v>730</v>
      </c>
      <c r="R240">
        <v>2</v>
      </c>
      <c r="S240">
        <v>171</v>
      </c>
    </row>
    <row r="241" spans="1:19" x14ac:dyDescent="0.3">
      <c r="A241">
        <v>240</v>
      </c>
      <c r="B241" t="s">
        <v>187</v>
      </c>
      <c r="C241">
        <v>2020</v>
      </c>
      <c r="D241" t="s">
        <v>161</v>
      </c>
      <c r="E241">
        <v>8</v>
      </c>
      <c r="F241" t="s">
        <v>53</v>
      </c>
      <c r="G241" t="s">
        <v>22</v>
      </c>
      <c r="H241">
        <v>33.14</v>
      </c>
      <c r="I241" t="s">
        <v>47</v>
      </c>
      <c r="J241">
        <v>48</v>
      </c>
      <c r="K241">
        <v>466</v>
      </c>
      <c r="L241">
        <v>82.62</v>
      </c>
      <c r="M241">
        <v>17.64</v>
      </c>
      <c r="N241">
        <v>17.61</v>
      </c>
      <c r="O241">
        <v>13.04</v>
      </c>
      <c r="P241">
        <v>166.16</v>
      </c>
      <c r="Q241">
        <v>114</v>
      </c>
      <c r="R241">
        <v>2</v>
      </c>
      <c r="S241">
        <v>182</v>
      </c>
    </row>
    <row r="242" spans="1:19" x14ac:dyDescent="0.3">
      <c r="A242">
        <v>241</v>
      </c>
      <c r="B242" t="s">
        <v>188</v>
      </c>
      <c r="C242">
        <v>2020</v>
      </c>
      <c r="D242" t="s">
        <v>161</v>
      </c>
      <c r="E242">
        <v>8</v>
      </c>
      <c r="F242" t="s">
        <v>62</v>
      </c>
      <c r="G242" t="s">
        <v>26</v>
      </c>
      <c r="H242">
        <v>37.590000000000003</v>
      </c>
      <c r="I242" t="s">
        <v>47</v>
      </c>
      <c r="J242">
        <v>50</v>
      </c>
      <c r="K242">
        <v>431</v>
      </c>
      <c r="L242">
        <v>79.25</v>
      </c>
      <c r="M242">
        <v>33.520000000000003</v>
      </c>
      <c r="N242">
        <v>12.31</v>
      </c>
      <c r="O242">
        <v>7.36</v>
      </c>
      <c r="P242">
        <v>103.54</v>
      </c>
      <c r="Q242">
        <v>390</v>
      </c>
      <c r="R242">
        <v>3</v>
      </c>
      <c r="S242">
        <v>112</v>
      </c>
    </row>
    <row r="243" spans="1:19" x14ac:dyDescent="0.3">
      <c r="A243">
        <v>242</v>
      </c>
      <c r="B243" t="s">
        <v>189</v>
      </c>
      <c r="C243">
        <v>2020</v>
      </c>
      <c r="D243" t="s">
        <v>161</v>
      </c>
      <c r="E243">
        <v>8</v>
      </c>
      <c r="F243" t="s">
        <v>34</v>
      </c>
      <c r="G243" t="s">
        <v>26</v>
      </c>
      <c r="H243">
        <v>48.26</v>
      </c>
      <c r="I243" t="s">
        <v>27</v>
      </c>
      <c r="J243">
        <v>13</v>
      </c>
      <c r="K243">
        <v>113</v>
      </c>
      <c r="L243">
        <v>91.16</v>
      </c>
      <c r="M243">
        <v>23.41</v>
      </c>
      <c r="N243">
        <v>2.34</v>
      </c>
      <c r="O243">
        <v>13.79</v>
      </c>
      <c r="P243">
        <v>352.36</v>
      </c>
      <c r="Q243">
        <v>932</v>
      </c>
      <c r="R243">
        <v>3</v>
      </c>
      <c r="S243">
        <v>125</v>
      </c>
    </row>
    <row r="244" spans="1:19" x14ac:dyDescent="0.3">
      <c r="A244">
        <v>243</v>
      </c>
      <c r="B244" t="s">
        <v>190</v>
      </c>
      <c r="C244">
        <v>2020</v>
      </c>
      <c r="D244" t="s">
        <v>161</v>
      </c>
      <c r="E244">
        <v>8</v>
      </c>
      <c r="F244" t="s">
        <v>25</v>
      </c>
      <c r="G244" t="s">
        <v>40</v>
      </c>
      <c r="H244">
        <v>30.51</v>
      </c>
      <c r="I244" t="s">
        <v>23</v>
      </c>
      <c r="J244">
        <v>30</v>
      </c>
      <c r="K244">
        <v>201</v>
      </c>
      <c r="L244">
        <v>83.14</v>
      </c>
      <c r="M244">
        <v>27.42</v>
      </c>
      <c r="N244">
        <v>15.04</v>
      </c>
      <c r="O244">
        <v>1.05</v>
      </c>
      <c r="P244">
        <v>339.73</v>
      </c>
      <c r="Q244">
        <v>784</v>
      </c>
      <c r="R244">
        <v>5</v>
      </c>
      <c r="S244">
        <v>198</v>
      </c>
    </row>
    <row r="245" spans="1:19" x14ac:dyDescent="0.3">
      <c r="A245">
        <v>244</v>
      </c>
      <c r="B245" t="s">
        <v>191</v>
      </c>
      <c r="C245">
        <v>2020</v>
      </c>
      <c r="D245" t="s">
        <v>161</v>
      </c>
      <c r="E245">
        <v>8</v>
      </c>
      <c r="F245" t="s">
        <v>25</v>
      </c>
      <c r="G245" t="s">
        <v>26</v>
      </c>
      <c r="H245">
        <v>41.02</v>
      </c>
      <c r="I245" t="s">
        <v>32</v>
      </c>
      <c r="J245">
        <v>9</v>
      </c>
      <c r="K245">
        <v>170</v>
      </c>
      <c r="L245">
        <v>92.52</v>
      </c>
      <c r="M245">
        <v>26.65</v>
      </c>
      <c r="N245">
        <v>3.55</v>
      </c>
      <c r="O245">
        <v>7.27</v>
      </c>
      <c r="P245">
        <v>467.43</v>
      </c>
      <c r="Q245">
        <v>504</v>
      </c>
      <c r="R245">
        <v>5</v>
      </c>
      <c r="S245">
        <v>109</v>
      </c>
    </row>
    <row r="246" spans="1:19" x14ac:dyDescent="0.3">
      <c r="A246">
        <v>245</v>
      </c>
      <c r="B246" t="s">
        <v>192</v>
      </c>
      <c r="C246">
        <v>2020</v>
      </c>
      <c r="D246" t="s">
        <v>161</v>
      </c>
      <c r="E246">
        <v>8</v>
      </c>
      <c r="F246" t="s">
        <v>62</v>
      </c>
      <c r="G246" t="s">
        <v>22</v>
      </c>
      <c r="H246">
        <v>40.22</v>
      </c>
      <c r="I246" t="s">
        <v>47</v>
      </c>
      <c r="J246">
        <v>19</v>
      </c>
      <c r="K246">
        <v>181</v>
      </c>
      <c r="L246">
        <v>94.12</v>
      </c>
      <c r="M246">
        <v>33.85</v>
      </c>
      <c r="N246">
        <v>20.7</v>
      </c>
      <c r="O246">
        <v>11.89</v>
      </c>
      <c r="P246">
        <v>269.77</v>
      </c>
      <c r="Q246">
        <v>634</v>
      </c>
      <c r="R246">
        <v>1</v>
      </c>
      <c r="S246">
        <v>191</v>
      </c>
    </row>
    <row r="247" spans="1:19" x14ac:dyDescent="0.3">
      <c r="A247">
        <v>246</v>
      </c>
      <c r="B247" t="s">
        <v>186</v>
      </c>
      <c r="C247">
        <v>2020</v>
      </c>
      <c r="D247" t="s">
        <v>161</v>
      </c>
      <c r="E247">
        <v>8</v>
      </c>
      <c r="F247" t="s">
        <v>29</v>
      </c>
      <c r="G247" t="s">
        <v>40</v>
      </c>
      <c r="H247">
        <v>12.26</v>
      </c>
      <c r="I247" t="s">
        <v>23</v>
      </c>
      <c r="J247">
        <v>37</v>
      </c>
      <c r="K247">
        <v>244</v>
      </c>
      <c r="L247">
        <v>75.69</v>
      </c>
      <c r="M247">
        <v>24.58</v>
      </c>
      <c r="N247">
        <v>11.22</v>
      </c>
      <c r="O247">
        <v>7.03</v>
      </c>
      <c r="P247">
        <v>579.01</v>
      </c>
      <c r="Q247">
        <v>227</v>
      </c>
      <c r="R247">
        <v>1</v>
      </c>
      <c r="S247">
        <v>248</v>
      </c>
    </row>
    <row r="248" spans="1:19" x14ac:dyDescent="0.3">
      <c r="A248">
        <v>247</v>
      </c>
      <c r="B248" t="s">
        <v>193</v>
      </c>
      <c r="C248">
        <v>2020</v>
      </c>
      <c r="D248" t="s">
        <v>161</v>
      </c>
      <c r="E248">
        <v>8</v>
      </c>
      <c r="F248" t="s">
        <v>25</v>
      </c>
      <c r="G248" t="s">
        <v>35</v>
      </c>
      <c r="H248">
        <v>23.41</v>
      </c>
      <c r="I248" t="s">
        <v>38</v>
      </c>
      <c r="J248">
        <v>36</v>
      </c>
      <c r="K248">
        <v>174</v>
      </c>
      <c r="L248">
        <v>93.41</v>
      </c>
      <c r="M248">
        <v>22.42</v>
      </c>
      <c r="N248">
        <v>5.78</v>
      </c>
      <c r="O248">
        <v>2.52</v>
      </c>
      <c r="P248">
        <v>300.38</v>
      </c>
      <c r="Q248">
        <v>1033</v>
      </c>
      <c r="R248">
        <v>5</v>
      </c>
      <c r="S248">
        <v>120</v>
      </c>
    </row>
    <row r="249" spans="1:19" x14ac:dyDescent="0.3">
      <c r="A249">
        <v>248</v>
      </c>
      <c r="B249" t="s">
        <v>194</v>
      </c>
      <c r="C249">
        <v>2020</v>
      </c>
      <c r="D249" t="s">
        <v>161</v>
      </c>
      <c r="E249">
        <v>8</v>
      </c>
      <c r="F249" t="s">
        <v>25</v>
      </c>
      <c r="G249" t="s">
        <v>35</v>
      </c>
      <c r="H249">
        <v>33.72</v>
      </c>
      <c r="I249" t="s">
        <v>23</v>
      </c>
      <c r="J249">
        <v>43</v>
      </c>
      <c r="K249">
        <v>355</v>
      </c>
      <c r="L249">
        <v>94.2</v>
      </c>
      <c r="M249">
        <v>20.04</v>
      </c>
      <c r="N249">
        <v>12.08</v>
      </c>
      <c r="O249">
        <v>8.48</v>
      </c>
      <c r="P249">
        <v>212.65</v>
      </c>
      <c r="Q249">
        <v>189</v>
      </c>
      <c r="R249">
        <v>5</v>
      </c>
      <c r="S249">
        <v>122</v>
      </c>
    </row>
    <row r="250" spans="1:19" x14ac:dyDescent="0.3">
      <c r="A250">
        <v>249</v>
      </c>
      <c r="B250" t="s">
        <v>195</v>
      </c>
      <c r="C250">
        <v>2020</v>
      </c>
      <c r="D250" t="s">
        <v>161</v>
      </c>
      <c r="E250">
        <v>8</v>
      </c>
      <c r="F250" t="s">
        <v>21</v>
      </c>
      <c r="G250" t="s">
        <v>40</v>
      </c>
      <c r="H250">
        <v>35.869999999999997</v>
      </c>
      <c r="I250" t="s">
        <v>32</v>
      </c>
      <c r="J250">
        <v>44</v>
      </c>
      <c r="K250">
        <v>544</v>
      </c>
      <c r="L250">
        <v>77.989999999999995</v>
      </c>
      <c r="M250">
        <v>26.85</v>
      </c>
      <c r="N250">
        <v>11.27</v>
      </c>
      <c r="O250">
        <v>3.76</v>
      </c>
      <c r="P250">
        <v>218.58</v>
      </c>
      <c r="Q250">
        <v>355</v>
      </c>
      <c r="R250">
        <v>1</v>
      </c>
      <c r="S250">
        <v>67</v>
      </c>
    </row>
    <row r="251" spans="1:19" x14ac:dyDescent="0.3">
      <c r="A251">
        <v>250</v>
      </c>
      <c r="B251" t="s">
        <v>196</v>
      </c>
      <c r="C251">
        <v>2020</v>
      </c>
      <c r="D251" t="s">
        <v>161</v>
      </c>
      <c r="E251">
        <v>8</v>
      </c>
      <c r="F251" t="s">
        <v>53</v>
      </c>
      <c r="G251" t="s">
        <v>22</v>
      </c>
      <c r="H251">
        <v>28.91</v>
      </c>
      <c r="I251" t="s">
        <v>38</v>
      </c>
      <c r="J251">
        <v>34</v>
      </c>
      <c r="K251">
        <v>140</v>
      </c>
      <c r="L251">
        <v>82.59</v>
      </c>
      <c r="M251">
        <v>21.8</v>
      </c>
      <c r="N251">
        <v>13.41</v>
      </c>
      <c r="O251">
        <v>3.34</v>
      </c>
      <c r="P251">
        <v>519.75</v>
      </c>
      <c r="Q251">
        <v>922</v>
      </c>
      <c r="R251">
        <v>1</v>
      </c>
      <c r="S251">
        <v>162</v>
      </c>
    </row>
    <row r="252" spans="1:19" x14ac:dyDescent="0.3">
      <c r="A252">
        <v>251</v>
      </c>
      <c r="B252" t="s">
        <v>194</v>
      </c>
      <c r="C252">
        <v>2020</v>
      </c>
      <c r="D252" t="s">
        <v>161</v>
      </c>
      <c r="E252">
        <v>8</v>
      </c>
      <c r="F252" t="s">
        <v>25</v>
      </c>
      <c r="G252" t="s">
        <v>42</v>
      </c>
      <c r="H252">
        <v>43.14</v>
      </c>
      <c r="I252" t="s">
        <v>27</v>
      </c>
      <c r="J252">
        <v>20</v>
      </c>
      <c r="K252">
        <v>531</v>
      </c>
      <c r="L252">
        <v>92.11</v>
      </c>
      <c r="M252">
        <v>30.22</v>
      </c>
      <c r="N252">
        <v>19.5</v>
      </c>
      <c r="O252">
        <v>7.7</v>
      </c>
      <c r="P252">
        <v>488.89</v>
      </c>
      <c r="Q252">
        <v>550</v>
      </c>
      <c r="R252">
        <v>4</v>
      </c>
      <c r="S252">
        <v>82</v>
      </c>
    </row>
    <row r="253" spans="1:19" x14ac:dyDescent="0.3">
      <c r="A253">
        <v>252</v>
      </c>
      <c r="B253" t="s">
        <v>197</v>
      </c>
      <c r="C253">
        <v>2020</v>
      </c>
      <c r="D253" t="s">
        <v>161</v>
      </c>
      <c r="E253">
        <v>8</v>
      </c>
      <c r="F253" t="s">
        <v>29</v>
      </c>
      <c r="G253" t="s">
        <v>42</v>
      </c>
      <c r="H253">
        <v>42.24</v>
      </c>
      <c r="I253" t="s">
        <v>32</v>
      </c>
      <c r="J253">
        <v>40</v>
      </c>
      <c r="K253">
        <v>421</v>
      </c>
      <c r="L253">
        <v>86.25</v>
      </c>
      <c r="M253">
        <v>10.210000000000001</v>
      </c>
      <c r="N253">
        <v>21.08</v>
      </c>
      <c r="O253">
        <v>6.54</v>
      </c>
      <c r="P253">
        <v>111.21</v>
      </c>
      <c r="Q253">
        <v>245</v>
      </c>
      <c r="R253">
        <v>2</v>
      </c>
      <c r="S253">
        <v>71</v>
      </c>
    </row>
    <row r="254" spans="1:19" x14ac:dyDescent="0.3">
      <c r="A254">
        <v>253</v>
      </c>
      <c r="B254" t="s">
        <v>198</v>
      </c>
      <c r="C254">
        <v>2020</v>
      </c>
      <c r="D254" t="s">
        <v>161</v>
      </c>
      <c r="E254">
        <v>8</v>
      </c>
      <c r="F254" t="s">
        <v>21</v>
      </c>
      <c r="G254" t="s">
        <v>35</v>
      </c>
      <c r="H254">
        <v>46.25</v>
      </c>
      <c r="I254" t="s">
        <v>47</v>
      </c>
      <c r="J254">
        <v>4</v>
      </c>
      <c r="K254">
        <v>110</v>
      </c>
      <c r="L254">
        <v>87.26</v>
      </c>
      <c r="M254">
        <v>17.489999999999998</v>
      </c>
      <c r="N254">
        <v>21.61</v>
      </c>
      <c r="O254">
        <v>10.89</v>
      </c>
      <c r="P254">
        <v>328.89</v>
      </c>
      <c r="Q254">
        <v>584</v>
      </c>
      <c r="R254">
        <v>5</v>
      </c>
      <c r="S254">
        <v>76</v>
      </c>
    </row>
    <row r="255" spans="1:19" x14ac:dyDescent="0.3">
      <c r="A255">
        <v>254</v>
      </c>
      <c r="B255" t="s">
        <v>199</v>
      </c>
      <c r="C255">
        <v>2020</v>
      </c>
      <c r="D255" t="s">
        <v>161</v>
      </c>
      <c r="E255">
        <v>8</v>
      </c>
      <c r="F255" t="s">
        <v>25</v>
      </c>
      <c r="G255" t="s">
        <v>42</v>
      </c>
      <c r="H255">
        <v>34.21</v>
      </c>
      <c r="I255" t="s">
        <v>38</v>
      </c>
      <c r="J255">
        <v>23</v>
      </c>
      <c r="K255">
        <v>337</v>
      </c>
      <c r="L255">
        <v>80.88</v>
      </c>
      <c r="M255">
        <v>25.05</v>
      </c>
      <c r="N255">
        <v>5.81</v>
      </c>
      <c r="O255">
        <v>3.17</v>
      </c>
      <c r="P255">
        <v>139.22999999999999</v>
      </c>
      <c r="Q255">
        <v>307</v>
      </c>
      <c r="R255">
        <v>4</v>
      </c>
      <c r="S255">
        <v>219</v>
      </c>
    </row>
    <row r="256" spans="1:19" x14ac:dyDescent="0.3">
      <c r="A256">
        <v>255</v>
      </c>
      <c r="B256" t="s">
        <v>191</v>
      </c>
      <c r="C256">
        <v>2020</v>
      </c>
      <c r="D256" t="s">
        <v>161</v>
      </c>
      <c r="E256">
        <v>8</v>
      </c>
      <c r="F256" t="s">
        <v>37</v>
      </c>
      <c r="G256" t="s">
        <v>22</v>
      </c>
      <c r="H256">
        <v>36.69</v>
      </c>
      <c r="I256" t="s">
        <v>38</v>
      </c>
      <c r="J256">
        <v>14</v>
      </c>
      <c r="K256">
        <v>543</v>
      </c>
      <c r="L256">
        <v>79.47</v>
      </c>
      <c r="M256">
        <v>7.47</v>
      </c>
      <c r="N256">
        <v>2.5499999999999998</v>
      </c>
      <c r="O256">
        <v>5.01</v>
      </c>
      <c r="P256">
        <v>517.08000000000004</v>
      </c>
      <c r="Q256">
        <v>845</v>
      </c>
      <c r="R256">
        <v>3</v>
      </c>
      <c r="S256">
        <v>99</v>
      </c>
    </row>
    <row r="257" spans="1:19" x14ac:dyDescent="0.3">
      <c r="A257">
        <v>256</v>
      </c>
      <c r="B257" t="s">
        <v>200</v>
      </c>
      <c r="C257">
        <v>2020</v>
      </c>
      <c r="D257" t="s">
        <v>161</v>
      </c>
      <c r="E257">
        <v>8</v>
      </c>
      <c r="F257" t="s">
        <v>31</v>
      </c>
      <c r="G257" t="s">
        <v>40</v>
      </c>
      <c r="H257">
        <v>31.78</v>
      </c>
      <c r="I257" t="s">
        <v>38</v>
      </c>
      <c r="J257">
        <v>9</v>
      </c>
      <c r="K257">
        <v>230</v>
      </c>
      <c r="L257">
        <v>84.99</v>
      </c>
      <c r="M257">
        <v>31.98</v>
      </c>
      <c r="N257">
        <v>9.2100000000000009</v>
      </c>
      <c r="O257">
        <v>1.29</v>
      </c>
      <c r="P257">
        <v>390.21</v>
      </c>
      <c r="Q257">
        <v>368</v>
      </c>
      <c r="R257">
        <v>4</v>
      </c>
      <c r="S257">
        <v>144</v>
      </c>
    </row>
    <row r="258" spans="1:19" x14ac:dyDescent="0.3">
      <c r="A258">
        <v>257</v>
      </c>
      <c r="B258" t="s">
        <v>201</v>
      </c>
      <c r="C258">
        <v>2020</v>
      </c>
      <c r="D258" t="s">
        <v>161</v>
      </c>
      <c r="E258">
        <v>8</v>
      </c>
      <c r="F258" t="s">
        <v>53</v>
      </c>
      <c r="G258" t="s">
        <v>26</v>
      </c>
      <c r="H258">
        <v>15.81</v>
      </c>
      <c r="I258" t="s">
        <v>47</v>
      </c>
      <c r="J258">
        <v>20</v>
      </c>
      <c r="K258">
        <v>248</v>
      </c>
      <c r="L258">
        <v>93.88</v>
      </c>
      <c r="M258">
        <v>34.1</v>
      </c>
      <c r="N258">
        <v>12.04</v>
      </c>
      <c r="O258">
        <v>6.22</v>
      </c>
      <c r="P258">
        <v>259.44</v>
      </c>
      <c r="Q258">
        <v>226</v>
      </c>
      <c r="R258">
        <v>1</v>
      </c>
      <c r="S258">
        <v>107</v>
      </c>
    </row>
    <row r="259" spans="1:19" x14ac:dyDescent="0.3">
      <c r="A259">
        <v>258</v>
      </c>
      <c r="B259" t="s">
        <v>202</v>
      </c>
      <c r="C259">
        <v>2020</v>
      </c>
      <c r="D259" t="s">
        <v>161</v>
      </c>
      <c r="E259">
        <v>8</v>
      </c>
      <c r="F259" t="s">
        <v>62</v>
      </c>
      <c r="G259" t="s">
        <v>35</v>
      </c>
      <c r="H259">
        <v>51.9</v>
      </c>
      <c r="I259" t="s">
        <v>47</v>
      </c>
      <c r="J259">
        <v>50</v>
      </c>
      <c r="K259">
        <v>122</v>
      </c>
      <c r="L259">
        <v>88.9</v>
      </c>
      <c r="M259">
        <v>33.39</v>
      </c>
      <c r="N259">
        <v>20.76</v>
      </c>
      <c r="O259">
        <v>9.81</v>
      </c>
      <c r="P259">
        <v>593.52</v>
      </c>
      <c r="Q259">
        <v>179</v>
      </c>
      <c r="R259">
        <v>3</v>
      </c>
      <c r="S259">
        <v>102</v>
      </c>
    </row>
    <row r="260" spans="1:19" x14ac:dyDescent="0.3">
      <c r="A260">
        <v>259</v>
      </c>
      <c r="B260" t="s">
        <v>188</v>
      </c>
      <c r="C260">
        <v>2020</v>
      </c>
      <c r="D260" t="s">
        <v>161</v>
      </c>
      <c r="E260">
        <v>8</v>
      </c>
      <c r="F260" t="s">
        <v>25</v>
      </c>
      <c r="G260" t="s">
        <v>26</v>
      </c>
      <c r="H260">
        <v>47.03</v>
      </c>
      <c r="I260" t="s">
        <v>23</v>
      </c>
      <c r="J260">
        <v>5</v>
      </c>
      <c r="K260">
        <v>385</v>
      </c>
      <c r="L260">
        <v>82.36</v>
      </c>
      <c r="M260">
        <v>9.56</v>
      </c>
      <c r="N260">
        <v>21.71</v>
      </c>
      <c r="O260">
        <v>14.14</v>
      </c>
      <c r="P260">
        <v>360.88</v>
      </c>
      <c r="Q260">
        <v>529</v>
      </c>
      <c r="R260">
        <v>2</v>
      </c>
      <c r="S260">
        <v>152</v>
      </c>
    </row>
    <row r="261" spans="1:19" x14ac:dyDescent="0.3">
      <c r="A261">
        <v>260</v>
      </c>
      <c r="B261" t="s">
        <v>192</v>
      </c>
      <c r="C261">
        <v>2020</v>
      </c>
      <c r="D261" t="s">
        <v>161</v>
      </c>
      <c r="E261">
        <v>8</v>
      </c>
      <c r="F261" t="s">
        <v>53</v>
      </c>
      <c r="G261" t="s">
        <v>40</v>
      </c>
      <c r="H261">
        <v>26.58</v>
      </c>
      <c r="I261" t="s">
        <v>32</v>
      </c>
      <c r="J261">
        <v>13</v>
      </c>
      <c r="K261">
        <v>120</v>
      </c>
      <c r="L261">
        <v>84.94</v>
      </c>
      <c r="M261">
        <v>26.25</v>
      </c>
      <c r="N261">
        <v>8.6999999999999993</v>
      </c>
      <c r="O261">
        <v>9.1</v>
      </c>
      <c r="P261">
        <v>159.02000000000001</v>
      </c>
      <c r="Q261">
        <v>453</v>
      </c>
      <c r="R261">
        <v>4</v>
      </c>
      <c r="S261">
        <v>116</v>
      </c>
    </row>
    <row r="262" spans="1:19" x14ac:dyDescent="0.3">
      <c r="A262">
        <v>261</v>
      </c>
      <c r="B262" t="s">
        <v>200</v>
      </c>
      <c r="C262">
        <v>2020</v>
      </c>
      <c r="D262" t="s">
        <v>161</v>
      </c>
      <c r="E262">
        <v>8</v>
      </c>
      <c r="F262" t="s">
        <v>62</v>
      </c>
      <c r="G262" t="s">
        <v>40</v>
      </c>
      <c r="H262">
        <v>15.56</v>
      </c>
      <c r="I262" t="s">
        <v>23</v>
      </c>
      <c r="J262">
        <v>20</v>
      </c>
      <c r="K262">
        <v>194</v>
      </c>
      <c r="L262">
        <v>93.25</v>
      </c>
      <c r="M262">
        <v>22.2</v>
      </c>
      <c r="N262">
        <v>17.09</v>
      </c>
      <c r="O262">
        <v>8.0299999999999994</v>
      </c>
      <c r="P262">
        <v>134.69999999999999</v>
      </c>
      <c r="Q262">
        <v>277</v>
      </c>
      <c r="R262">
        <v>4</v>
      </c>
      <c r="S262">
        <v>166</v>
      </c>
    </row>
    <row r="263" spans="1:19" x14ac:dyDescent="0.3">
      <c r="A263">
        <v>262</v>
      </c>
      <c r="B263" t="s">
        <v>192</v>
      </c>
      <c r="C263">
        <v>2020</v>
      </c>
      <c r="D263" t="s">
        <v>161</v>
      </c>
      <c r="E263">
        <v>8</v>
      </c>
      <c r="F263" t="s">
        <v>53</v>
      </c>
      <c r="G263" t="s">
        <v>22</v>
      </c>
      <c r="H263">
        <v>36.22</v>
      </c>
      <c r="I263" t="s">
        <v>38</v>
      </c>
      <c r="J263">
        <v>41</v>
      </c>
      <c r="K263">
        <v>341</v>
      </c>
      <c r="L263">
        <v>82.4</v>
      </c>
      <c r="M263">
        <v>11.28</v>
      </c>
      <c r="N263">
        <v>11.48</v>
      </c>
      <c r="O263">
        <v>2.1</v>
      </c>
      <c r="P263">
        <v>223.34</v>
      </c>
      <c r="Q263">
        <v>1008</v>
      </c>
      <c r="R263">
        <v>4</v>
      </c>
      <c r="S263">
        <v>116</v>
      </c>
    </row>
    <row r="264" spans="1:19" x14ac:dyDescent="0.3">
      <c r="A264">
        <v>263</v>
      </c>
      <c r="B264" t="s">
        <v>203</v>
      </c>
      <c r="C264">
        <v>2020</v>
      </c>
      <c r="D264" t="s">
        <v>161</v>
      </c>
      <c r="E264">
        <v>8</v>
      </c>
      <c r="F264" t="s">
        <v>21</v>
      </c>
      <c r="G264" t="s">
        <v>35</v>
      </c>
      <c r="H264">
        <v>11.34</v>
      </c>
      <c r="I264" t="s">
        <v>38</v>
      </c>
      <c r="J264">
        <v>38</v>
      </c>
      <c r="K264">
        <v>276</v>
      </c>
      <c r="L264">
        <v>76.16</v>
      </c>
      <c r="M264">
        <v>28.88</v>
      </c>
      <c r="N264">
        <v>17.14</v>
      </c>
      <c r="O264">
        <v>7.66</v>
      </c>
      <c r="P264">
        <v>556.95000000000005</v>
      </c>
      <c r="Q264">
        <v>209</v>
      </c>
      <c r="R264">
        <v>3</v>
      </c>
      <c r="S264">
        <v>98</v>
      </c>
    </row>
    <row r="265" spans="1:19" x14ac:dyDescent="0.3">
      <c r="A265">
        <v>264</v>
      </c>
      <c r="B265" t="s">
        <v>204</v>
      </c>
      <c r="C265">
        <v>2020</v>
      </c>
      <c r="D265" t="s">
        <v>161</v>
      </c>
      <c r="E265">
        <v>8</v>
      </c>
      <c r="F265" t="s">
        <v>34</v>
      </c>
      <c r="G265" t="s">
        <v>22</v>
      </c>
      <c r="H265">
        <v>10.88</v>
      </c>
      <c r="I265" t="s">
        <v>47</v>
      </c>
      <c r="J265">
        <v>10</v>
      </c>
      <c r="K265">
        <v>548</v>
      </c>
      <c r="L265">
        <v>89.56</v>
      </c>
      <c r="M265">
        <v>11.31</v>
      </c>
      <c r="N265">
        <v>11.03</v>
      </c>
      <c r="O265">
        <v>15.58</v>
      </c>
      <c r="P265">
        <v>346.04</v>
      </c>
      <c r="Q265">
        <v>867</v>
      </c>
      <c r="R265">
        <v>5</v>
      </c>
      <c r="S265">
        <v>141</v>
      </c>
    </row>
    <row r="266" spans="1:19" x14ac:dyDescent="0.3">
      <c r="A266">
        <v>265</v>
      </c>
      <c r="B266" t="s">
        <v>189</v>
      </c>
      <c r="C266">
        <v>2020</v>
      </c>
      <c r="D266" t="s">
        <v>161</v>
      </c>
      <c r="E266">
        <v>8</v>
      </c>
      <c r="F266" t="s">
        <v>37</v>
      </c>
      <c r="G266" t="s">
        <v>40</v>
      </c>
      <c r="H266">
        <v>32.85</v>
      </c>
      <c r="I266" t="s">
        <v>32</v>
      </c>
      <c r="J266">
        <v>1</v>
      </c>
      <c r="K266">
        <v>171</v>
      </c>
      <c r="L266">
        <v>90.72</v>
      </c>
      <c r="M266">
        <v>9.32</v>
      </c>
      <c r="N266">
        <v>12.39</v>
      </c>
      <c r="O266">
        <v>14.14</v>
      </c>
      <c r="P266">
        <v>472.01</v>
      </c>
      <c r="Q266">
        <v>885</v>
      </c>
      <c r="R266">
        <v>1</v>
      </c>
      <c r="S266">
        <v>160</v>
      </c>
    </row>
    <row r="267" spans="1:19" x14ac:dyDescent="0.3">
      <c r="A267">
        <v>266</v>
      </c>
      <c r="B267" t="s">
        <v>205</v>
      </c>
      <c r="C267">
        <v>2020</v>
      </c>
      <c r="D267" t="s">
        <v>161</v>
      </c>
      <c r="E267">
        <v>8</v>
      </c>
      <c r="F267" t="s">
        <v>29</v>
      </c>
      <c r="G267" t="s">
        <v>22</v>
      </c>
      <c r="H267">
        <v>6.77</v>
      </c>
      <c r="I267" t="s">
        <v>32</v>
      </c>
      <c r="J267">
        <v>38</v>
      </c>
      <c r="K267">
        <v>462</v>
      </c>
      <c r="L267">
        <v>77.849999999999994</v>
      </c>
      <c r="M267">
        <v>6.8</v>
      </c>
      <c r="N267">
        <v>13.94</v>
      </c>
      <c r="O267">
        <v>10.95</v>
      </c>
      <c r="P267">
        <v>190.68</v>
      </c>
      <c r="Q267">
        <v>618</v>
      </c>
      <c r="R267">
        <v>4</v>
      </c>
      <c r="S267">
        <v>130</v>
      </c>
    </row>
    <row r="268" spans="1:19" x14ac:dyDescent="0.3">
      <c r="A268">
        <v>267</v>
      </c>
      <c r="B268" t="s">
        <v>189</v>
      </c>
      <c r="C268">
        <v>2020</v>
      </c>
      <c r="D268" t="s">
        <v>161</v>
      </c>
      <c r="E268">
        <v>8</v>
      </c>
      <c r="F268" t="s">
        <v>21</v>
      </c>
      <c r="G268" t="s">
        <v>22</v>
      </c>
      <c r="H268">
        <v>6.73</v>
      </c>
      <c r="I268" t="s">
        <v>47</v>
      </c>
      <c r="J268">
        <v>5</v>
      </c>
      <c r="K268">
        <v>478</v>
      </c>
      <c r="L268">
        <v>85.24</v>
      </c>
      <c r="M268">
        <v>14.93</v>
      </c>
      <c r="N268">
        <v>18.260000000000002</v>
      </c>
      <c r="O268">
        <v>7.17</v>
      </c>
      <c r="P268">
        <v>594.63</v>
      </c>
      <c r="Q268">
        <v>698</v>
      </c>
      <c r="R268">
        <v>2</v>
      </c>
      <c r="S268">
        <v>156</v>
      </c>
    </row>
    <row r="269" spans="1:19" x14ac:dyDescent="0.3">
      <c r="A269">
        <v>268</v>
      </c>
      <c r="B269" t="s">
        <v>191</v>
      </c>
      <c r="C269">
        <v>2020</v>
      </c>
      <c r="D269" t="s">
        <v>161</v>
      </c>
      <c r="E269">
        <v>8</v>
      </c>
      <c r="F269" t="s">
        <v>21</v>
      </c>
      <c r="G269" t="s">
        <v>42</v>
      </c>
      <c r="H269">
        <v>53.05</v>
      </c>
      <c r="I269" t="s">
        <v>38</v>
      </c>
      <c r="J269">
        <v>8</v>
      </c>
      <c r="K269">
        <v>504</v>
      </c>
      <c r="L269">
        <v>86.67</v>
      </c>
      <c r="M269">
        <v>21.28</v>
      </c>
      <c r="N269">
        <v>20.6</v>
      </c>
      <c r="O269">
        <v>10.93</v>
      </c>
      <c r="P269">
        <v>381.23</v>
      </c>
      <c r="Q269">
        <v>843</v>
      </c>
      <c r="R269">
        <v>2</v>
      </c>
      <c r="S269">
        <v>177</v>
      </c>
    </row>
    <row r="270" spans="1:19" x14ac:dyDescent="0.3">
      <c r="A270">
        <v>269</v>
      </c>
      <c r="B270" t="s">
        <v>195</v>
      </c>
      <c r="C270">
        <v>2020</v>
      </c>
      <c r="D270" t="s">
        <v>161</v>
      </c>
      <c r="E270">
        <v>8</v>
      </c>
      <c r="F270" t="s">
        <v>25</v>
      </c>
      <c r="G270" t="s">
        <v>26</v>
      </c>
      <c r="H270">
        <v>29.17</v>
      </c>
      <c r="I270" t="s">
        <v>23</v>
      </c>
      <c r="J270">
        <v>49</v>
      </c>
      <c r="K270">
        <v>536</v>
      </c>
      <c r="L270">
        <v>94.94</v>
      </c>
      <c r="M270">
        <v>22.07</v>
      </c>
      <c r="N270">
        <v>3.31</v>
      </c>
      <c r="O270">
        <v>7.68</v>
      </c>
      <c r="P270">
        <v>281.81</v>
      </c>
      <c r="Q270">
        <v>503</v>
      </c>
      <c r="R270">
        <v>1</v>
      </c>
      <c r="S270">
        <v>120</v>
      </c>
    </row>
    <row r="271" spans="1:19" x14ac:dyDescent="0.3">
      <c r="A271">
        <v>270</v>
      </c>
      <c r="B271" t="s">
        <v>195</v>
      </c>
      <c r="C271">
        <v>2020</v>
      </c>
      <c r="D271" t="s">
        <v>161</v>
      </c>
      <c r="E271">
        <v>8</v>
      </c>
      <c r="F271" t="s">
        <v>29</v>
      </c>
      <c r="G271" t="s">
        <v>35</v>
      </c>
      <c r="H271">
        <v>29.54</v>
      </c>
      <c r="I271" t="s">
        <v>27</v>
      </c>
      <c r="J271">
        <v>13</v>
      </c>
      <c r="K271">
        <v>360</v>
      </c>
      <c r="L271">
        <v>79.760000000000005</v>
      </c>
      <c r="M271">
        <v>19.739999999999998</v>
      </c>
      <c r="N271">
        <v>5.66</v>
      </c>
      <c r="O271">
        <v>6.44</v>
      </c>
      <c r="P271">
        <v>273.58999999999997</v>
      </c>
      <c r="Q271">
        <v>138</v>
      </c>
      <c r="R271">
        <v>3</v>
      </c>
      <c r="S271">
        <v>165</v>
      </c>
    </row>
    <row r="272" spans="1:19" x14ac:dyDescent="0.3">
      <c r="A272">
        <v>271</v>
      </c>
      <c r="B272" t="s">
        <v>197</v>
      </c>
      <c r="C272">
        <v>2020</v>
      </c>
      <c r="D272" t="s">
        <v>161</v>
      </c>
      <c r="E272">
        <v>8</v>
      </c>
      <c r="F272" t="s">
        <v>29</v>
      </c>
      <c r="G272" t="s">
        <v>26</v>
      </c>
      <c r="H272">
        <v>33.06</v>
      </c>
      <c r="I272" t="s">
        <v>27</v>
      </c>
      <c r="J272">
        <v>43</v>
      </c>
      <c r="K272">
        <v>355</v>
      </c>
      <c r="L272">
        <v>92.03</v>
      </c>
      <c r="M272">
        <v>24.96</v>
      </c>
      <c r="N272">
        <v>20.6</v>
      </c>
      <c r="O272">
        <v>14.14</v>
      </c>
      <c r="P272">
        <v>147.72</v>
      </c>
      <c r="Q272">
        <v>781</v>
      </c>
      <c r="R272">
        <v>5</v>
      </c>
      <c r="S272">
        <v>245</v>
      </c>
    </row>
    <row r="273" spans="1:19" x14ac:dyDescent="0.3">
      <c r="A273">
        <v>272</v>
      </c>
      <c r="B273" t="s">
        <v>201</v>
      </c>
      <c r="C273">
        <v>2020</v>
      </c>
      <c r="D273" t="s">
        <v>161</v>
      </c>
      <c r="E273">
        <v>8</v>
      </c>
      <c r="F273" t="s">
        <v>31</v>
      </c>
      <c r="G273" t="s">
        <v>22</v>
      </c>
      <c r="H273">
        <v>17.88</v>
      </c>
      <c r="I273" t="s">
        <v>47</v>
      </c>
      <c r="J273">
        <v>41</v>
      </c>
      <c r="K273">
        <v>442</v>
      </c>
      <c r="L273">
        <v>79.430000000000007</v>
      </c>
      <c r="M273">
        <v>21.25</v>
      </c>
      <c r="N273">
        <v>9.9</v>
      </c>
      <c r="O273">
        <v>1.56</v>
      </c>
      <c r="P273">
        <v>188.39</v>
      </c>
      <c r="Q273">
        <v>873</v>
      </c>
      <c r="R273">
        <v>3</v>
      </c>
      <c r="S273">
        <v>180</v>
      </c>
    </row>
    <row r="274" spans="1:19" x14ac:dyDescent="0.3">
      <c r="A274">
        <v>273</v>
      </c>
      <c r="B274" t="s">
        <v>206</v>
      </c>
      <c r="C274">
        <v>2020</v>
      </c>
      <c r="D274" t="s">
        <v>161</v>
      </c>
      <c r="E274">
        <v>9</v>
      </c>
      <c r="F274" t="s">
        <v>31</v>
      </c>
      <c r="G274" t="s">
        <v>26</v>
      </c>
      <c r="H274">
        <v>14.03</v>
      </c>
      <c r="I274" t="s">
        <v>27</v>
      </c>
      <c r="J274">
        <v>5</v>
      </c>
      <c r="K274">
        <v>432</v>
      </c>
      <c r="L274">
        <v>87.69</v>
      </c>
      <c r="M274">
        <v>11.99</v>
      </c>
      <c r="N274">
        <v>14.8</v>
      </c>
      <c r="O274">
        <v>8.7200000000000006</v>
      </c>
      <c r="P274">
        <v>583.09</v>
      </c>
      <c r="Q274">
        <v>902</v>
      </c>
      <c r="R274">
        <v>2</v>
      </c>
      <c r="S274">
        <v>142</v>
      </c>
    </row>
    <row r="275" spans="1:19" x14ac:dyDescent="0.3">
      <c r="A275">
        <v>274</v>
      </c>
      <c r="B275" t="s">
        <v>207</v>
      </c>
      <c r="C275">
        <v>2020</v>
      </c>
      <c r="D275" t="s">
        <v>161</v>
      </c>
      <c r="E275">
        <v>9</v>
      </c>
      <c r="F275" t="s">
        <v>37</v>
      </c>
      <c r="G275" t="s">
        <v>35</v>
      </c>
      <c r="H275">
        <v>44.3</v>
      </c>
      <c r="I275" t="s">
        <v>38</v>
      </c>
      <c r="J275">
        <v>14</v>
      </c>
      <c r="K275">
        <v>432</v>
      </c>
      <c r="L275">
        <v>81.75</v>
      </c>
      <c r="M275">
        <v>24.5</v>
      </c>
      <c r="N275">
        <v>17.8</v>
      </c>
      <c r="O275">
        <v>9.9600000000000009</v>
      </c>
      <c r="P275">
        <v>558.73</v>
      </c>
      <c r="Q275">
        <v>510</v>
      </c>
      <c r="R275">
        <v>2</v>
      </c>
      <c r="S275">
        <v>235</v>
      </c>
    </row>
    <row r="276" spans="1:19" x14ac:dyDescent="0.3">
      <c r="A276">
        <v>275</v>
      </c>
      <c r="B276" t="s">
        <v>208</v>
      </c>
      <c r="C276">
        <v>2020</v>
      </c>
      <c r="D276" t="s">
        <v>161</v>
      </c>
      <c r="E276">
        <v>9</v>
      </c>
      <c r="F276" t="s">
        <v>29</v>
      </c>
      <c r="G276" t="s">
        <v>42</v>
      </c>
      <c r="H276">
        <v>18.41</v>
      </c>
      <c r="I276" t="s">
        <v>47</v>
      </c>
      <c r="J276">
        <v>38</v>
      </c>
      <c r="K276">
        <v>537</v>
      </c>
      <c r="L276">
        <v>84.18</v>
      </c>
      <c r="M276">
        <v>19.43</v>
      </c>
      <c r="N276">
        <v>16.920000000000002</v>
      </c>
      <c r="O276">
        <v>11.83</v>
      </c>
      <c r="P276">
        <v>399.09</v>
      </c>
      <c r="Q276">
        <v>815</v>
      </c>
      <c r="R276">
        <v>4</v>
      </c>
      <c r="S276">
        <v>113</v>
      </c>
    </row>
    <row r="277" spans="1:19" x14ac:dyDescent="0.3">
      <c r="A277">
        <v>276</v>
      </c>
      <c r="B277" t="s">
        <v>209</v>
      </c>
      <c r="C277">
        <v>2020</v>
      </c>
      <c r="D277" t="s">
        <v>161</v>
      </c>
      <c r="E277">
        <v>9</v>
      </c>
      <c r="F277" t="s">
        <v>53</v>
      </c>
      <c r="G277" t="s">
        <v>40</v>
      </c>
      <c r="H277">
        <v>24</v>
      </c>
      <c r="I277" t="s">
        <v>27</v>
      </c>
      <c r="J277">
        <v>39</v>
      </c>
      <c r="K277">
        <v>425</v>
      </c>
      <c r="L277">
        <v>90.27</v>
      </c>
      <c r="M277">
        <v>31.09</v>
      </c>
      <c r="N277">
        <v>15.54</v>
      </c>
      <c r="O277">
        <v>12.76</v>
      </c>
      <c r="P277">
        <v>250.61</v>
      </c>
      <c r="Q277">
        <v>939</v>
      </c>
      <c r="R277">
        <v>2</v>
      </c>
      <c r="S277">
        <v>94</v>
      </c>
    </row>
    <row r="278" spans="1:19" x14ac:dyDescent="0.3">
      <c r="A278">
        <v>277</v>
      </c>
      <c r="B278" t="s">
        <v>210</v>
      </c>
      <c r="C278">
        <v>2020</v>
      </c>
      <c r="D278" t="s">
        <v>161</v>
      </c>
      <c r="E278">
        <v>9</v>
      </c>
      <c r="F278" t="s">
        <v>34</v>
      </c>
      <c r="G278" t="s">
        <v>40</v>
      </c>
      <c r="H278">
        <v>34.42</v>
      </c>
      <c r="I278" t="s">
        <v>32</v>
      </c>
      <c r="J278">
        <v>13</v>
      </c>
      <c r="K278">
        <v>599</v>
      </c>
      <c r="L278">
        <v>76.31</v>
      </c>
      <c r="M278">
        <v>19.399999999999999</v>
      </c>
      <c r="N278">
        <v>2.96</v>
      </c>
      <c r="O278">
        <v>15.05</v>
      </c>
      <c r="P278">
        <v>344.29</v>
      </c>
      <c r="Q278">
        <v>695</v>
      </c>
      <c r="R278">
        <v>1</v>
      </c>
      <c r="S278">
        <v>57</v>
      </c>
    </row>
    <row r="279" spans="1:19" x14ac:dyDescent="0.3">
      <c r="A279">
        <v>278</v>
      </c>
      <c r="B279" t="s">
        <v>211</v>
      </c>
      <c r="C279">
        <v>2020</v>
      </c>
      <c r="D279" t="s">
        <v>161</v>
      </c>
      <c r="E279">
        <v>9</v>
      </c>
      <c r="F279" t="s">
        <v>53</v>
      </c>
      <c r="G279" t="s">
        <v>22</v>
      </c>
      <c r="H279">
        <v>28.26</v>
      </c>
      <c r="I279" t="s">
        <v>47</v>
      </c>
      <c r="J279">
        <v>23</v>
      </c>
      <c r="K279">
        <v>191</v>
      </c>
      <c r="L279">
        <v>79.400000000000006</v>
      </c>
      <c r="M279">
        <v>7.27</v>
      </c>
      <c r="N279">
        <v>20.99</v>
      </c>
      <c r="O279">
        <v>12.81</v>
      </c>
      <c r="P279">
        <v>245.62</v>
      </c>
      <c r="Q279">
        <v>1037</v>
      </c>
      <c r="R279">
        <v>1</v>
      </c>
      <c r="S279">
        <v>154</v>
      </c>
    </row>
    <row r="280" spans="1:19" x14ac:dyDescent="0.3">
      <c r="A280">
        <v>279</v>
      </c>
      <c r="B280" t="s">
        <v>212</v>
      </c>
      <c r="C280">
        <v>2020</v>
      </c>
      <c r="D280" t="s">
        <v>161</v>
      </c>
      <c r="E280">
        <v>9</v>
      </c>
      <c r="F280" t="s">
        <v>62</v>
      </c>
      <c r="G280" t="s">
        <v>42</v>
      </c>
      <c r="H280">
        <v>10.24</v>
      </c>
      <c r="I280" t="s">
        <v>27</v>
      </c>
      <c r="J280">
        <v>45</v>
      </c>
      <c r="K280">
        <v>323</v>
      </c>
      <c r="L280">
        <v>76.2</v>
      </c>
      <c r="M280">
        <v>33.26</v>
      </c>
      <c r="N280">
        <v>6.28</v>
      </c>
      <c r="O280">
        <v>9.7200000000000006</v>
      </c>
      <c r="P280">
        <v>488.49</v>
      </c>
      <c r="Q280">
        <v>1006</v>
      </c>
      <c r="R280">
        <v>4</v>
      </c>
      <c r="S280">
        <v>133</v>
      </c>
    </row>
    <row r="281" spans="1:19" x14ac:dyDescent="0.3">
      <c r="A281">
        <v>280</v>
      </c>
      <c r="B281" t="s">
        <v>213</v>
      </c>
      <c r="C281">
        <v>2020</v>
      </c>
      <c r="D281" t="s">
        <v>161</v>
      </c>
      <c r="E281">
        <v>9</v>
      </c>
      <c r="F281" t="s">
        <v>62</v>
      </c>
      <c r="G281" t="s">
        <v>26</v>
      </c>
      <c r="H281">
        <v>36.71</v>
      </c>
      <c r="I281" t="s">
        <v>38</v>
      </c>
      <c r="J281">
        <v>40</v>
      </c>
      <c r="K281">
        <v>172</v>
      </c>
      <c r="L281">
        <v>91.15</v>
      </c>
      <c r="M281">
        <v>34.15</v>
      </c>
      <c r="N281">
        <v>15.23</v>
      </c>
      <c r="O281">
        <v>13.23</v>
      </c>
      <c r="P281">
        <v>260.76</v>
      </c>
      <c r="Q281">
        <v>490</v>
      </c>
      <c r="R281">
        <v>1</v>
      </c>
      <c r="S281">
        <v>179</v>
      </c>
    </row>
    <row r="282" spans="1:19" x14ac:dyDescent="0.3">
      <c r="A282">
        <v>281</v>
      </c>
      <c r="B282" t="s">
        <v>206</v>
      </c>
      <c r="C282">
        <v>2020</v>
      </c>
      <c r="D282" t="s">
        <v>161</v>
      </c>
      <c r="E282">
        <v>9</v>
      </c>
      <c r="F282" t="s">
        <v>62</v>
      </c>
      <c r="G282" t="s">
        <v>35</v>
      </c>
      <c r="H282">
        <v>7.26</v>
      </c>
      <c r="I282" t="s">
        <v>32</v>
      </c>
      <c r="J282">
        <v>46</v>
      </c>
      <c r="K282">
        <v>497</v>
      </c>
      <c r="L282">
        <v>90.68</v>
      </c>
      <c r="M282">
        <v>24.11</v>
      </c>
      <c r="N282">
        <v>11.98</v>
      </c>
      <c r="O282">
        <v>10.65</v>
      </c>
      <c r="P282">
        <v>265.02</v>
      </c>
      <c r="Q282">
        <v>354</v>
      </c>
      <c r="R282">
        <v>3</v>
      </c>
      <c r="S282">
        <v>52</v>
      </c>
    </row>
    <row r="283" spans="1:19" x14ac:dyDescent="0.3">
      <c r="A283">
        <v>282</v>
      </c>
      <c r="B283" t="s">
        <v>214</v>
      </c>
      <c r="C283">
        <v>2020</v>
      </c>
      <c r="D283" t="s">
        <v>161</v>
      </c>
      <c r="E283">
        <v>9</v>
      </c>
      <c r="F283" t="s">
        <v>34</v>
      </c>
      <c r="G283" t="s">
        <v>26</v>
      </c>
      <c r="H283">
        <v>11.74</v>
      </c>
      <c r="I283" t="s">
        <v>23</v>
      </c>
      <c r="J283">
        <v>42</v>
      </c>
      <c r="K283">
        <v>403</v>
      </c>
      <c r="L283">
        <v>83.49</v>
      </c>
      <c r="M283">
        <v>9.52</v>
      </c>
      <c r="N283">
        <v>3.01</v>
      </c>
      <c r="O283">
        <v>8.24</v>
      </c>
      <c r="P283">
        <v>221.19</v>
      </c>
      <c r="Q283">
        <v>353</v>
      </c>
      <c r="R283">
        <v>2</v>
      </c>
      <c r="S283">
        <v>194</v>
      </c>
    </row>
    <row r="284" spans="1:19" x14ac:dyDescent="0.3">
      <c r="A284">
        <v>283</v>
      </c>
      <c r="B284" t="s">
        <v>215</v>
      </c>
      <c r="C284">
        <v>2020</v>
      </c>
      <c r="D284" t="s">
        <v>161</v>
      </c>
      <c r="E284">
        <v>9</v>
      </c>
      <c r="F284" t="s">
        <v>25</v>
      </c>
      <c r="G284" t="s">
        <v>26</v>
      </c>
      <c r="H284">
        <v>29.45</v>
      </c>
      <c r="I284" t="s">
        <v>23</v>
      </c>
      <c r="J284">
        <v>14</v>
      </c>
      <c r="K284">
        <v>345</v>
      </c>
      <c r="L284">
        <v>76.569999999999993</v>
      </c>
      <c r="M284">
        <v>24.67</v>
      </c>
      <c r="N284">
        <v>20.28</v>
      </c>
      <c r="O284">
        <v>15.61</v>
      </c>
      <c r="P284">
        <v>523.54999999999995</v>
      </c>
      <c r="Q284">
        <v>341</v>
      </c>
      <c r="R284">
        <v>3</v>
      </c>
      <c r="S284">
        <v>141</v>
      </c>
    </row>
    <row r="285" spans="1:19" x14ac:dyDescent="0.3">
      <c r="A285">
        <v>284</v>
      </c>
      <c r="B285" t="s">
        <v>216</v>
      </c>
      <c r="C285">
        <v>2020</v>
      </c>
      <c r="D285" t="s">
        <v>161</v>
      </c>
      <c r="E285">
        <v>9</v>
      </c>
      <c r="F285" t="s">
        <v>21</v>
      </c>
      <c r="G285" t="s">
        <v>42</v>
      </c>
      <c r="H285">
        <v>35.47</v>
      </c>
      <c r="I285" t="s">
        <v>27</v>
      </c>
      <c r="J285">
        <v>22</v>
      </c>
      <c r="K285">
        <v>463</v>
      </c>
      <c r="L285">
        <v>82.05</v>
      </c>
      <c r="M285">
        <v>16.600000000000001</v>
      </c>
      <c r="N285">
        <v>13.82</v>
      </c>
      <c r="O285">
        <v>10.64</v>
      </c>
      <c r="P285">
        <v>533.42999999999995</v>
      </c>
      <c r="Q285">
        <v>675</v>
      </c>
      <c r="R285">
        <v>5</v>
      </c>
      <c r="S285">
        <v>124</v>
      </c>
    </row>
    <row r="286" spans="1:19" x14ac:dyDescent="0.3">
      <c r="A286">
        <v>285</v>
      </c>
      <c r="B286" t="s">
        <v>213</v>
      </c>
      <c r="C286">
        <v>2020</v>
      </c>
      <c r="D286" t="s">
        <v>161</v>
      </c>
      <c r="E286">
        <v>9</v>
      </c>
      <c r="F286" t="s">
        <v>34</v>
      </c>
      <c r="G286" t="s">
        <v>40</v>
      </c>
      <c r="H286">
        <v>42.21</v>
      </c>
      <c r="I286" t="s">
        <v>38</v>
      </c>
      <c r="J286">
        <v>32</v>
      </c>
      <c r="K286">
        <v>452</v>
      </c>
      <c r="L286">
        <v>84.67</v>
      </c>
      <c r="M286">
        <v>28.69</v>
      </c>
      <c r="N286">
        <v>15.48</v>
      </c>
      <c r="O286">
        <v>6.38</v>
      </c>
      <c r="P286">
        <v>558.80999999999995</v>
      </c>
      <c r="Q286">
        <v>267</v>
      </c>
      <c r="R286">
        <v>2</v>
      </c>
      <c r="S286">
        <v>159</v>
      </c>
    </row>
    <row r="287" spans="1:19" x14ac:dyDescent="0.3">
      <c r="A287">
        <v>286</v>
      </c>
      <c r="B287" t="s">
        <v>210</v>
      </c>
      <c r="C287">
        <v>2020</v>
      </c>
      <c r="D287" t="s">
        <v>161</v>
      </c>
      <c r="E287">
        <v>9</v>
      </c>
      <c r="F287" t="s">
        <v>29</v>
      </c>
      <c r="G287" t="s">
        <v>35</v>
      </c>
      <c r="H287">
        <v>26.19</v>
      </c>
      <c r="I287" t="s">
        <v>23</v>
      </c>
      <c r="J287">
        <v>22</v>
      </c>
      <c r="K287">
        <v>119</v>
      </c>
      <c r="L287">
        <v>90.15</v>
      </c>
      <c r="M287">
        <v>32.659999999999997</v>
      </c>
      <c r="N287">
        <v>18.260000000000002</v>
      </c>
      <c r="O287">
        <v>15.67</v>
      </c>
      <c r="P287">
        <v>306.89999999999998</v>
      </c>
      <c r="Q287">
        <v>185</v>
      </c>
      <c r="R287">
        <v>4</v>
      </c>
      <c r="S287">
        <v>245</v>
      </c>
    </row>
    <row r="288" spans="1:19" x14ac:dyDescent="0.3">
      <c r="A288">
        <v>287</v>
      </c>
      <c r="B288" t="s">
        <v>210</v>
      </c>
      <c r="C288">
        <v>2020</v>
      </c>
      <c r="D288" t="s">
        <v>161</v>
      </c>
      <c r="E288">
        <v>9</v>
      </c>
      <c r="F288" t="s">
        <v>34</v>
      </c>
      <c r="G288" t="s">
        <v>42</v>
      </c>
      <c r="H288">
        <v>13.7</v>
      </c>
      <c r="I288" t="s">
        <v>27</v>
      </c>
      <c r="J288">
        <v>25</v>
      </c>
      <c r="K288">
        <v>362</v>
      </c>
      <c r="L288">
        <v>81.42</v>
      </c>
      <c r="M288">
        <v>28.19</v>
      </c>
      <c r="N288">
        <v>9.3699999999999992</v>
      </c>
      <c r="O288">
        <v>6.55</v>
      </c>
      <c r="P288">
        <v>145.65</v>
      </c>
      <c r="Q288">
        <v>467</v>
      </c>
      <c r="R288">
        <v>2</v>
      </c>
      <c r="S288">
        <v>165</v>
      </c>
    </row>
    <row r="289" spans="1:19" x14ac:dyDescent="0.3">
      <c r="A289">
        <v>288</v>
      </c>
      <c r="B289" t="s">
        <v>217</v>
      </c>
      <c r="C289">
        <v>2020</v>
      </c>
      <c r="D289" t="s">
        <v>161</v>
      </c>
      <c r="E289">
        <v>9</v>
      </c>
      <c r="F289" t="s">
        <v>25</v>
      </c>
      <c r="G289" t="s">
        <v>42</v>
      </c>
      <c r="H289">
        <v>15.4</v>
      </c>
      <c r="I289" t="s">
        <v>38</v>
      </c>
      <c r="J289">
        <v>40</v>
      </c>
      <c r="K289">
        <v>117</v>
      </c>
      <c r="L289">
        <v>87.24</v>
      </c>
      <c r="M289">
        <v>34.71</v>
      </c>
      <c r="N289">
        <v>8.6199999999999992</v>
      </c>
      <c r="O289">
        <v>15.14</v>
      </c>
      <c r="P289">
        <v>445.73</v>
      </c>
      <c r="Q289">
        <v>551</v>
      </c>
      <c r="R289">
        <v>1</v>
      </c>
      <c r="S289">
        <v>137</v>
      </c>
    </row>
    <row r="290" spans="1:19" x14ac:dyDescent="0.3">
      <c r="A290">
        <v>289</v>
      </c>
      <c r="B290" t="s">
        <v>218</v>
      </c>
      <c r="C290">
        <v>2020</v>
      </c>
      <c r="D290" t="s">
        <v>161</v>
      </c>
      <c r="E290">
        <v>9</v>
      </c>
      <c r="F290" t="s">
        <v>31</v>
      </c>
      <c r="G290" t="s">
        <v>26</v>
      </c>
      <c r="H290">
        <v>17.16</v>
      </c>
      <c r="I290" t="s">
        <v>23</v>
      </c>
      <c r="J290">
        <v>13</v>
      </c>
      <c r="K290">
        <v>340</v>
      </c>
      <c r="L290">
        <v>94.59</v>
      </c>
      <c r="M290">
        <v>25</v>
      </c>
      <c r="N290">
        <v>18.309999999999999</v>
      </c>
      <c r="O290">
        <v>7.56</v>
      </c>
      <c r="P290">
        <v>225.06</v>
      </c>
      <c r="Q290">
        <v>279</v>
      </c>
      <c r="R290">
        <v>4</v>
      </c>
      <c r="S290">
        <v>194</v>
      </c>
    </row>
    <row r="291" spans="1:19" x14ac:dyDescent="0.3">
      <c r="A291">
        <v>290</v>
      </c>
      <c r="B291" t="s">
        <v>207</v>
      </c>
      <c r="C291">
        <v>2020</v>
      </c>
      <c r="D291" t="s">
        <v>161</v>
      </c>
      <c r="E291">
        <v>9</v>
      </c>
      <c r="F291" t="s">
        <v>29</v>
      </c>
      <c r="G291" t="s">
        <v>42</v>
      </c>
      <c r="H291">
        <v>31.4</v>
      </c>
      <c r="I291" t="s">
        <v>27</v>
      </c>
      <c r="J291">
        <v>26</v>
      </c>
      <c r="K291">
        <v>113</v>
      </c>
      <c r="L291">
        <v>78.37</v>
      </c>
      <c r="M291">
        <v>30.1</v>
      </c>
      <c r="N291">
        <v>9.4600000000000009</v>
      </c>
      <c r="O291">
        <v>3.91</v>
      </c>
      <c r="P291">
        <v>287.73</v>
      </c>
      <c r="Q291">
        <v>471</v>
      </c>
      <c r="R291">
        <v>1</v>
      </c>
      <c r="S291">
        <v>177</v>
      </c>
    </row>
    <row r="292" spans="1:19" x14ac:dyDescent="0.3">
      <c r="A292">
        <v>291</v>
      </c>
      <c r="B292" t="s">
        <v>219</v>
      </c>
      <c r="C292">
        <v>2020</v>
      </c>
      <c r="D292" t="s">
        <v>161</v>
      </c>
      <c r="E292">
        <v>9</v>
      </c>
      <c r="F292" t="s">
        <v>25</v>
      </c>
      <c r="G292" t="s">
        <v>26</v>
      </c>
      <c r="H292">
        <v>14.87</v>
      </c>
      <c r="I292" t="s">
        <v>23</v>
      </c>
      <c r="J292">
        <v>48</v>
      </c>
      <c r="K292">
        <v>197</v>
      </c>
      <c r="L292">
        <v>91.56</v>
      </c>
      <c r="M292">
        <v>9.49</v>
      </c>
      <c r="N292">
        <v>9.02</v>
      </c>
      <c r="O292">
        <v>5.89</v>
      </c>
      <c r="P292">
        <v>580.78</v>
      </c>
      <c r="Q292">
        <v>168</v>
      </c>
      <c r="R292">
        <v>2</v>
      </c>
      <c r="S292">
        <v>114</v>
      </c>
    </row>
    <row r="293" spans="1:19" x14ac:dyDescent="0.3">
      <c r="A293">
        <v>292</v>
      </c>
      <c r="B293" t="s">
        <v>220</v>
      </c>
      <c r="C293">
        <v>2020</v>
      </c>
      <c r="D293" t="s">
        <v>161</v>
      </c>
      <c r="E293">
        <v>9</v>
      </c>
      <c r="F293" t="s">
        <v>37</v>
      </c>
      <c r="G293" t="s">
        <v>40</v>
      </c>
      <c r="H293">
        <v>53.88</v>
      </c>
      <c r="I293" t="s">
        <v>32</v>
      </c>
      <c r="J293">
        <v>43</v>
      </c>
      <c r="K293">
        <v>333</v>
      </c>
      <c r="L293">
        <v>81.5</v>
      </c>
      <c r="M293">
        <v>28.09</v>
      </c>
      <c r="N293">
        <v>7.95</v>
      </c>
      <c r="O293">
        <v>9.32</v>
      </c>
      <c r="P293">
        <v>494.52</v>
      </c>
      <c r="Q293">
        <v>731</v>
      </c>
      <c r="R293">
        <v>3</v>
      </c>
      <c r="S293">
        <v>197</v>
      </c>
    </row>
    <row r="294" spans="1:19" x14ac:dyDescent="0.3">
      <c r="A294">
        <v>293</v>
      </c>
      <c r="B294" t="s">
        <v>213</v>
      </c>
      <c r="C294">
        <v>2020</v>
      </c>
      <c r="D294" t="s">
        <v>161</v>
      </c>
      <c r="E294">
        <v>9</v>
      </c>
      <c r="F294" t="s">
        <v>21</v>
      </c>
      <c r="G294" t="s">
        <v>40</v>
      </c>
      <c r="H294">
        <v>48.51</v>
      </c>
      <c r="I294" t="s">
        <v>38</v>
      </c>
      <c r="J294">
        <v>6</v>
      </c>
      <c r="K294">
        <v>414</v>
      </c>
      <c r="L294">
        <v>82.89</v>
      </c>
      <c r="M294">
        <v>8.57</v>
      </c>
      <c r="N294">
        <v>4.62</v>
      </c>
      <c r="O294">
        <v>2.37</v>
      </c>
      <c r="P294">
        <v>334.4</v>
      </c>
      <c r="Q294">
        <v>199</v>
      </c>
      <c r="R294">
        <v>1</v>
      </c>
      <c r="S294">
        <v>215</v>
      </c>
    </row>
    <row r="295" spans="1:19" x14ac:dyDescent="0.3">
      <c r="A295">
        <v>294</v>
      </c>
      <c r="B295" t="s">
        <v>212</v>
      </c>
      <c r="C295">
        <v>2020</v>
      </c>
      <c r="D295" t="s">
        <v>161</v>
      </c>
      <c r="E295">
        <v>9</v>
      </c>
      <c r="F295" t="s">
        <v>34</v>
      </c>
      <c r="G295" t="s">
        <v>26</v>
      </c>
      <c r="H295">
        <v>7.32</v>
      </c>
      <c r="I295" t="s">
        <v>27</v>
      </c>
      <c r="J295">
        <v>17</v>
      </c>
      <c r="K295">
        <v>259</v>
      </c>
      <c r="L295">
        <v>83.2</v>
      </c>
      <c r="M295">
        <v>16.420000000000002</v>
      </c>
      <c r="N295">
        <v>8.35</v>
      </c>
      <c r="O295">
        <v>13.69</v>
      </c>
      <c r="P295">
        <v>147.01</v>
      </c>
      <c r="Q295">
        <v>909</v>
      </c>
      <c r="R295">
        <v>1</v>
      </c>
      <c r="S295">
        <v>188</v>
      </c>
    </row>
    <row r="296" spans="1:19" x14ac:dyDescent="0.3">
      <c r="A296">
        <v>295</v>
      </c>
      <c r="B296" t="s">
        <v>214</v>
      </c>
      <c r="C296">
        <v>2020</v>
      </c>
      <c r="D296" t="s">
        <v>161</v>
      </c>
      <c r="E296">
        <v>9</v>
      </c>
      <c r="F296" t="s">
        <v>25</v>
      </c>
      <c r="G296" t="s">
        <v>42</v>
      </c>
      <c r="H296">
        <v>12.61</v>
      </c>
      <c r="I296" t="s">
        <v>27</v>
      </c>
      <c r="J296">
        <v>35</v>
      </c>
      <c r="K296">
        <v>258</v>
      </c>
      <c r="L296">
        <v>82.45</v>
      </c>
      <c r="M296">
        <v>20.67</v>
      </c>
      <c r="N296">
        <v>5.51</v>
      </c>
      <c r="O296">
        <v>8.3800000000000008</v>
      </c>
      <c r="P296">
        <v>499.04</v>
      </c>
      <c r="Q296">
        <v>585</v>
      </c>
      <c r="R296">
        <v>5</v>
      </c>
      <c r="S296">
        <v>142</v>
      </c>
    </row>
    <row r="297" spans="1:19" x14ac:dyDescent="0.3">
      <c r="A297">
        <v>296</v>
      </c>
      <c r="B297" t="s">
        <v>215</v>
      </c>
      <c r="C297">
        <v>2020</v>
      </c>
      <c r="D297" t="s">
        <v>161</v>
      </c>
      <c r="E297">
        <v>9</v>
      </c>
      <c r="F297" t="s">
        <v>21</v>
      </c>
      <c r="G297" t="s">
        <v>35</v>
      </c>
      <c r="H297">
        <v>31.29</v>
      </c>
      <c r="I297" t="s">
        <v>47</v>
      </c>
      <c r="J297">
        <v>6</v>
      </c>
      <c r="K297">
        <v>417</v>
      </c>
      <c r="L297">
        <v>80.77</v>
      </c>
      <c r="M297">
        <v>17.100000000000001</v>
      </c>
      <c r="N297">
        <v>8.57</v>
      </c>
      <c r="O297">
        <v>2.91</v>
      </c>
      <c r="P297">
        <v>182.02</v>
      </c>
      <c r="Q297">
        <v>312</v>
      </c>
      <c r="R297">
        <v>3</v>
      </c>
      <c r="S297">
        <v>156</v>
      </c>
    </row>
    <row r="298" spans="1:19" x14ac:dyDescent="0.3">
      <c r="A298">
        <v>297</v>
      </c>
      <c r="B298" t="s">
        <v>221</v>
      </c>
      <c r="C298">
        <v>2020</v>
      </c>
      <c r="D298" t="s">
        <v>161</v>
      </c>
      <c r="E298">
        <v>9</v>
      </c>
      <c r="F298" t="s">
        <v>37</v>
      </c>
      <c r="G298" t="s">
        <v>22</v>
      </c>
      <c r="H298">
        <v>12.37</v>
      </c>
      <c r="I298" t="s">
        <v>27</v>
      </c>
      <c r="J298">
        <v>32</v>
      </c>
      <c r="K298">
        <v>550</v>
      </c>
      <c r="L298">
        <v>88.23</v>
      </c>
      <c r="M298">
        <v>34.020000000000003</v>
      </c>
      <c r="N298">
        <v>3.02</v>
      </c>
      <c r="O298">
        <v>5.7</v>
      </c>
      <c r="P298">
        <v>244.5</v>
      </c>
      <c r="Q298">
        <v>687</v>
      </c>
      <c r="R298">
        <v>1</v>
      </c>
      <c r="S298">
        <v>233</v>
      </c>
    </row>
    <row r="299" spans="1:19" x14ac:dyDescent="0.3">
      <c r="A299">
        <v>298</v>
      </c>
      <c r="B299" t="s">
        <v>222</v>
      </c>
      <c r="C299">
        <v>2020</v>
      </c>
      <c r="D299" t="s">
        <v>161</v>
      </c>
      <c r="E299">
        <v>9</v>
      </c>
      <c r="F299" t="s">
        <v>34</v>
      </c>
      <c r="G299" t="s">
        <v>22</v>
      </c>
      <c r="H299">
        <v>20.64</v>
      </c>
      <c r="I299" t="s">
        <v>38</v>
      </c>
      <c r="J299">
        <v>7</v>
      </c>
      <c r="K299">
        <v>364</v>
      </c>
      <c r="L299">
        <v>93.58</v>
      </c>
      <c r="M299">
        <v>23.18</v>
      </c>
      <c r="N299">
        <v>12.47</v>
      </c>
      <c r="O299">
        <v>6.71</v>
      </c>
      <c r="P299">
        <v>534.78</v>
      </c>
      <c r="Q299">
        <v>459</v>
      </c>
      <c r="R299">
        <v>2</v>
      </c>
      <c r="S299">
        <v>113</v>
      </c>
    </row>
    <row r="300" spans="1:19" x14ac:dyDescent="0.3">
      <c r="A300">
        <v>299</v>
      </c>
      <c r="B300" t="s">
        <v>223</v>
      </c>
      <c r="C300">
        <v>2020</v>
      </c>
      <c r="D300" t="s">
        <v>161</v>
      </c>
      <c r="E300">
        <v>9</v>
      </c>
      <c r="F300" t="s">
        <v>62</v>
      </c>
      <c r="G300" t="s">
        <v>35</v>
      </c>
      <c r="H300">
        <v>48.77</v>
      </c>
      <c r="I300" t="s">
        <v>32</v>
      </c>
      <c r="J300">
        <v>41</v>
      </c>
      <c r="K300">
        <v>398</v>
      </c>
      <c r="L300">
        <v>89.97</v>
      </c>
      <c r="M300">
        <v>16.32</v>
      </c>
      <c r="N300">
        <v>21.21</v>
      </c>
      <c r="O300">
        <v>1.43</v>
      </c>
      <c r="P300">
        <v>590.25</v>
      </c>
      <c r="Q300">
        <v>318</v>
      </c>
      <c r="R300">
        <v>2</v>
      </c>
      <c r="S300">
        <v>167</v>
      </c>
    </row>
    <row r="301" spans="1:19" x14ac:dyDescent="0.3">
      <c r="A301">
        <v>300</v>
      </c>
      <c r="B301" t="s">
        <v>209</v>
      </c>
      <c r="C301">
        <v>2020</v>
      </c>
      <c r="D301" t="s">
        <v>161</v>
      </c>
      <c r="E301">
        <v>9</v>
      </c>
      <c r="F301" t="s">
        <v>53</v>
      </c>
      <c r="G301" t="s">
        <v>35</v>
      </c>
      <c r="H301">
        <v>34.9</v>
      </c>
      <c r="I301" t="s">
        <v>32</v>
      </c>
      <c r="J301">
        <v>19</v>
      </c>
      <c r="K301">
        <v>440</v>
      </c>
      <c r="L301">
        <v>86.23</v>
      </c>
      <c r="M301">
        <v>34.83</v>
      </c>
      <c r="N301">
        <v>15.81</v>
      </c>
      <c r="O301">
        <v>2.25</v>
      </c>
      <c r="P301">
        <v>386.47</v>
      </c>
      <c r="Q301">
        <v>454</v>
      </c>
      <c r="R301">
        <v>5</v>
      </c>
      <c r="S301">
        <v>172</v>
      </c>
    </row>
    <row r="302" spans="1:19" x14ac:dyDescent="0.3">
      <c r="A302">
        <v>301</v>
      </c>
      <c r="B302" t="s">
        <v>214</v>
      </c>
      <c r="C302">
        <v>2020</v>
      </c>
      <c r="D302" t="s">
        <v>161</v>
      </c>
      <c r="E302">
        <v>9</v>
      </c>
      <c r="F302" t="s">
        <v>53</v>
      </c>
      <c r="G302" t="s">
        <v>35</v>
      </c>
      <c r="H302">
        <v>49.53</v>
      </c>
      <c r="I302" t="s">
        <v>23</v>
      </c>
      <c r="J302">
        <v>26</v>
      </c>
      <c r="K302">
        <v>210</v>
      </c>
      <c r="L302">
        <v>86.8</v>
      </c>
      <c r="M302">
        <v>33.799999999999997</v>
      </c>
      <c r="N302">
        <v>19.260000000000002</v>
      </c>
      <c r="O302">
        <v>5.63</v>
      </c>
      <c r="P302">
        <v>205.19</v>
      </c>
      <c r="Q302">
        <v>693</v>
      </c>
      <c r="R302">
        <v>5</v>
      </c>
      <c r="S302">
        <v>86</v>
      </c>
    </row>
    <row r="303" spans="1:19" x14ac:dyDescent="0.3">
      <c r="A303">
        <v>302</v>
      </c>
      <c r="B303" t="s">
        <v>212</v>
      </c>
      <c r="C303">
        <v>2020</v>
      </c>
      <c r="D303" t="s">
        <v>161</v>
      </c>
      <c r="E303">
        <v>9</v>
      </c>
      <c r="F303" t="s">
        <v>25</v>
      </c>
      <c r="G303" t="s">
        <v>26</v>
      </c>
      <c r="H303">
        <v>37.86</v>
      </c>
      <c r="I303" t="s">
        <v>27</v>
      </c>
      <c r="J303">
        <v>22</v>
      </c>
      <c r="K303">
        <v>142</v>
      </c>
      <c r="L303">
        <v>91.97</v>
      </c>
      <c r="M303">
        <v>9.19</v>
      </c>
      <c r="N303">
        <v>12.78</v>
      </c>
      <c r="O303">
        <v>7.84</v>
      </c>
      <c r="P303">
        <v>404.51</v>
      </c>
      <c r="Q303">
        <v>203</v>
      </c>
      <c r="R303">
        <v>5</v>
      </c>
      <c r="S303">
        <v>138</v>
      </c>
    </row>
    <row r="304" spans="1:19" x14ac:dyDescent="0.3">
      <c r="A304">
        <v>303</v>
      </c>
      <c r="B304" t="s">
        <v>224</v>
      </c>
      <c r="C304">
        <v>2020</v>
      </c>
      <c r="D304" t="s">
        <v>161</v>
      </c>
      <c r="E304">
        <v>9</v>
      </c>
      <c r="F304" t="s">
        <v>25</v>
      </c>
      <c r="G304" t="s">
        <v>42</v>
      </c>
      <c r="H304">
        <v>31.06</v>
      </c>
      <c r="I304" t="s">
        <v>38</v>
      </c>
      <c r="J304">
        <v>19</v>
      </c>
      <c r="K304">
        <v>329</v>
      </c>
      <c r="L304">
        <v>93.52</v>
      </c>
      <c r="M304">
        <v>17.420000000000002</v>
      </c>
      <c r="N304">
        <v>15.85</v>
      </c>
      <c r="O304">
        <v>5.6</v>
      </c>
      <c r="P304">
        <v>416.83</v>
      </c>
      <c r="Q304">
        <v>520</v>
      </c>
      <c r="R304">
        <v>5</v>
      </c>
      <c r="S304">
        <v>88</v>
      </c>
    </row>
    <row r="305" spans="1:19" x14ac:dyDescent="0.3">
      <c r="A305">
        <v>304</v>
      </c>
      <c r="B305" t="s">
        <v>215</v>
      </c>
      <c r="C305">
        <v>2020</v>
      </c>
      <c r="D305" t="s">
        <v>161</v>
      </c>
      <c r="E305">
        <v>9</v>
      </c>
      <c r="F305" t="s">
        <v>31</v>
      </c>
      <c r="G305" t="s">
        <v>35</v>
      </c>
      <c r="H305">
        <v>40.130000000000003</v>
      </c>
      <c r="I305" t="s">
        <v>32</v>
      </c>
      <c r="J305">
        <v>6</v>
      </c>
      <c r="K305">
        <v>170</v>
      </c>
      <c r="L305">
        <v>88.74</v>
      </c>
      <c r="M305">
        <v>20.45</v>
      </c>
      <c r="N305">
        <v>19.48</v>
      </c>
      <c r="O305">
        <v>9.0399999999999991</v>
      </c>
      <c r="P305">
        <v>305.05</v>
      </c>
      <c r="Q305">
        <v>572</v>
      </c>
      <c r="R305">
        <v>3</v>
      </c>
      <c r="S305">
        <v>188</v>
      </c>
    </row>
    <row r="306" spans="1:19" x14ac:dyDescent="0.3">
      <c r="A306">
        <v>305</v>
      </c>
      <c r="B306" t="s">
        <v>206</v>
      </c>
      <c r="C306">
        <v>2020</v>
      </c>
      <c r="D306" t="s">
        <v>161</v>
      </c>
      <c r="E306">
        <v>9</v>
      </c>
      <c r="F306" t="s">
        <v>53</v>
      </c>
      <c r="G306" t="s">
        <v>40</v>
      </c>
      <c r="H306">
        <v>52.17</v>
      </c>
      <c r="I306" t="s">
        <v>47</v>
      </c>
      <c r="J306">
        <v>7</v>
      </c>
      <c r="K306">
        <v>437</v>
      </c>
      <c r="L306">
        <v>91.97</v>
      </c>
      <c r="M306">
        <v>30.35</v>
      </c>
      <c r="N306">
        <v>9.6</v>
      </c>
      <c r="O306">
        <v>15.97</v>
      </c>
      <c r="P306">
        <v>225.16</v>
      </c>
      <c r="Q306">
        <v>632</v>
      </c>
      <c r="R306">
        <v>4</v>
      </c>
      <c r="S306">
        <v>239</v>
      </c>
    </row>
    <row r="307" spans="1:19" x14ac:dyDescent="0.3">
      <c r="A307">
        <v>306</v>
      </c>
      <c r="B307" t="s">
        <v>224</v>
      </c>
      <c r="C307">
        <v>2020</v>
      </c>
      <c r="D307" t="s">
        <v>161</v>
      </c>
      <c r="E307">
        <v>9</v>
      </c>
      <c r="F307" t="s">
        <v>31</v>
      </c>
      <c r="G307" t="s">
        <v>22</v>
      </c>
      <c r="H307">
        <v>44.25</v>
      </c>
      <c r="I307" t="s">
        <v>32</v>
      </c>
      <c r="J307">
        <v>24</v>
      </c>
      <c r="K307">
        <v>524</v>
      </c>
      <c r="L307">
        <v>93.24</v>
      </c>
      <c r="M307">
        <v>20.38</v>
      </c>
      <c r="N307">
        <v>18.12</v>
      </c>
      <c r="O307">
        <v>15.59</v>
      </c>
      <c r="P307">
        <v>119.38</v>
      </c>
      <c r="Q307">
        <v>963</v>
      </c>
      <c r="R307">
        <v>2</v>
      </c>
      <c r="S307">
        <v>98</v>
      </c>
    </row>
    <row r="308" spans="1:19" x14ac:dyDescent="0.3">
      <c r="A308">
        <v>307</v>
      </c>
      <c r="B308" t="s">
        <v>225</v>
      </c>
      <c r="C308">
        <v>2020</v>
      </c>
      <c r="D308" t="s">
        <v>226</v>
      </c>
      <c r="E308">
        <v>10</v>
      </c>
      <c r="F308" t="s">
        <v>34</v>
      </c>
      <c r="G308" t="s">
        <v>26</v>
      </c>
      <c r="H308">
        <v>54.86</v>
      </c>
      <c r="I308" t="s">
        <v>27</v>
      </c>
      <c r="J308">
        <v>2</v>
      </c>
      <c r="K308">
        <v>124</v>
      </c>
      <c r="L308">
        <v>76.27</v>
      </c>
      <c r="M308">
        <v>18.88</v>
      </c>
      <c r="N308">
        <v>2.7</v>
      </c>
      <c r="O308">
        <v>12.83</v>
      </c>
      <c r="P308">
        <v>344.49</v>
      </c>
      <c r="Q308">
        <v>715</v>
      </c>
      <c r="R308">
        <v>3</v>
      </c>
      <c r="S308">
        <v>193</v>
      </c>
    </row>
    <row r="309" spans="1:19" x14ac:dyDescent="0.3">
      <c r="A309">
        <v>308</v>
      </c>
      <c r="B309" t="s">
        <v>227</v>
      </c>
      <c r="C309">
        <v>2020</v>
      </c>
      <c r="D309" t="s">
        <v>226</v>
      </c>
      <c r="E309">
        <v>10</v>
      </c>
      <c r="F309" t="s">
        <v>29</v>
      </c>
      <c r="G309" t="s">
        <v>26</v>
      </c>
      <c r="H309">
        <v>45.31</v>
      </c>
      <c r="I309" t="s">
        <v>38</v>
      </c>
      <c r="J309">
        <v>11</v>
      </c>
      <c r="K309">
        <v>510</v>
      </c>
      <c r="L309">
        <v>87.69</v>
      </c>
      <c r="M309">
        <v>18.829999999999998</v>
      </c>
      <c r="N309">
        <v>6.64</v>
      </c>
      <c r="O309">
        <v>7.46</v>
      </c>
      <c r="P309">
        <v>154.91</v>
      </c>
      <c r="Q309">
        <v>824</v>
      </c>
      <c r="R309">
        <v>5</v>
      </c>
      <c r="S309">
        <v>111</v>
      </c>
    </row>
    <row r="310" spans="1:19" x14ac:dyDescent="0.3">
      <c r="A310">
        <v>309</v>
      </c>
      <c r="B310" t="s">
        <v>228</v>
      </c>
      <c r="C310">
        <v>2020</v>
      </c>
      <c r="D310" t="s">
        <v>226</v>
      </c>
      <c r="E310">
        <v>10</v>
      </c>
      <c r="F310" t="s">
        <v>21</v>
      </c>
      <c r="G310" t="s">
        <v>22</v>
      </c>
      <c r="H310">
        <v>39.729999999999997</v>
      </c>
      <c r="I310" t="s">
        <v>38</v>
      </c>
      <c r="J310">
        <v>21</v>
      </c>
      <c r="K310">
        <v>425</v>
      </c>
      <c r="L310">
        <v>75.86</v>
      </c>
      <c r="M310">
        <v>28.94</v>
      </c>
      <c r="N310">
        <v>5.6</v>
      </c>
      <c r="O310">
        <v>10.1</v>
      </c>
      <c r="P310">
        <v>406.94</v>
      </c>
      <c r="Q310">
        <v>622</v>
      </c>
      <c r="R310">
        <v>4</v>
      </c>
      <c r="S310">
        <v>232</v>
      </c>
    </row>
    <row r="311" spans="1:19" x14ac:dyDescent="0.3">
      <c r="A311">
        <v>310</v>
      </c>
      <c r="B311" t="s">
        <v>229</v>
      </c>
      <c r="C311">
        <v>2020</v>
      </c>
      <c r="D311" t="s">
        <v>226</v>
      </c>
      <c r="E311">
        <v>10</v>
      </c>
      <c r="F311" t="s">
        <v>21</v>
      </c>
      <c r="G311" t="s">
        <v>26</v>
      </c>
      <c r="H311">
        <v>9.94</v>
      </c>
      <c r="I311" t="s">
        <v>32</v>
      </c>
      <c r="J311">
        <v>25</v>
      </c>
      <c r="K311">
        <v>116</v>
      </c>
      <c r="L311">
        <v>84.21</v>
      </c>
      <c r="M311">
        <v>25.47</v>
      </c>
      <c r="N311">
        <v>14.78</v>
      </c>
      <c r="O311">
        <v>13.11</v>
      </c>
      <c r="P311">
        <v>399.83</v>
      </c>
      <c r="Q311">
        <v>703</v>
      </c>
      <c r="R311">
        <v>4</v>
      </c>
      <c r="S311">
        <v>114</v>
      </c>
    </row>
    <row r="312" spans="1:19" x14ac:dyDescent="0.3">
      <c r="A312">
        <v>311</v>
      </c>
      <c r="B312" t="s">
        <v>230</v>
      </c>
      <c r="C312">
        <v>2020</v>
      </c>
      <c r="D312" t="s">
        <v>226</v>
      </c>
      <c r="E312">
        <v>10</v>
      </c>
      <c r="F312" t="s">
        <v>29</v>
      </c>
      <c r="G312" t="s">
        <v>26</v>
      </c>
      <c r="H312">
        <v>29.33</v>
      </c>
      <c r="I312" t="s">
        <v>32</v>
      </c>
      <c r="J312">
        <v>24</v>
      </c>
      <c r="K312">
        <v>144</v>
      </c>
      <c r="L312">
        <v>81.180000000000007</v>
      </c>
      <c r="M312">
        <v>28.98</v>
      </c>
      <c r="N312">
        <v>20.14</v>
      </c>
      <c r="O312">
        <v>2.98</v>
      </c>
      <c r="P312">
        <v>476.51</v>
      </c>
      <c r="Q312">
        <v>998</v>
      </c>
      <c r="R312">
        <v>3</v>
      </c>
      <c r="S312">
        <v>87</v>
      </c>
    </row>
    <row r="313" spans="1:19" x14ac:dyDescent="0.3">
      <c r="A313">
        <v>312</v>
      </c>
      <c r="B313" t="s">
        <v>231</v>
      </c>
      <c r="C313">
        <v>2020</v>
      </c>
      <c r="D313" t="s">
        <v>226</v>
      </c>
      <c r="E313">
        <v>10</v>
      </c>
      <c r="F313" t="s">
        <v>21</v>
      </c>
      <c r="G313" t="s">
        <v>26</v>
      </c>
      <c r="H313">
        <v>36.07</v>
      </c>
      <c r="I313" t="s">
        <v>47</v>
      </c>
      <c r="J313">
        <v>40</v>
      </c>
      <c r="K313">
        <v>242</v>
      </c>
      <c r="L313">
        <v>81.99</v>
      </c>
      <c r="M313">
        <v>10.81</v>
      </c>
      <c r="N313">
        <v>2.98</v>
      </c>
      <c r="O313">
        <v>5.43</v>
      </c>
      <c r="P313">
        <v>408.18</v>
      </c>
      <c r="Q313">
        <v>1038</v>
      </c>
      <c r="R313">
        <v>2</v>
      </c>
      <c r="S313">
        <v>156</v>
      </c>
    </row>
    <row r="314" spans="1:19" x14ac:dyDescent="0.3">
      <c r="A314">
        <v>313</v>
      </c>
      <c r="B314" t="s">
        <v>230</v>
      </c>
      <c r="C314">
        <v>2020</v>
      </c>
      <c r="D314" t="s">
        <v>226</v>
      </c>
      <c r="E314">
        <v>10</v>
      </c>
      <c r="F314" t="s">
        <v>31</v>
      </c>
      <c r="G314" t="s">
        <v>26</v>
      </c>
      <c r="H314">
        <v>54.04</v>
      </c>
      <c r="I314" t="s">
        <v>47</v>
      </c>
      <c r="J314">
        <v>41</v>
      </c>
      <c r="K314">
        <v>158</v>
      </c>
      <c r="L314">
        <v>94.38</v>
      </c>
      <c r="M314">
        <v>26.8</v>
      </c>
      <c r="N314">
        <v>5.56</v>
      </c>
      <c r="O314">
        <v>6.88</v>
      </c>
      <c r="P314">
        <v>443.79</v>
      </c>
      <c r="Q314">
        <v>1048</v>
      </c>
      <c r="R314">
        <v>4</v>
      </c>
      <c r="S314">
        <v>235</v>
      </c>
    </row>
    <row r="315" spans="1:19" x14ac:dyDescent="0.3">
      <c r="A315">
        <v>314</v>
      </c>
      <c r="B315" t="s">
        <v>227</v>
      </c>
      <c r="C315">
        <v>2020</v>
      </c>
      <c r="D315" t="s">
        <v>226</v>
      </c>
      <c r="E315">
        <v>10</v>
      </c>
      <c r="F315" t="s">
        <v>34</v>
      </c>
      <c r="G315" t="s">
        <v>35</v>
      </c>
      <c r="H315">
        <v>43.91</v>
      </c>
      <c r="I315" t="s">
        <v>27</v>
      </c>
      <c r="J315">
        <v>44</v>
      </c>
      <c r="K315">
        <v>507</v>
      </c>
      <c r="L315">
        <v>90.56</v>
      </c>
      <c r="M315">
        <v>24.9</v>
      </c>
      <c r="N315">
        <v>20.100000000000001</v>
      </c>
      <c r="O315">
        <v>10.5</v>
      </c>
      <c r="P315">
        <v>536.66999999999996</v>
      </c>
      <c r="Q315">
        <v>333</v>
      </c>
      <c r="R315">
        <v>3</v>
      </c>
      <c r="S315">
        <v>98</v>
      </c>
    </row>
    <row r="316" spans="1:19" x14ac:dyDescent="0.3">
      <c r="A316">
        <v>315</v>
      </c>
      <c r="B316" t="s">
        <v>232</v>
      </c>
      <c r="C316">
        <v>2020</v>
      </c>
      <c r="D316" t="s">
        <v>226</v>
      </c>
      <c r="E316">
        <v>10</v>
      </c>
      <c r="F316" t="s">
        <v>34</v>
      </c>
      <c r="G316" t="s">
        <v>26</v>
      </c>
      <c r="H316">
        <v>53.13</v>
      </c>
      <c r="I316" t="s">
        <v>23</v>
      </c>
      <c r="J316">
        <v>17</v>
      </c>
      <c r="K316">
        <v>534</v>
      </c>
      <c r="L316">
        <v>80.67</v>
      </c>
      <c r="M316">
        <v>14.23</v>
      </c>
      <c r="N316">
        <v>21.61</v>
      </c>
      <c r="O316">
        <v>4.21</v>
      </c>
      <c r="P316">
        <v>182.23</v>
      </c>
      <c r="Q316">
        <v>726</v>
      </c>
      <c r="R316">
        <v>3</v>
      </c>
      <c r="S316">
        <v>88</v>
      </c>
    </row>
    <row r="317" spans="1:19" x14ac:dyDescent="0.3">
      <c r="A317">
        <v>316</v>
      </c>
      <c r="B317" t="s">
        <v>233</v>
      </c>
      <c r="C317">
        <v>2020</v>
      </c>
      <c r="D317" t="s">
        <v>226</v>
      </c>
      <c r="E317">
        <v>10</v>
      </c>
      <c r="F317" t="s">
        <v>21</v>
      </c>
      <c r="G317" t="s">
        <v>35</v>
      </c>
      <c r="H317">
        <v>21.33</v>
      </c>
      <c r="I317" t="s">
        <v>32</v>
      </c>
      <c r="J317">
        <v>2</v>
      </c>
      <c r="K317">
        <v>250</v>
      </c>
      <c r="L317">
        <v>84.76</v>
      </c>
      <c r="M317">
        <v>34.119999999999997</v>
      </c>
      <c r="N317">
        <v>7.34</v>
      </c>
      <c r="O317">
        <v>7.5</v>
      </c>
      <c r="P317">
        <v>215.56</v>
      </c>
      <c r="Q317">
        <v>388</v>
      </c>
      <c r="R317">
        <v>4</v>
      </c>
      <c r="S317">
        <v>202</v>
      </c>
    </row>
    <row r="318" spans="1:19" x14ac:dyDescent="0.3">
      <c r="A318">
        <v>317</v>
      </c>
      <c r="B318" t="s">
        <v>233</v>
      </c>
      <c r="C318">
        <v>2020</v>
      </c>
      <c r="D318" t="s">
        <v>226</v>
      </c>
      <c r="E318">
        <v>10</v>
      </c>
      <c r="F318" t="s">
        <v>31</v>
      </c>
      <c r="G318" t="s">
        <v>42</v>
      </c>
      <c r="H318">
        <v>50.26</v>
      </c>
      <c r="I318" t="s">
        <v>27</v>
      </c>
      <c r="J318">
        <v>35</v>
      </c>
      <c r="K318">
        <v>187</v>
      </c>
      <c r="L318">
        <v>90.85</v>
      </c>
      <c r="M318">
        <v>31.33</v>
      </c>
      <c r="N318">
        <v>7.46</v>
      </c>
      <c r="O318">
        <v>13.15</v>
      </c>
      <c r="P318">
        <v>448.65</v>
      </c>
      <c r="Q318">
        <v>110</v>
      </c>
      <c r="R318">
        <v>5</v>
      </c>
      <c r="S318">
        <v>181</v>
      </c>
    </row>
    <row r="319" spans="1:19" x14ac:dyDescent="0.3">
      <c r="A319">
        <v>318</v>
      </c>
      <c r="B319" t="s">
        <v>234</v>
      </c>
      <c r="C319">
        <v>2020</v>
      </c>
      <c r="D319" t="s">
        <v>226</v>
      </c>
      <c r="E319">
        <v>10</v>
      </c>
      <c r="F319" t="s">
        <v>62</v>
      </c>
      <c r="G319" t="s">
        <v>40</v>
      </c>
      <c r="H319">
        <v>48.38</v>
      </c>
      <c r="I319" t="s">
        <v>38</v>
      </c>
      <c r="J319">
        <v>20</v>
      </c>
      <c r="K319">
        <v>490</v>
      </c>
      <c r="L319">
        <v>81.78</v>
      </c>
      <c r="M319">
        <v>15.88</v>
      </c>
      <c r="N319">
        <v>15.45</v>
      </c>
      <c r="O319">
        <v>3.62</v>
      </c>
      <c r="P319">
        <v>295.01</v>
      </c>
      <c r="Q319">
        <v>551</v>
      </c>
      <c r="R319">
        <v>2</v>
      </c>
      <c r="S319">
        <v>81</v>
      </c>
    </row>
    <row r="320" spans="1:19" x14ac:dyDescent="0.3">
      <c r="A320">
        <v>319</v>
      </c>
      <c r="B320" t="s">
        <v>235</v>
      </c>
      <c r="C320">
        <v>2020</v>
      </c>
      <c r="D320" t="s">
        <v>226</v>
      </c>
      <c r="E320">
        <v>10</v>
      </c>
      <c r="F320" t="s">
        <v>31</v>
      </c>
      <c r="G320" t="s">
        <v>40</v>
      </c>
      <c r="H320">
        <v>42.66</v>
      </c>
      <c r="I320" t="s">
        <v>32</v>
      </c>
      <c r="J320">
        <v>38</v>
      </c>
      <c r="K320">
        <v>160</v>
      </c>
      <c r="L320">
        <v>78.209999999999994</v>
      </c>
      <c r="M320">
        <v>22.87</v>
      </c>
      <c r="N320">
        <v>7.52</v>
      </c>
      <c r="O320">
        <v>15.99</v>
      </c>
      <c r="P320">
        <v>213.34</v>
      </c>
      <c r="Q320">
        <v>973</v>
      </c>
      <c r="R320">
        <v>5</v>
      </c>
      <c r="S320">
        <v>185</v>
      </c>
    </row>
    <row r="321" spans="1:19" x14ac:dyDescent="0.3">
      <c r="A321">
        <v>320</v>
      </c>
      <c r="B321" t="s">
        <v>236</v>
      </c>
      <c r="C321">
        <v>2020</v>
      </c>
      <c r="D321" t="s">
        <v>226</v>
      </c>
      <c r="E321">
        <v>10</v>
      </c>
      <c r="F321" t="s">
        <v>34</v>
      </c>
      <c r="G321" t="s">
        <v>26</v>
      </c>
      <c r="H321">
        <v>26.4</v>
      </c>
      <c r="I321" t="s">
        <v>38</v>
      </c>
      <c r="J321">
        <v>25</v>
      </c>
      <c r="K321">
        <v>304</v>
      </c>
      <c r="L321">
        <v>92.03</v>
      </c>
      <c r="M321">
        <v>12.28</v>
      </c>
      <c r="N321">
        <v>6.72</v>
      </c>
      <c r="O321">
        <v>12.38</v>
      </c>
      <c r="P321">
        <v>169.92</v>
      </c>
      <c r="Q321">
        <v>554</v>
      </c>
      <c r="R321">
        <v>2</v>
      </c>
      <c r="S321">
        <v>64</v>
      </c>
    </row>
    <row r="322" spans="1:19" x14ac:dyDescent="0.3">
      <c r="A322">
        <v>321</v>
      </c>
      <c r="B322" t="s">
        <v>237</v>
      </c>
      <c r="C322">
        <v>2020</v>
      </c>
      <c r="D322" t="s">
        <v>226</v>
      </c>
      <c r="E322">
        <v>10</v>
      </c>
      <c r="F322" t="s">
        <v>37</v>
      </c>
      <c r="G322" t="s">
        <v>35</v>
      </c>
      <c r="H322">
        <v>22.89</v>
      </c>
      <c r="I322" t="s">
        <v>47</v>
      </c>
      <c r="J322">
        <v>27</v>
      </c>
      <c r="K322">
        <v>240</v>
      </c>
      <c r="L322">
        <v>84.75</v>
      </c>
      <c r="M322">
        <v>21.13</v>
      </c>
      <c r="N322">
        <v>21.88</v>
      </c>
      <c r="O322">
        <v>7.93</v>
      </c>
      <c r="P322">
        <v>251.68</v>
      </c>
      <c r="Q322">
        <v>292</v>
      </c>
      <c r="R322">
        <v>2</v>
      </c>
      <c r="S322">
        <v>191</v>
      </c>
    </row>
    <row r="323" spans="1:19" x14ac:dyDescent="0.3">
      <c r="A323">
        <v>322</v>
      </c>
      <c r="B323" t="s">
        <v>238</v>
      </c>
      <c r="C323">
        <v>2020</v>
      </c>
      <c r="D323" t="s">
        <v>226</v>
      </c>
      <c r="E323">
        <v>10</v>
      </c>
      <c r="F323" t="s">
        <v>34</v>
      </c>
      <c r="G323" t="s">
        <v>42</v>
      </c>
      <c r="H323">
        <v>18.329999999999998</v>
      </c>
      <c r="I323" t="s">
        <v>38</v>
      </c>
      <c r="J323">
        <v>8</v>
      </c>
      <c r="K323">
        <v>132</v>
      </c>
      <c r="L323">
        <v>87.27</v>
      </c>
      <c r="M323">
        <v>14.64</v>
      </c>
      <c r="N323">
        <v>12.8</v>
      </c>
      <c r="O323">
        <v>4.0199999999999996</v>
      </c>
      <c r="P323">
        <v>431.1</v>
      </c>
      <c r="Q323">
        <v>966</v>
      </c>
      <c r="R323">
        <v>5</v>
      </c>
      <c r="S323">
        <v>54</v>
      </c>
    </row>
    <row r="324" spans="1:19" x14ac:dyDescent="0.3">
      <c r="A324">
        <v>323</v>
      </c>
      <c r="B324" t="s">
        <v>236</v>
      </c>
      <c r="C324">
        <v>2020</v>
      </c>
      <c r="D324" t="s">
        <v>226</v>
      </c>
      <c r="E324">
        <v>10</v>
      </c>
      <c r="F324" t="s">
        <v>34</v>
      </c>
      <c r="G324" t="s">
        <v>26</v>
      </c>
      <c r="H324">
        <v>10.81</v>
      </c>
      <c r="I324" t="s">
        <v>38</v>
      </c>
      <c r="J324">
        <v>38</v>
      </c>
      <c r="K324">
        <v>150</v>
      </c>
      <c r="L324">
        <v>82.7</v>
      </c>
      <c r="M324">
        <v>23.28</v>
      </c>
      <c r="N324">
        <v>15.89</v>
      </c>
      <c r="O324">
        <v>7.52</v>
      </c>
      <c r="P324">
        <v>345.47</v>
      </c>
      <c r="Q324">
        <v>907</v>
      </c>
      <c r="R324">
        <v>1</v>
      </c>
      <c r="S324">
        <v>215</v>
      </c>
    </row>
    <row r="325" spans="1:19" x14ac:dyDescent="0.3">
      <c r="A325">
        <v>324</v>
      </c>
      <c r="B325" t="s">
        <v>239</v>
      </c>
      <c r="C325">
        <v>2020</v>
      </c>
      <c r="D325" t="s">
        <v>226</v>
      </c>
      <c r="E325">
        <v>10</v>
      </c>
      <c r="F325" t="s">
        <v>62</v>
      </c>
      <c r="G325" t="s">
        <v>26</v>
      </c>
      <c r="H325">
        <v>38.229999999999997</v>
      </c>
      <c r="I325" t="s">
        <v>27</v>
      </c>
      <c r="J325">
        <v>26</v>
      </c>
      <c r="K325">
        <v>529</v>
      </c>
      <c r="L325">
        <v>87.97</v>
      </c>
      <c r="M325">
        <v>18.57</v>
      </c>
      <c r="N325">
        <v>8.49</v>
      </c>
      <c r="O325">
        <v>10.72</v>
      </c>
      <c r="P325">
        <v>452.84</v>
      </c>
      <c r="Q325">
        <v>834</v>
      </c>
      <c r="R325">
        <v>4</v>
      </c>
      <c r="S325">
        <v>99</v>
      </c>
    </row>
    <row r="326" spans="1:19" x14ac:dyDescent="0.3">
      <c r="A326">
        <v>325</v>
      </c>
      <c r="B326" t="s">
        <v>240</v>
      </c>
      <c r="C326">
        <v>2020</v>
      </c>
      <c r="D326" t="s">
        <v>226</v>
      </c>
      <c r="E326">
        <v>10</v>
      </c>
      <c r="F326" t="s">
        <v>31</v>
      </c>
      <c r="G326" t="s">
        <v>26</v>
      </c>
      <c r="H326">
        <v>19.95</v>
      </c>
      <c r="I326" t="s">
        <v>23</v>
      </c>
      <c r="J326">
        <v>24</v>
      </c>
      <c r="K326">
        <v>308</v>
      </c>
      <c r="L326">
        <v>89.45</v>
      </c>
      <c r="M326">
        <v>17.149999999999999</v>
      </c>
      <c r="N326">
        <v>8.43</v>
      </c>
      <c r="O326">
        <v>7.58</v>
      </c>
      <c r="P326">
        <v>480.97</v>
      </c>
      <c r="Q326">
        <v>410</v>
      </c>
      <c r="R326">
        <v>1</v>
      </c>
      <c r="S326">
        <v>115</v>
      </c>
    </row>
    <row r="327" spans="1:19" x14ac:dyDescent="0.3">
      <c r="A327">
        <v>326</v>
      </c>
      <c r="B327" t="s">
        <v>241</v>
      </c>
      <c r="C327">
        <v>2020</v>
      </c>
      <c r="D327" t="s">
        <v>226</v>
      </c>
      <c r="E327">
        <v>10</v>
      </c>
      <c r="F327" t="s">
        <v>29</v>
      </c>
      <c r="G327" t="s">
        <v>22</v>
      </c>
      <c r="H327">
        <v>32.799999999999997</v>
      </c>
      <c r="I327" t="s">
        <v>47</v>
      </c>
      <c r="J327">
        <v>42</v>
      </c>
      <c r="K327">
        <v>590</v>
      </c>
      <c r="L327">
        <v>87.82</v>
      </c>
      <c r="M327">
        <v>7.1</v>
      </c>
      <c r="N327">
        <v>9.58</v>
      </c>
      <c r="O327">
        <v>12.32</v>
      </c>
      <c r="P327">
        <v>288.66000000000003</v>
      </c>
      <c r="Q327">
        <v>358</v>
      </c>
      <c r="R327">
        <v>2</v>
      </c>
      <c r="S327">
        <v>126</v>
      </c>
    </row>
    <row r="328" spans="1:19" x14ac:dyDescent="0.3">
      <c r="A328">
        <v>327</v>
      </c>
      <c r="B328" t="s">
        <v>242</v>
      </c>
      <c r="C328">
        <v>2020</v>
      </c>
      <c r="D328" t="s">
        <v>226</v>
      </c>
      <c r="E328">
        <v>10</v>
      </c>
      <c r="F328" t="s">
        <v>21</v>
      </c>
      <c r="G328" t="s">
        <v>42</v>
      </c>
      <c r="H328">
        <v>9.09</v>
      </c>
      <c r="I328" t="s">
        <v>23</v>
      </c>
      <c r="J328">
        <v>23</v>
      </c>
      <c r="K328">
        <v>348</v>
      </c>
      <c r="L328">
        <v>90.68</v>
      </c>
      <c r="M328">
        <v>24.45</v>
      </c>
      <c r="N328">
        <v>3.56</v>
      </c>
      <c r="O328">
        <v>15.66</v>
      </c>
      <c r="P328">
        <v>291.2</v>
      </c>
      <c r="Q328">
        <v>1099</v>
      </c>
      <c r="R328">
        <v>1</v>
      </c>
      <c r="S328">
        <v>93</v>
      </c>
    </row>
    <row r="329" spans="1:19" x14ac:dyDescent="0.3">
      <c r="A329">
        <v>328</v>
      </c>
      <c r="B329" t="s">
        <v>243</v>
      </c>
      <c r="C329">
        <v>2020</v>
      </c>
      <c r="D329" t="s">
        <v>226</v>
      </c>
      <c r="E329">
        <v>10</v>
      </c>
      <c r="F329" t="s">
        <v>34</v>
      </c>
      <c r="G329" t="s">
        <v>35</v>
      </c>
      <c r="H329">
        <v>54.55</v>
      </c>
      <c r="I329" t="s">
        <v>27</v>
      </c>
      <c r="J329">
        <v>46</v>
      </c>
      <c r="K329">
        <v>127</v>
      </c>
      <c r="L329">
        <v>87.94</v>
      </c>
      <c r="M329">
        <v>20.29</v>
      </c>
      <c r="N329">
        <v>12.32</v>
      </c>
      <c r="O329">
        <v>8.7200000000000006</v>
      </c>
      <c r="P329">
        <v>599.07000000000005</v>
      </c>
      <c r="Q329">
        <v>304</v>
      </c>
      <c r="R329">
        <v>4</v>
      </c>
      <c r="S329">
        <v>65</v>
      </c>
    </row>
    <row r="330" spans="1:19" x14ac:dyDescent="0.3">
      <c r="A330">
        <v>329</v>
      </c>
      <c r="B330" t="s">
        <v>239</v>
      </c>
      <c r="C330">
        <v>2020</v>
      </c>
      <c r="D330" t="s">
        <v>226</v>
      </c>
      <c r="E330">
        <v>10</v>
      </c>
      <c r="F330" t="s">
        <v>53</v>
      </c>
      <c r="G330" t="s">
        <v>26</v>
      </c>
      <c r="H330">
        <v>31.33</v>
      </c>
      <c r="I330" t="s">
        <v>23</v>
      </c>
      <c r="J330">
        <v>34</v>
      </c>
      <c r="K330">
        <v>454</v>
      </c>
      <c r="L330">
        <v>86.18</v>
      </c>
      <c r="M330">
        <v>6.73</v>
      </c>
      <c r="N330">
        <v>16.21</v>
      </c>
      <c r="O330">
        <v>8.15</v>
      </c>
      <c r="P330">
        <v>297.42</v>
      </c>
      <c r="Q330">
        <v>796</v>
      </c>
      <c r="R330">
        <v>1</v>
      </c>
      <c r="S330">
        <v>206</v>
      </c>
    </row>
    <row r="331" spans="1:19" x14ac:dyDescent="0.3">
      <c r="A331">
        <v>330</v>
      </c>
      <c r="B331" t="s">
        <v>243</v>
      </c>
      <c r="C331">
        <v>2020</v>
      </c>
      <c r="D331" t="s">
        <v>226</v>
      </c>
      <c r="E331">
        <v>10</v>
      </c>
      <c r="F331" t="s">
        <v>62</v>
      </c>
      <c r="G331" t="s">
        <v>42</v>
      </c>
      <c r="H331">
        <v>41.83</v>
      </c>
      <c r="I331" t="s">
        <v>23</v>
      </c>
      <c r="J331">
        <v>40</v>
      </c>
      <c r="K331">
        <v>498</v>
      </c>
      <c r="L331">
        <v>85.02</v>
      </c>
      <c r="M331">
        <v>18.989999999999998</v>
      </c>
      <c r="N331">
        <v>15.31</v>
      </c>
      <c r="O331">
        <v>11.11</v>
      </c>
      <c r="P331">
        <v>108.38</v>
      </c>
      <c r="Q331">
        <v>797</v>
      </c>
      <c r="R331">
        <v>4</v>
      </c>
      <c r="S331">
        <v>153</v>
      </c>
    </row>
    <row r="332" spans="1:19" x14ac:dyDescent="0.3">
      <c r="A332">
        <v>331</v>
      </c>
      <c r="B332" t="s">
        <v>242</v>
      </c>
      <c r="C332">
        <v>2020</v>
      </c>
      <c r="D332" t="s">
        <v>226</v>
      </c>
      <c r="E332">
        <v>10</v>
      </c>
      <c r="F332" t="s">
        <v>31</v>
      </c>
      <c r="G332" t="s">
        <v>40</v>
      </c>
      <c r="H332">
        <v>29.38</v>
      </c>
      <c r="I332" t="s">
        <v>27</v>
      </c>
      <c r="J332">
        <v>9</v>
      </c>
      <c r="K332">
        <v>435</v>
      </c>
      <c r="L332">
        <v>87.36</v>
      </c>
      <c r="M332">
        <v>28.39</v>
      </c>
      <c r="N332">
        <v>8.31</v>
      </c>
      <c r="O332">
        <v>11.83</v>
      </c>
      <c r="P332">
        <v>532.01</v>
      </c>
      <c r="Q332">
        <v>500</v>
      </c>
      <c r="R332">
        <v>1</v>
      </c>
      <c r="S332">
        <v>207</v>
      </c>
    </row>
    <row r="333" spans="1:19" x14ac:dyDescent="0.3">
      <c r="A333">
        <v>332</v>
      </c>
      <c r="B333" t="s">
        <v>243</v>
      </c>
      <c r="C333">
        <v>2020</v>
      </c>
      <c r="D333" t="s">
        <v>226</v>
      </c>
      <c r="E333">
        <v>10</v>
      </c>
      <c r="F333" t="s">
        <v>31</v>
      </c>
      <c r="G333" t="s">
        <v>35</v>
      </c>
      <c r="H333">
        <v>20.13</v>
      </c>
      <c r="I333" t="s">
        <v>47</v>
      </c>
      <c r="J333">
        <v>40</v>
      </c>
      <c r="K333">
        <v>187</v>
      </c>
      <c r="L333">
        <v>82.8</v>
      </c>
      <c r="M333">
        <v>6.88</v>
      </c>
      <c r="N333">
        <v>8.01</v>
      </c>
      <c r="O333">
        <v>5.58</v>
      </c>
      <c r="P333">
        <v>527.9</v>
      </c>
      <c r="Q333">
        <v>578</v>
      </c>
      <c r="R333">
        <v>3</v>
      </c>
      <c r="S333">
        <v>158</v>
      </c>
    </row>
    <row r="334" spans="1:19" x14ac:dyDescent="0.3">
      <c r="A334">
        <v>333</v>
      </c>
      <c r="B334" t="s">
        <v>232</v>
      </c>
      <c r="C334">
        <v>2020</v>
      </c>
      <c r="D334" t="s">
        <v>226</v>
      </c>
      <c r="E334">
        <v>10</v>
      </c>
      <c r="F334" t="s">
        <v>29</v>
      </c>
      <c r="G334" t="s">
        <v>42</v>
      </c>
      <c r="H334">
        <v>23.2</v>
      </c>
      <c r="I334" t="s">
        <v>27</v>
      </c>
      <c r="J334">
        <v>37</v>
      </c>
      <c r="K334">
        <v>258</v>
      </c>
      <c r="L334">
        <v>80.33</v>
      </c>
      <c r="M334">
        <v>30.01</v>
      </c>
      <c r="N334">
        <v>15.39</v>
      </c>
      <c r="O334">
        <v>12.53</v>
      </c>
      <c r="P334">
        <v>500.97</v>
      </c>
      <c r="Q334">
        <v>733</v>
      </c>
      <c r="R334">
        <v>5</v>
      </c>
      <c r="S334">
        <v>50</v>
      </c>
    </row>
    <row r="335" spans="1:19" x14ac:dyDescent="0.3">
      <c r="A335">
        <v>334</v>
      </c>
      <c r="B335" t="s">
        <v>238</v>
      </c>
      <c r="C335">
        <v>2020</v>
      </c>
      <c r="D335" t="s">
        <v>226</v>
      </c>
      <c r="E335">
        <v>10</v>
      </c>
      <c r="F335" t="s">
        <v>37</v>
      </c>
      <c r="G335" t="s">
        <v>22</v>
      </c>
      <c r="H335">
        <v>28.57</v>
      </c>
      <c r="I335" t="s">
        <v>32</v>
      </c>
      <c r="J335">
        <v>16</v>
      </c>
      <c r="K335">
        <v>220</v>
      </c>
      <c r="L335">
        <v>76.510000000000005</v>
      </c>
      <c r="M335">
        <v>34.75</v>
      </c>
      <c r="N335">
        <v>12.8</v>
      </c>
      <c r="O335">
        <v>2.73</v>
      </c>
      <c r="P335">
        <v>293.63</v>
      </c>
      <c r="Q335">
        <v>657</v>
      </c>
      <c r="R335">
        <v>2</v>
      </c>
      <c r="S335">
        <v>79</v>
      </c>
    </row>
    <row r="336" spans="1:19" x14ac:dyDescent="0.3">
      <c r="A336">
        <v>335</v>
      </c>
      <c r="B336" t="s">
        <v>244</v>
      </c>
      <c r="C336">
        <v>2020</v>
      </c>
      <c r="D336" t="s">
        <v>226</v>
      </c>
      <c r="E336">
        <v>10</v>
      </c>
      <c r="F336" t="s">
        <v>34</v>
      </c>
      <c r="G336" t="s">
        <v>35</v>
      </c>
      <c r="H336">
        <v>32.14</v>
      </c>
      <c r="I336" t="s">
        <v>32</v>
      </c>
      <c r="J336">
        <v>9</v>
      </c>
      <c r="K336">
        <v>238</v>
      </c>
      <c r="L336">
        <v>86.55</v>
      </c>
      <c r="M336">
        <v>33.299999999999997</v>
      </c>
      <c r="N336">
        <v>13.7</v>
      </c>
      <c r="O336">
        <v>2.1</v>
      </c>
      <c r="P336">
        <v>389.56</v>
      </c>
      <c r="Q336">
        <v>146</v>
      </c>
      <c r="R336">
        <v>4</v>
      </c>
      <c r="S336">
        <v>130</v>
      </c>
    </row>
    <row r="337" spans="1:19" x14ac:dyDescent="0.3">
      <c r="A337">
        <v>336</v>
      </c>
      <c r="B337" t="s">
        <v>231</v>
      </c>
      <c r="C337">
        <v>2020</v>
      </c>
      <c r="D337" t="s">
        <v>226</v>
      </c>
      <c r="E337">
        <v>10</v>
      </c>
      <c r="F337" t="s">
        <v>25</v>
      </c>
      <c r="G337" t="s">
        <v>40</v>
      </c>
      <c r="H337">
        <v>20.23</v>
      </c>
      <c r="I337" t="s">
        <v>47</v>
      </c>
      <c r="J337">
        <v>9</v>
      </c>
      <c r="K337">
        <v>466</v>
      </c>
      <c r="L337">
        <v>75.11</v>
      </c>
      <c r="M337">
        <v>29.73</v>
      </c>
      <c r="N337">
        <v>18.12</v>
      </c>
      <c r="O337">
        <v>7.86</v>
      </c>
      <c r="P337">
        <v>127.29</v>
      </c>
      <c r="Q337">
        <v>680</v>
      </c>
      <c r="R337">
        <v>4</v>
      </c>
      <c r="S337">
        <v>222</v>
      </c>
    </row>
    <row r="338" spans="1:19" x14ac:dyDescent="0.3">
      <c r="A338">
        <v>337</v>
      </c>
      <c r="B338" t="s">
        <v>245</v>
      </c>
      <c r="C338">
        <v>2020</v>
      </c>
      <c r="D338" t="s">
        <v>226</v>
      </c>
      <c r="E338">
        <v>10</v>
      </c>
      <c r="F338" t="s">
        <v>21</v>
      </c>
      <c r="G338" t="s">
        <v>26</v>
      </c>
      <c r="H338">
        <v>13.9</v>
      </c>
      <c r="I338" t="s">
        <v>32</v>
      </c>
      <c r="J338">
        <v>6</v>
      </c>
      <c r="K338">
        <v>588</v>
      </c>
      <c r="L338">
        <v>79.61</v>
      </c>
      <c r="M338">
        <v>16.21</v>
      </c>
      <c r="N338">
        <v>21.33</v>
      </c>
      <c r="O338">
        <v>1.03</v>
      </c>
      <c r="P338">
        <v>265.13</v>
      </c>
      <c r="Q338">
        <v>698</v>
      </c>
      <c r="R338">
        <v>2</v>
      </c>
      <c r="S338">
        <v>229</v>
      </c>
    </row>
    <row r="339" spans="1:19" x14ac:dyDescent="0.3">
      <c r="A339">
        <v>338</v>
      </c>
      <c r="B339" t="s">
        <v>242</v>
      </c>
      <c r="C339">
        <v>2020</v>
      </c>
      <c r="D339" t="s">
        <v>226</v>
      </c>
      <c r="E339">
        <v>10</v>
      </c>
      <c r="F339" t="s">
        <v>34</v>
      </c>
      <c r="G339" t="s">
        <v>42</v>
      </c>
      <c r="H339">
        <v>50.23</v>
      </c>
      <c r="I339" t="s">
        <v>27</v>
      </c>
      <c r="J339">
        <v>35</v>
      </c>
      <c r="K339">
        <v>181</v>
      </c>
      <c r="L339">
        <v>86.27</v>
      </c>
      <c r="M339">
        <v>28.48</v>
      </c>
      <c r="N339">
        <v>19.809999999999999</v>
      </c>
      <c r="O339">
        <v>3.31</v>
      </c>
      <c r="P339">
        <v>240.4</v>
      </c>
      <c r="Q339">
        <v>822</v>
      </c>
      <c r="R339">
        <v>3</v>
      </c>
      <c r="S339">
        <v>176</v>
      </c>
    </row>
    <row r="340" spans="1:19" x14ac:dyDescent="0.3">
      <c r="A340">
        <v>339</v>
      </c>
      <c r="B340" t="s">
        <v>240</v>
      </c>
      <c r="C340">
        <v>2020</v>
      </c>
      <c r="D340" t="s">
        <v>226</v>
      </c>
      <c r="E340">
        <v>10</v>
      </c>
      <c r="F340" t="s">
        <v>29</v>
      </c>
      <c r="G340" t="s">
        <v>26</v>
      </c>
      <c r="H340">
        <v>25.31</v>
      </c>
      <c r="I340" t="s">
        <v>38</v>
      </c>
      <c r="J340">
        <v>38</v>
      </c>
      <c r="K340">
        <v>225</v>
      </c>
      <c r="L340">
        <v>81.7</v>
      </c>
      <c r="M340">
        <v>25.25</v>
      </c>
      <c r="N340">
        <v>17.54</v>
      </c>
      <c r="O340">
        <v>12.73</v>
      </c>
      <c r="P340">
        <v>392.59</v>
      </c>
      <c r="Q340">
        <v>163</v>
      </c>
      <c r="R340">
        <v>3</v>
      </c>
      <c r="S340">
        <v>116</v>
      </c>
    </row>
    <row r="341" spans="1:19" x14ac:dyDescent="0.3">
      <c r="A341">
        <v>340</v>
      </c>
      <c r="B341" t="s">
        <v>246</v>
      </c>
      <c r="C341">
        <v>2020</v>
      </c>
      <c r="D341" t="s">
        <v>226</v>
      </c>
      <c r="E341">
        <v>10</v>
      </c>
      <c r="F341" t="s">
        <v>62</v>
      </c>
      <c r="G341" t="s">
        <v>42</v>
      </c>
      <c r="H341">
        <v>44.94</v>
      </c>
      <c r="I341" t="s">
        <v>32</v>
      </c>
      <c r="J341">
        <v>36</v>
      </c>
      <c r="K341">
        <v>237</v>
      </c>
      <c r="L341">
        <v>90.41</v>
      </c>
      <c r="M341">
        <v>21.36</v>
      </c>
      <c r="N341">
        <v>13.96</v>
      </c>
      <c r="O341">
        <v>6.78</v>
      </c>
      <c r="P341">
        <v>216.08</v>
      </c>
      <c r="Q341">
        <v>308</v>
      </c>
      <c r="R341">
        <v>1</v>
      </c>
      <c r="S341">
        <v>68</v>
      </c>
    </row>
    <row r="342" spans="1:19" x14ac:dyDescent="0.3">
      <c r="A342">
        <v>341</v>
      </c>
      <c r="B342" t="s">
        <v>247</v>
      </c>
      <c r="C342">
        <v>2020</v>
      </c>
      <c r="D342" t="s">
        <v>226</v>
      </c>
      <c r="E342">
        <v>11</v>
      </c>
      <c r="F342" t="s">
        <v>62</v>
      </c>
      <c r="G342" t="s">
        <v>35</v>
      </c>
      <c r="H342">
        <v>37.68</v>
      </c>
      <c r="I342" t="s">
        <v>47</v>
      </c>
      <c r="J342">
        <v>18</v>
      </c>
      <c r="K342">
        <v>356</v>
      </c>
      <c r="L342">
        <v>76.84</v>
      </c>
      <c r="M342">
        <v>6.28</v>
      </c>
      <c r="N342">
        <v>6.08</v>
      </c>
      <c r="O342">
        <v>1.76</v>
      </c>
      <c r="P342">
        <v>184.69</v>
      </c>
      <c r="Q342">
        <v>858</v>
      </c>
      <c r="R342">
        <v>4</v>
      </c>
      <c r="S342">
        <v>124</v>
      </c>
    </row>
    <row r="343" spans="1:19" x14ac:dyDescent="0.3">
      <c r="A343">
        <v>342</v>
      </c>
      <c r="B343" t="s">
        <v>248</v>
      </c>
      <c r="C343">
        <v>2020</v>
      </c>
      <c r="D343" t="s">
        <v>226</v>
      </c>
      <c r="E343">
        <v>11</v>
      </c>
      <c r="F343" t="s">
        <v>53</v>
      </c>
      <c r="G343" t="s">
        <v>40</v>
      </c>
      <c r="H343">
        <v>7.75</v>
      </c>
      <c r="I343" t="s">
        <v>38</v>
      </c>
      <c r="J343">
        <v>27</v>
      </c>
      <c r="K343">
        <v>407</v>
      </c>
      <c r="L343">
        <v>80.180000000000007</v>
      </c>
      <c r="M343">
        <v>18.02</v>
      </c>
      <c r="N343">
        <v>3.29</v>
      </c>
      <c r="O343">
        <v>14.09</v>
      </c>
      <c r="P343">
        <v>275.33999999999997</v>
      </c>
      <c r="Q343">
        <v>779</v>
      </c>
      <c r="R343">
        <v>1</v>
      </c>
      <c r="S343">
        <v>140</v>
      </c>
    </row>
    <row r="344" spans="1:19" x14ac:dyDescent="0.3">
      <c r="A344">
        <v>343</v>
      </c>
      <c r="B344" t="s">
        <v>247</v>
      </c>
      <c r="C344">
        <v>2020</v>
      </c>
      <c r="D344" t="s">
        <v>226</v>
      </c>
      <c r="E344">
        <v>11</v>
      </c>
      <c r="F344" t="s">
        <v>21</v>
      </c>
      <c r="G344" t="s">
        <v>40</v>
      </c>
      <c r="H344">
        <v>51.47</v>
      </c>
      <c r="I344" t="s">
        <v>23</v>
      </c>
      <c r="J344">
        <v>14</v>
      </c>
      <c r="K344">
        <v>213</v>
      </c>
      <c r="L344">
        <v>89.17</v>
      </c>
      <c r="M344">
        <v>29.31</v>
      </c>
      <c r="N344">
        <v>12.39</v>
      </c>
      <c r="O344">
        <v>11.18</v>
      </c>
      <c r="P344">
        <v>270.11</v>
      </c>
      <c r="Q344">
        <v>953</v>
      </c>
      <c r="R344">
        <v>1</v>
      </c>
      <c r="S344">
        <v>194</v>
      </c>
    </row>
    <row r="345" spans="1:19" x14ac:dyDescent="0.3">
      <c r="A345">
        <v>344</v>
      </c>
      <c r="B345" t="s">
        <v>249</v>
      </c>
      <c r="C345">
        <v>2020</v>
      </c>
      <c r="D345" t="s">
        <v>226</v>
      </c>
      <c r="E345">
        <v>11</v>
      </c>
      <c r="F345" t="s">
        <v>62</v>
      </c>
      <c r="G345" t="s">
        <v>22</v>
      </c>
      <c r="H345">
        <v>30.33</v>
      </c>
      <c r="I345" t="s">
        <v>47</v>
      </c>
      <c r="J345">
        <v>45</v>
      </c>
      <c r="K345">
        <v>273</v>
      </c>
      <c r="L345">
        <v>83.05</v>
      </c>
      <c r="M345">
        <v>9.24</v>
      </c>
      <c r="N345">
        <v>18.100000000000001</v>
      </c>
      <c r="O345">
        <v>8.1</v>
      </c>
      <c r="P345">
        <v>390.2</v>
      </c>
      <c r="Q345">
        <v>1061</v>
      </c>
      <c r="R345">
        <v>2</v>
      </c>
      <c r="S345">
        <v>196</v>
      </c>
    </row>
    <row r="346" spans="1:19" x14ac:dyDescent="0.3">
      <c r="A346">
        <v>345</v>
      </c>
      <c r="B346" t="s">
        <v>250</v>
      </c>
      <c r="C346">
        <v>2020</v>
      </c>
      <c r="D346" t="s">
        <v>226</v>
      </c>
      <c r="E346">
        <v>11</v>
      </c>
      <c r="F346" t="s">
        <v>25</v>
      </c>
      <c r="G346" t="s">
        <v>42</v>
      </c>
      <c r="H346">
        <v>8.1999999999999993</v>
      </c>
      <c r="I346" t="s">
        <v>27</v>
      </c>
      <c r="J346">
        <v>38</v>
      </c>
      <c r="K346">
        <v>151</v>
      </c>
      <c r="L346">
        <v>83.43</v>
      </c>
      <c r="M346">
        <v>34.75</v>
      </c>
      <c r="N346">
        <v>17.239999999999998</v>
      </c>
      <c r="O346">
        <v>1.98</v>
      </c>
      <c r="P346">
        <v>591.87</v>
      </c>
      <c r="Q346">
        <v>906</v>
      </c>
      <c r="R346">
        <v>5</v>
      </c>
      <c r="S346">
        <v>247</v>
      </c>
    </row>
    <row r="347" spans="1:19" x14ac:dyDescent="0.3">
      <c r="A347">
        <v>346</v>
      </c>
      <c r="B347" t="s">
        <v>251</v>
      </c>
      <c r="C347">
        <v>2020</v>
      </c>
      <c r="D347" t="s">
        <v>226</v>
      </c>
      <c r="E347">
        <v>11</v>
      </c>
      <c r="F347" t="s">
        <v>34</v>
      </c>
      <c r="G347" t="s">
        <v>42</v>
      </c>
      <c r="H347">
        <v>26.54</v>
      </c>
      <c r="I347" t="s">
        <v>47</v>
      </c>
      <c r="J347">
        <v>32</v>
      </c>
      <c r="K347">
        <v>340</v>
      </c>
      <c r="L347">
        <v>86.84</v>
      </c>
      <c r="M347">
        <v>15.06</v>
      </c>
      <c r="N347">
        <v>3.27</v>
      </c>
      <c r="O347">
        <v>8.64</v>
      </c>
      <c r="P347">
        <v>217.28</v>
      </c>
      <c r="Q347">
        <v>816</v>
      </c>
      <c r="R347">
        <v>4</v>
      </c>
      <c r="S347">
        <v>64</v>
      </c>
    </row>
    <row r="348" spans="1:19" x14ac:dyDescent="0.3">
      <c r="A348">
        <v>347</v>
      </c>
      <c r="B348" t="s">
        <v>252</v>
      </c>
      <c r="C348">
        <v>2020</v>
      </c>
      <c r="D348" t="s">
        <v>226</v>
      </c>
      <c r="E348">
        <v>11</v>
      </c>
      <c r="F348" t="s">
        <v>37</v>
      </c>
      <c r="G348" t="s">
        <v>42</v>
      </c>
      <c r="H348">
        <v>30.72</v>
      </c>
      <c r="I348" t="s">
        <v>23</v>
      </c>
      <c r="J348">
        <v>45</v>
      </c>
      <c r="K348">
        <v>249</v>
      </c>
      <c r="L348">
        <v>78.349999999999994</v>
      </c>
      <c r="M348">
        <v>33.28</v>
      </c>
      <c r="N348">
        <v>15.66</v>
      </c>
      <c r="O348">
        <v>3.46</v>
      </c>
      <c r="P348">
        <v>440.38</v>
      </c>
      <c r="Q348">
        <v>492</v>
      </c>
      <c r="R348">
        <v>4</v>
      </c>
      <c r="S348">
        <v>180</v>
      </c>
    </row>
    <row r="349" spans="1:19" x14ac:dyDescent="0.3">
      <c r="A349">
        <v>348</v>
      </c>
      <c r="B349" t="s">
        <v>247</v>
      </c>
      <c r="C349">
        <v>2020</v>
      </c>
      <c r="D349" t="s">
        <v>226</v>
      </c>
      <c r="E349">
        <v>11</v>
      </c>
      <c r="F349" t="s">
        <v>25</v>
      </c>
      <c r="G349" t="s">
        <v>40</v>
      </c>
      <c r="H349">
        <v>9.6199999999999992</v>
      </c>
      <c r="I349" t="s">
        <v>27</v>
      </c>
      <c r="J349">
        <v>11</v>
      </c>
      <c r="K349">
        <v>409</v>
      </c>
      <c r="L349">
        <v>92.83</v>
      </c>
      <c r="M349">
        <v>29.5</v>
      </c>
      <c r="N349">
        <v>17.329999999999998</v>
      </c>
      <c r="O349">
        <v>1.77</v>
      </c>
      <c r="P349">
        <v>580.91</v>
      </c>
      <c r="Q349">
        <v>837</v>
      </c>
      <c r="R349">
        <v>5</v>
      </c>
      <c r="S349">
        <v>138</v>
      </c>
    </row>
    <row r="350" spans="1:19" x14ac:dyDescent="0.3">
      <c r="A350">
        <v>349</v>
      </c>
      <c r="B350" t="s">
        <v>249</v>
      </c>
      <c r="C350">
        <v>2020</v>
      </c>
      <c r="D350" t="s">
        <v>226</v>
      </c>
      <c r="E350">
        <v>11</v>
      </c>
      <c r="F350" t="s">
        <v>31</v>
      </c>
      <c r="G350" t="s">
        <v>35</v>
      </c>
      <c r="H350">
        <v>48.55</v>
      </c>
      <c r="I350" t="s">
        <v>47</v>
      </c>
      <c r="J350">
        <v>35</v>
      </c>
      <c r="K350">
        <v>536</v>
      </c>
      <c r="L350">
        <v>84.64</v>
      </c>
      <c r="M350">
        <v>27.21</v>
      </c>
      <c r="N350">
        <v>14.98</v>
      </c>
      <c r="O350">
        <v>15.15</v>
      </c>
      <c r="P350">
        <v>196.78</v>
      </c>
      <c r="Q350">
        <v>904</v>
      </c>
      <c r="R350">
        <v>4</v>
      </c>
      <c r="S350">
        <v>180</v>
      </c>
    </row>
    <row r="351" spans="1:19" x14ac:dyDescent="0.3">
      <c r="A351">
        <v>350</v>
      </c>
      <c r="B351" t="s">
        <v>253</v>
      </c>
      <c r="C351">
        <v>2020</v>
      </c>
      <c r="D351" t="s">
        <v>226</v>
      </c>
      <c r="E351">
        <v>11</v>
      </c>
      <c r="F351" t="s">
        <v>31</v>
      </c>
      <c r="G351" t="s">
        <v>26</v>
      </c>
      <c r="H351">
        <v>43.14</v>
      </c>
      <c r="I351" t="s">
        <v>32</v>
      </c>
      <c r="J351">
        <v>35</v>
      </c>
      <c r="K351">
        <v>410</v>
      </c>
      <c r="L351">
        <v>85.24</v>
      </c>
      <c r="M351">
        <v>28.65</v>
      </c>
      <c r="N351">
        <v>5.99</v>
      </c>
      <c r="O351">
        <v>2.89</v>
      </c>
      <c r="P351">
        <v>367.56</v>
      </c>
      <c r="Q351">
        <v>639</v>
      </c>
      <c r="R351">
        <v>3</v>
      </c>
      <c r="S351">
        <v>87</v>
      </c>
    </row>
    <row r="352" spans="1:19" x14ac:dyDescent="0.3">
      <c r="A352">
        <v>351</v>
      </c>
      <c r="B352" t="s">
        <v>252</v>
      </c>
      <c r="C352">
        <v>2020</v>
      </c>
      <c r="D352" t="s">
        <v>226</v>
      </c>
      <c r="E352">
        <v>11</v>
      </c>
      <c r="F352" t="s">
        <v>62</v>
      </c>
      <c r="G352" t="s">
        <v>42</v>
      </c>
      <c r="H352">
        <v>19.989999999999998</v>
      </c>
      <c r="I352" t="s">
        <v>38</v>
      </c>
      <c r="J352">
        <v>9</v>
      </c>
      <c r="K352">
        <v>140</v>
      </c>
      <c r="L352">
        <v>90.8</v>
      </c>
      <c r="M352">
        <v>27.57</v>
      </c>
      <c r="N352">
        <v>6.72</v>
      </c>
      <c r="O352">
        <v>6.32</v>
      </c>
      <c r="P352">
        <v>467.03</v>
      </c>
      <c r="Q352">
        <v>314</v>
      </c>
      <c r="R352">
        <v>1</v>
      </c>
      <c r="S352">
        <v>243</v>
      </c>
    </row>
    <row r="353" spans="1:19" x14ac:dyDescent="0.3">
      <c r="A353">
        <v>352</v>
      </c>
      <c r="B353" t="s">
        <v>251</v>
      </c>
      <c r="C353">
        <v>2020</v>
      </c>
      <c r="D353" t="s">
        <v>226</v>
      </c>
      <c r="E353">
        <v>11</v>
      </c>
      <c r="F353" t="s">
        <v>62</v>
      </c>
      <c r="G353" t="s">
        <v>26</v>
      </c>
      <c r="H353">
        <v>16.14</v>
      </c>
      <c r="I353" t="s">
        <v>32</v>
      </c>
      <c r="J353">
        <v>17</v>
      </c>
      <c r="K353">
        <v>351</v>
      </c>
      <c r="L353">
        <v>76.010000000000005</v>
      </c>
      <c r="M353">
        <v>22.42</v>
      </c>
      <c r="N353">
        <v>13.01</v>
      </c>
      <c r="O353">
        <v>15.81</v>
      </c>
      <c r="P353">
        <v>141.6</v>
      </c>
      <c r="Q353">
        <v>158</v>
      </c>
      <c r="R353">
        <v>4</v>
      </c>
      <c r="S353">
        <v>185</v>
      </c>
    </row>
    <row r="354" spans="1:19" x14ac:dyDescent="0.3">
      <c r="A354">
        <v>353</v>
      </c>
      <c r="B354" t="s">
        <v>250</v>
      </c>
      <c r="C354">
        <v>2020</v>
      </c>
      <c r="D354" t="s">
        <v>226</v>
      </c>
      <c r="E354">
        <v>11</v>
      </c>
      <c r="F354" t="s">
        <v>62</v>
      </c>
      <c r="G354" t="s">
        <v>26</v>
      </c>
      <c r="H354">
        <v>6.11</v>
      </c>
      <c r="I354" t="s">
        <v>38</v>
      </c>
      <c r="J354">
        <v>12</v>
      </c>
      <c r="K354">
        <v>153</v>
      </c>
      <c r="L354">
        <v>79.77</v>
      </c>
      <c r="M354">
        <v>13.09</v>
      </c>
      <c r="N354">
        <v>4.38</v>
      </c>
      <c r="O354">
        <v>5.97</v>
      </c>
      <c r="P354">
        <v>445.92</v>
      </c>
      <c r="Q354">
        <v>559</v>
      </c>
      <c r="R354">
        <v>1</v>
      </c>
      <c r="S354">
        <v>151</v>
      </c>
    </row>
    <row r="355" spans="1:19" x14ac:dyDescent="0.3">
      <c r="A355">
        <v>354</v>
      </c>
      <c r="B355" t="s">
        <v>252</v>
      </c>
      <c r="C355">
        <v>2020</v>
      </c>
      <c r="D355" t="s">
        <v>226</v>
      </c>
      <c r="E355">
        <v>11</v>
      </c>
      <c r="F355" t="s">
        <v>21</v>
      </c>
      <c r="G355" t="s">
        <v>35</v>
      </c>
      <c r="H355">
        <v>48.84</v>
      </c>
      <c r="I355" t="s">
        <v>23</v>
      </c>
      <c r="J355">
        <v>1</v>
      </c>
      <c r="K355">
        <v>433</v>
      </c>
      <c r="L355">
        <v>84.69</v>
      </c>
      <c r="M355">
        <v>18.54</v>
      </c>
      <c r="N355">
        <v>3.97</v>
      </c>
      <c r="O355">
        <v>6.89</v>
      </c>
      <c r="P355">
        <v>531.79999999999995</v>
      </c>
      <c r="Q355">
        <v>638</v>
      </c>
      <c r="R355">
        <v>4</v>
      </c>
      <c r="S355">
        <v>228</v>
      </c>
    </row>
    <row r="356" spans="1:19" x14ac:dyDescent="0.3">
      <c r="A356">
        <v>355</v>
      </c>
      <c r="B356" t="s">
        <v>254</v>
      </c>
      <c r="C356">
        <v>2020</v>
      </c>
      <c r="D356" t="s">
        <v>226</v>
      </c>
      <c r="E356">
        <v>11</v>
      </c>
      <c r="F356" t="s">
        <v>53</v>
      </c>
      <c r="G356" t="s">
        <v>40</v>
      </c>
      <c r="H356">
        <v>31.32</v>
      </c>
      <c r="I356" t="s">
        <v>47</v>
      </c>
      <c r="J356">
        <v>50</v>
      </c>
      <c r="K356">
        <v>126</v>
      </c>
      <c r="L356">
        <v>86.5</v>
      </c>
      <c r="M356">
        <v>15.49</v>
      </c>
      <c r="N356">
        <v>13.89</v>
      </c>
      <c r="O356">
        <v>10.73</v>
      </c>
      <c r="P356">
        <v>160.87</v>
      </c>
      <c r="Q356">
        <v>460</v>
      </c>
      <c r="R356">
        <v>3</v>
      </c>
      <c r="S356">
        <v>171</v>
      </c>
    </row>
    <row r="357" spans="1:19" x14ac:dyDescent="0.3">
      <c r="A357">
        <v>356</v>
      </c>
      <c r="B357" t="s">
        <v>255</v>
      </c>
      <c r="C357">
        <v>2020</v>
      </c>
      <c r="D357" t="s">
        <v>226</v>
      </c>
      <c r="E357">
        <v>11</v>
      </c>
      <c r="F357" t="s">
        <v>53</v>
      </c>
      <c r="G357" t="s">
        <v>42</v>
      </c>
      <c r="H357">
        <v>50.43</v>
      </c>
      <c r="I357" t="s">
        <v>47</v>
      </c>
      <c r="J357">
        <v>16</v>
      </c>
      <c r="K357">
        <v>595</v>
      </c>
      <c r="L357">
        <v>81.94</v>
      </c>
      <c r="M357">
        <v>15.15</v>
      </c>
      <c r="N357">
        <v>9.17</v>
      </c>
      <c r="O357">
        <v>7.98</v>
      </c>
      <c r="P357">
        <v>287.45999999999998</v>
      </c>
      <c r="Q357">
        <v>759</v>
      </c>
      <c r="R357">
        <v>3</v>
      </c>
      <c r="S357">
        <v>145</v>
      </c>
    </row>
    <row r="358" spans="1:19" x14ac:dyDescent="0.3">
      <c r="A358">
        <v>357</v>
      </c>
      <c r="B358" t="s">
        <v>256</v>
      </c>
      <c r="C358">
        <v>2020</v>
      </c>
      <c r="D358" t="s">
        <v>226</v>
      </c>
      <c r="E358">
        <v>11</v>
      </c>
      <c r="F358" t="s">
        <v>37</v>
      </c>
      <c r="G358" t="s">
        <v>42</v>
      </c>
      <c r="H358">
        <v>28.5</v>
      </c>
      <c r="I358" t="s">
        <v>23</v>
      </c>
      <c r="J358">
        <v>35</v>
      </c>
      <c r="K358">
        <v>521</v>
      </c>
      <c r="L358">
        <v>89.08</v>
      </c>
      <c r="M358">
        <v>25.59</v>
      </c>
      <c r="N358">
        <v>16.48</v>
      </c>
      <c r="O358">
        <v>1.97</v>
      </c>
      <c r="P358">
        <v>132.44999999999999</v>
      </c>
      <c r="Q358">
        <v>797</v>
      </c>
      <c r="R358">
        <v>4</v>
      </c>
      <c r="S358">
        <v>241</v>
      </c>
    </row>
    <row r="359" spans="1:19" x14ac:dyDescent="0.3">
      <c r="A359">
        <v>358</v>
      </c>
      <c r="B359" t="s">
        <v>257</v>
      </c>
      <c r="C359">
        <v>2020</v>
      </c>
      <c r="D359" t="s">
        <v>226</v>
      </c>
      <c r="E359">
        <v>11</v>
      </c>
      <c r="F359" t="s">
        <v>29</v>
      </c>
      <c r="G359" t="s">
        <v>22</v>
      </c>
      <c r="H359">
        <v>15.67</v>
      </c>
      <c r="I359" t="s">
        <v>27</v>
      </c>
      <c r="J359">
        <v>40</v>
      </c>
      <c r="K359">
        <v>383</v>
      </c>
      <c r="L359">
        <v>92.97</v>
      </c>
      <c r="M359">
        <v>21.37</v>
      </c>
      <c r="N359">
        <v>5.93</v>
      </c>
      <c r="O359">
        <v>1.37</v>
      </c>
      <c r="P359">
        <v>265.67</v>
      </c>
      <c r="Q359">
        <v>580</v>
      </c>
      <c r="R359">
        <v>3</v>
      </c>
      <c r="S359">
        <v>138</v>
      </c>
    </row>
    <row r="360" spans="1:19" x14ac:dyDescent="0.3">
      <c r="A360">
        <v>359</v>
      </c>
      <c r="B360" t="s">
        <v>258</v>
      </c>
      <c r="C360">
        <v>2020</v>
      </c>
      <c r="D360" t="s">
        <v>226</v>
      </c>
      <c r="E360">
        <v>11</v>
      </c>
      <c r="F360" t="s">
        <v>62</v>
      </c>
      <c r="G360" t="s">
        <v>35</v>
      </c>
      <c r="H360">
        <v>17.440000000000001</v>
      </c>
      <c r="I360" t="s">
        <v>23</v>
      </c>
      <c r="J360">
        <v>23</v>
      </c>
      <c r="K360">
        <v>518</v>
      </c>
      <c r="L360">
        <v>93.48</v>
      </c>
      <c r="M360">
        <v>6.21</v>
      </c>
      <c r="N360">
        <v>2.4500000000000002</v>
      </c>
      <c r="O360">
        <v>13.18</v>
      </c>
      <c r="P360">
        <v>326.85000000000002</v>
      </c>
      <c r="Q360">
        <v>560</v>
      </c>
      <c r="R360">
        <v>5</v>
      </c>
      <c r="S360">
        <v>142</v>
      </c>
    </row>
    <row r="361" spans="1:19" x14ac:dyDescent="0.3">
      <c r="A361">
        <v>360</v>
      </c>
      <c r="B361" t="s">
        <v>259</v>
      </c>
      <c r="C361">
        <v>2020</v>
      </c>
      <c r="D361" t="s">
        <v>226</v>
      </c>
      <c r="E361">
        <v>11</v>
      </c>
      <c r="F361" t="s">
        <v>34</v>
      </c>
      <c r="G361" t="s">
        <v>26</v>
      </c>
      <c r="H361">
        <v>53.79</v>
      </c>
      <c r="I361" t="s">
        <v>27</v>
      </c>
      <c r="J361">
        <v>7</v>
      </c>
      <c r="K361">
        <v>462</v>
      </c>
      <c r="L361">
        <v>89.12</v>
      </c>
      <c r="M361">
        <v>20.56</v>
      </c>
      <c r="N361">
        <v>19.190000000000001</v>
      </c>
      <c r="O361">
        <v>1.85</v>
      </c>
      <c r="P361">
        <v>103.36</v>
      </c>
      <c r="Q361">
        <v>387</v>
      </c>
      <c r="R361">
        <v>1</v>
      </c>
      <c r="S361">
        <v>80</v>
      </c>
    </row>
    <row r="362" spans="1:19" x14ac:dyDescent="0.3">
      <c r="A362">
        <v>361</v>
      </c>
      <c r="B362" t="s">
        <v>260</v>
      </c>
      <c r="C362">
        <v>2020</v>
      </c>
      <c r="D362" t="s">
        <v>226</v>
      </c>
      <c r="E362">
        <v>11</v>
      </c>
      <c r="F362" t="s">
        <v>25</v>
      </c>
      <c r="G362" t="s">
        <v>35</v>
      </c>
      <c r="H362">
        <v>7.68</v>
      </c>
      <c r="I362" t="s">
        <v>47</v>
      </c>
      <c r="J362">
        <v>5</v>
      </c>
      <c r="K362">
        <v>407</v>
      </c>
      <c r="L362">
        <v>83.09</v>
      </c>
      <c r="M362">
        <v>15.26</v>
      </c>
      <c r="N362">
        <v>3.06</v>
      </c>
      <c r="O362">
        <v>1.69</v>
      </c>
      <c r="P362">
        <v>100.76</v>
      </c>
      <c r="Q362">
        <v>465</v>
      </c>
      <c r="R362">
        <v>2</v>
      </c>
      <c r="S362">
        <v>105</v>
      </c>
    </row>
    <row r="363" spans="1:19" x14ac:dyDescent="0.3">
      <c r="A363">
        <v>362</v>
      </c>
      <c r="B363" t="s">
        <v>261</v>
      </c>
      <c r="C363">
        <v>2020</v>
      </c>
      <c r="D363" t="s">
        <v>226</v>
      </c>
      <c r="E363">
        <v>11</v>
      </c>
      <c r="F363" t="s">
        <v>53</v>
      </c>
      <c r="G363" t="s">
        <v>42</v>
      </c>
      <c r="H363">
        <v>13.67</v>
      </c>
      <c r="I363" t="s">
        <v>47</v>
      </c>
      <c r="J363">
        <v>8</v>
      </c>
      <c r="K363">
        <v>262</v>
      </c>
      <c r="L363">
        <v>88.49</v>
      </c>
      <c r="M363">
        <v>31.55</v>
      </c>
      <c r="N363">
        <v>20.95</v>
      </c>
      <c r="O363">
        <v>13.02</v>
      </c>
      <c r="P363">
        <v>386.61</v>
      </c>
      <c r="Q363">
        <v>203</v>
      </c>
      <c r="R363">
        <v>5</v>
      </c>
      <c r="S363">
        <v>240</v>
      </c>
    </row>
    <row r="364" spans="1:19" x14ac:dyDescent="0.3">
      <c r="A364">
        <v>363</v>
      </c>
      <c r="B364" t="s">
        <v>262</v>
      </c>
      <c r="C364">
        <v>2020</v>
      </c>
      <c r="D364" t="s">
        <v>226</v>
      </c>
      <c r="E364">
        <v>11</v>
      </c>
      <c r="F364" t="s">
        <v>25</v>
      </c>
      <c r="G364" t="s">
        <v>22</v>
      </c>
      <c r="H364">
        <v>27.65</v>
      </c>
      <c r="I364" t="s">
        <v>47</v>
      </c>
      <c r="J364">
        <v>11</v>
      </c>
      <c r="K364">
        <v>119</v>
      </c>
      <c r="L364">
        <v>91.91</v>
      </c>
      <c r="M364">
        <v>24.13</v>
      </c>
      <c r="N364">
        <v>20.36</v>
      </c>
      <c r="O364">
        <v>13.62</v>
      </c>
      <c r="P364">
        <v>325.14999999999998</v>
      </c>
      <c r="Q364">
        <v>998</v>
      </c>
      <c r="R364">
        <v>3</v>
      </c>
      <c r="S364">
        <v>62</v>
      </c>
    </row>
    <row r="365" spans="1:19" x14ac:dyDescent="0.3">
      <c r="A365">
        <v>364</v>
      </c>
      <c r="B365" t="s">
        <v>260</v>
      </c>
      <c r="C365">
        <v>2020</v>
      </c>
      <c r="D365" t="s">
        <v>226</v>
      </c>
      <c r="E365">
        <v>11</v>
      </c>
      <c r="F365" t="s">
        <v>53</v>
      </c>
      <c r="G365" t="s">
        <v>40</v>
      </c>
      <c r="H365">
        <v>8.24</v>
      </c>
      <c r="I365" t="s">
        <v>32</v>
      </c>
      <c r="J365">
        <v>8</v>
      </c>
      <c r="K365">
        <v>319</v>
      </c>
      <c r="L365">
        <v>86.41</v>
      </c>
      <c r="M365">
        <v>13.3</v>
      </c>
      <c r="N365">
        <v>12.11</v>
      </c>
      <c r="O365">
        <v>3.38</v>
      </c>
      <c r="P365">
        <v>591.25</v>
      </c>
      <c r="Q365">
        <v>690</v>
      </c>
      <c r="R365">
        <v>2</v>
      </c>
      <c r="S365">
        <v>234</v>
      </c>
    </row>
    <row r="366" spans="1:19" x14ac:dyDescent="0.3">
      <c r="A366">
        <v>365</v>
      </c>
      <c r="B366" t="s">
        <v>263</v>
      </c>
      <c r="C366">
        <v>2020</v>
      </c>
      <c r="D366" t="s">
        <v>226</v>
      </c>
      <c r="E366">
        <v>11</v>
      </c>
      <c r="F366" t="s">
        <v>31</v>
      </c>
      <c r="G366" t="s">
        <v>35</v>
      </c>
      <c r="H366">
        <v>6.99</v>
      </c>
      <c r="I366" t="s">
        <v>47</v>
      </c>
      <c r="J366">
        <v>4</v>
      </c>
      <c r="K366">
        <v>454</v>
      </c>
      <c r="L366">
        <v>84.96</v>
      </c>
      <c r="M366">
        <v>17.600000000000001</v>
      </c>
      <c r="N366">
        <v>20.18</v>
      </c>
      <c r="O366">
        <v>12.28</v>
      </c>
      <c r="P366">
        <v>595.26</v>
      </c>
      <c r="Q366">
        <v>734</v>
      </c>
      <c r="R366">
        <v>4</v>
      </c>
      <c r="S366">
        <v>249</v>
      </c>
    </row>
    <row r="367" spans="1:19" x14ac:dyDescent="0.3">
      <c r="A367">
        <v>366</v>
      </c>
      <c r="B367" t="s">
        <v>264</v>
      </c>
      <c r="C367">
        <v>2020</v>
      </c>
      <c r="D367" t="s">
        <v>226</v>
      </c>
      <c r="E367">
        <v>11</v>
      </c>
      <c r="F367" t="s">
        <v>31</v>
      </c>
      <c r="G367" t="s">
        <v>40</v>
      </c>
      <c r="H367">
        <v>42.65</v>
      </c>
      <c r="I367" t="s">
        <v>23</v>
      </c>
      <c r="J367">
        <v>21</v>
      </c>
      <c r="K367">
        <v>471</v>
      </c>
      <c r="L367">
        <v>86.42</v>
      </c>
      <c r="M367">
        <v>31.71</v>
      </c>
      <c r="N367">
        <v>13.82</v>
      </c>
      <c r="O367">
        <v>10.73</v>
      </c>
      <c r="P367">
        <v>364.29</v>
      </c>
      <c r="Q367">
        <v>437</v>
      </c>
      <c r="R367">
        <v>5</v>
      </c>
      <c r="S367">
        <v>247</v>
      </c>
    </row>
    <row r="368" spans="1:19" x14ac:dyDescent="0.3">
      <c r="A368">
        <v>367</v>
      </c>
      <c r="B368" t="s">
        <v>250</v>
      </c>
      <c r="C368">
        <v>2020</v>
      </c>
      <c r="D368" t="s">
        <v>226</v>
      </c>
      <c r="E368">
        <v>11</v>
      </c>
      <c r="F368" t="s">
        <v>34</v>
      </c>
      <c r="G368" t="s">
        <v>35</v>
      </c>
      <c r="H368">
        <v>14.07</v>
      </c>
      <c r="I368" t="s">
        <v>27</v>
      </c>
      <c r="J368">
        <v>10</v>
      </c>
      <c r="K368">
        <v>391</v>
      </c>
      <c r="L368">
        <v>78.45</v>
      </c>
      <c r="M368">
        <v>20.97</v>
      </c>
      <c r="N368">
        <v>9.1</v>
      </c>
      <c r="O368">
        <v>14.18</v>
      </c>
      <c r="P368">
        <v>132.08000000000001</v>
      </c>
      <c r="Q368">
        <v>457</v>
      </c>
      <c r="R368">
        <v>2</v>
      </c>
      <c r="S368">
        <v>162</v>
      </c>
    </row>
    <row r="369" spans="1:19" x14ac:dyDescent="0.3">
      <c r="A369">
        <v>368</v>
      </c>
      <c r="B369" t="s">
        <v>249</v>
      </c>
      <c r="C369">
        <v>2020</v>
      </c>
      <c r="D369" t="s">
        <v>226</v>
      </c>
      <c r="E369">
        <v>11</v>
      </c>
      <c r="F369" t="s">
        <v>62</v>
      </c>
      <c r="G369" t="s">
        <v>26</v>
      </c>
      <c r="H369">
        <v>35.83</v>
      </c>
      <c r="I369" t="s">
        <v>23</v>
      </c>
      <c r="J369">
        <v>20</v>
      </c>
      <c r="K369">
        <v>302</v>
      </c>
      <c r="L369">
        <v>77.8</v>
      </c>
      <c r="M369">
        <v>29.99</v>
      </c>
      <c r="N369">
        <v>20.84</v>
      </c>
      <c r="O369">
        <v>10.24</v>
      </c>
      <c r="P369">
        <v>508.54</v>
      </c>
      <c r="Q369">
        <v>369</v>
      </c>
      <c r="R369">
        <v>3</v>
      </c>
      <c r="S369">
        <v>238</v>
      </c>
    </row>
    <row r="370" spans="1:19" x14ac:dyDescent="0.3">
      <c r="A370">
        <v>369</v>
      </c>
      <c r="B370" t="s">
        <v>259</v>
      </c>
      <c r="C370">
        <v>2020</v>
      </c>
      <c r="D370" t="s">
        <v>226</v>
      </c>
      <c r="E370">
        <v>11</v>
      </c>
      <c r="F370" t="s">
        <v>29</v>
      </c>
      <c r="G370" t="s">
        <v>35</v>
      </c>
      <c r="H370">
        <v>50.3</v>
      </c>
      <c r="I370" t="s">
        <v>32</v>
      </c>
      <c r="J370">
        <v>7</v>
      </c>
      <c r="K370">
        <v>209</v>
      </c>
      <c r="L370">
        <v>86.24</v>
      </c>
      <c r="M370">
        <v>32.200000000000003</v>
      </c>
      <c r="N370">
        <v>6.71</v>
      </c>
      <c r="O370">
        <v>11.67</v>
      </c>
      <c r="P370">
        <v>239.76</v>
      </c>
      <c r="Q370">
        <v>672</v>
      </c>
      <c r="R370">
        <v>2</v>
      </c>
      <c r="S370">
        <v>208</v>
      </c>
    </row>
    <row r="371" spans="1:19" x14ac:dyDescent="0.3">
      <c r="A371">
        <v>370</v>
      </c>
      <c r="B371" t="s">
        <v>256</v>
      </c>
      <c r="C371">
        <v>2020</v>
      </c>
      <c r="D371" t="s">
        <v>226</v>
      </c>
      <c r="E371">
        <v>11</v>
      </c>
      <c r="F371" t="s">
        <v>62</v>
      </c>
      <c r="G371" t="s">
        <v>42</v>
      </c>
      <c r="H371">
        <v>51.46</v>
      </c>
      <c r="I371" t="s">
        <v>27</v>
      </c>
      <c r="J371">
        <v>38</v>
      </c>
      <c r="K371">
        <v>523</v>
      </c>
      <c r="L371">
        <v>84.73</v>
      </c>
      <c r="M371">
        <v>18.59</v>
      </c>
      <c r="N371">
        <v>3.61</v>
      </c>
      <c r="O371">
        <v>2.42</v>
      </c>
      <c r="P371">
        <v>345.34</v>
      </c>
      <c r="Q371">
        <v>577</v>
      </c>
      <c r="R371">
        <v>3</v>
      </c>
      <c r="S371">
        <v>64</v>
      </c>
    </row>
    <row r="372" spans="1:19" x14ac:dyDescent="0.3">
      <c r="A372">
        <v>371</v>
      </c>
      <c r="B372" t="s">
        <v>252</v>
      </c>
      <c r="C372">
        <v>2020</v>
      </c>
      <c r="D372" t="s">
        <v>226</v>
      </c>
      <c r="E372">
        <v>11</v>
      </c>
      <c r="F372" t="s">
        <v>37</v>
      </c>
      <c r="G372" t="s">
        <v>42</v>
      </c>
      <c r="H372">
        <v>19.079999999999998</v>
      </c>
      <c r="I372" t="s">
        <v>38</v>
      </c>
      <c r="J372">
        <v>25</v>
      </c>
      <c r="K372">
        <v>246</v>
      </c>
      <c r="L372">
        <v>86.99</v>
      </c>
      <c r="M372">
        <v>12.03</v>
      </c>
      <c r="N372">
        <v>5.05</v>
      </c>
      <c r="O372">
        <v>13.92</v>
      </c>
      <c r="P372">
        <v>183.58</v>
      </c>
      <c r="Q372">
        <v>500</v>
      </c>
      <c r="R372">
        <v>2</v>
      </c>
      <c r="S372">
        <v>164</v>
      </c>
    </row>
    <row r="373" spans="1:19" x14ac:dyDescent="0.3">
      <c r="A373">
        <v>372</v>
      </c>
      <c r="B373" t="s">
        <v>249</v>
      </c>
      <c r="C373">
        <v>2020</v>
      </c>
      <c r="D373" t="s">
        <v>226</v>
      </c>
      <c r="E373">
        <v>11</v>
      </c>
      <c r="F373" t="s">
        <v>53</v>
      </c>
      <c r="G373" t="s">
        <v>40</v>
      </c>
      <c r="H373">
        <v>17.190000000000001</v>
      </c>
      <c r="I373" t="s">
        <v>23</v>
      </c>
      <c r="J373">
        <v>27</v>
      </c>
      <c r="K373">
        <v>570</v>
      </c>
      <c r="L373">
        <v>86.22</v>
      </c>
      <c r="M373">
        <v>8.0500000000000007</v>
      </c>
      <c r="N373">
        <v>3.19</v>
      </c>
      <c r="O373">
        <v>10.57</v>
      </c>
      <c r="P373">
        <v>378.65</v>
      </c>
      <c r="Q373">
        <v>379</v>
      </c>
      <c r="R373">
        <v>1</v>
      </c>
      <c r="S373">
        <v>82</v>
      </c>
    </row>
    <row r="374" spans="1:19" x14ac:dyDescent="0.3">
      <c r="A374">
        <v>373</v>
      </c>
      <c r="B374" t="s">
        <v>248</v>
      </c>
      <c r="C374">
        <v>2020</v>
      </c>
      <c r="D374" t="s">
        <v>226</v>
      </c>
      <c r="E374">
        <v>11</v>
      </c>
      <c r="F374" t="s">
        <v>34</v>
      </c>
      <c r="G374" t="s">
        <v>26</v>
      </c>
      <c r="H374">
        <v>14.03</v>
      </c>
      <c r="I374" t="s">
        <v>27</v>
      </c>
      <c r="J374">
        <v>35</v>
      </c>
      <c r="K374">
        <v>374</v>
      </c>
      <c r="L374">
        <v>78.02</v>
      </c>
      <c r="M374">
        <v>23.12</v>
      </c>
      <c r="N374">
        <v>14.03</v>
      </c>
      <c r="O374">
        <v>14.13</v>
      </c>
      <c r="P374">
        <v>387.24</v>
      </c>
      <c r="Q374">
        <v>1037</v>
      </c>
      <c r="R374">
        <v>4</v>
      </c>
      <c r="S374">
        <v>78</v>
      </c>
    </row>
    <row r="375" spans="1:19" x14ac:dyDescent="0.3">
      <c r="A375">
        <v>374</v>
      </c>
      <c r="B375" t="s">
        <v>250</v>
      </c>
      <c r="C375">
        <v>2020</v>
      </c>
      <c r="D375" t="s">
        <v>226</v>
      </c>
      <c r="E375">
        <v>11</v>
      </c>
      <c r="F375" t="s">
        <v>62</v>
      </c>
      <c r="G375" t="s">
        <v>26</v>
      </c>
      <c r="H375">
        <v>42.61</v>
      </c>
      <c r="I375" t="s">
        <v>27</v>
      </c>
      <c r="J375">
        <v>41</v>
      </c>
      <c r="K375">
        <v>322</v>
      </c>
      <c r="L375">
        <v>89.79</v>
      </c>
      <c r="M375">
        <v>32.630000000000003</v>
      </c>
      <c r="N375">
        <v>10.77</v>
      </c>
      <c r="O375">
        <v>13.97</v>
      </c>
      <c r="P375">
        <v>406.34</v>
      </c>
      <c r="Q375">
        <v>815</v>
      </c>
      <c r="R375">
        <v>2</v>
      </c>
      <c r="S375">
        <v>160</v>
      </c>
    </row>
    <row r="376" spans="1:19" x14ac:dyDescent="0.3">
      <c r="A376">
        <v>375</v>
      </c>
      <c r="B376" t="s">
        <v>265</v>
      </c>
      <c r="C376">
        <v>2020</v>
      </c>
      <c r="D376" t="s">
        <v>226</v>
      </c>
      <c r="E376">
        <v>12</v>
      </c>
      <c r="F376" t="s">
        <v>53</v>
      </c>
      <c r="G376" t="s">
        <v>35</v>
      </c>
      <c r="H376">
        <v>36.56</v>
      </c>
      <c r="I376" t="s">
        <v>38</v>
      </c>
      <c r="J376">
        <v>20</v>
      </c>
      <c r="K376">
        <v>383</v>
      </c>
      <c r="L376">
        <v>80.790000000000006</v>
      </c>
      <c r="M376">
        <v>10.48</v>
      </c>
      <c r="N376">
        <v>15.71</v>
      </c>
      <c r="O376">
        <v>10.27</v>
      </c>
      <c r="P376">
        <v>551.66999999999996</v>
      </c>
      <c r="Q376">
        <v>1095</v>
      </c>
      <c r="R376">
        <v>4</v>
      </c>
      <c r="S376">
        <v>161</v>
      </c>
    </row>
    <row r="377" spans="1:19" x14ac:dyDescent="0.3">
      <c r="A377">
        <v>376</v>
      </c>
      <c r="B377" t="s">
        <v>266</v>
      </c>
      <c r="C377">
        <v>2020</v>
      </c>
      <c r="D377" t="s">
        <v>226</v>
      </c>
      <c r="E377">
        <v>12</v>
      </c>
      <c r="F377" t="s">
        <v>62</v>
      </c>
      <c r="G377" t="s">
        <v>26</v>
      </c>
      <c r="H377">
        <v>46.37</v>
      </c>
      <c r="I377" t="s">
        <v>27</v>
      </c>
      <c r="J377">
        <v>46</v>
      </c>
      <c r="K377">
        <v>349</v>
      </c>
      <c r="L377">
        <v>77.260000000000005</v>
      </c>
      <c r="M377">
        <v>12.36</v>
      </c>
      <c r="N377">
        <v>19.45</v>
      </c>
      <c r="O377">
        <v>8.4600000000000009</v>
      </c>
      <c r="P377">
        <v>525.92999999999995</v>
      </c>
      <c r="Q377">
        <v>440</v>
      </c>
      <c r="R377">
        <v>2</v>
      </c>
      <c r="S377">
        <v>235</v>
      </c>
    </row>
    <row r="378" spans="1:19" x14ac:dyDescent="0.3">
      <c r="A378">
        <v>377</v>
      </c>
      <c r="B378" t="s">
        <v>267</v>
      </c>
      <c r="C378">
        <v>2020</v>
      </c>
      <c r="D378" t="s">
        <v>226</v>
      </c>
      <c r="E378">
        <v>12</v>
      </c>
      <c r="F378" t="s">
        <v>53</v>
      </c>
      <c r="G378" t="s">
        <v>35</v>
      </c>
      <c r="H378">
        <v>27.23</v>
      </c>
      <c r="I378" t="s">
        <v>27</v>
      </c>
      <c r="J378">
        <v>10</v>
      </c>
      <c r="K378">
        <v>358</v>
      </c>
      <c r="L378">
        <v>80.209999999999994</v>
      </c>
      <c r="M378">
        <v>18.02</v>
      </c>
      <c r="N378">
        <v>10.67</v>
      </c>
      <c r="O378">
        <v>5.44</v>
      </c>
      <c r="P378">
        <v>293.95</v>
      </c>
      <c r="Q378">
        <v>838</v>
      </c>
      <c r="R378">
        <v>2</v>
      </c>
      <c r="S378">
        <v>133</v>
      </c>
    </row>
    <row r="379" spans="1:19" x14ac:dyDescent="0.3">
      <c r="A379">
        <v>378</v>
      </c>
      <c r="B379" t="s">
        <v>268</v>
      </c>
      <c r="C379">
        <v>2020</v>
      </c>
      <c r="D379" t="s">
        <v>226</v>
      </c>
      <c r="E379">
        <v>12</v>
      </c>
      <c r="F379" t="s">
        <v>21</v>
      </c>
      <c r="G379" t="s">
        <v>35</v>
      </c>
      <c r="H379">
        <v>22.7</v>
      </c>
      <c r="I379" t="s">
        <v>47</v>
      </c>
      <c r="J379">
        <v>35</v>
      </c>
      <c r="K379">
        <v>500</v>
      </c>
      <c r="L379">
        <v>84.92</v>
      </c>
      <c r="M379">
        <v>14.5</v>
      </c>
      <c r="N379">
        <v>13.54</v>
      </c>
      <c r="O379">
        <v>15.25</v>
      </c>
      <c r="P379">
        <v>436.1</v>
      </c>
      <c r="Q379">
        <v>149</v>
      </c>
      <c r="R379">
        <v>1</v>
      </c>
      <c r="S379">
        <v>133</v>
      </c>
    </row>
    <row r="380" spans="1:19" x14ac:dyDescent="0.3">
      <c r="A380">
        <v>379</v>
      </c>
      <c r="B380" t="s">
        <v>269</v>
      </c>
      <c r="C380">
        <v>2020</v>
      </c>
      <c r="D380" t="s">
        <v>226</v>
      </c>
      <c r="E380">
        <v>12</v>
      </c>
      <c r="F380" t="s">
        <v>25</v>
      </c>
      <c r="G380" t="s">
        <v>42</v>
      </c>
      <c r="H380">
        <v>45.97</v>
      </c>
      <c r="I380" t="s">
        <v>47</v>
      </c>
      <c r="J380">
        <v>21</v>
      </c>
      <c r="K380">
        <v>484</v>
      </c>
      <c r="L380">
        <v>78.5</v>
      </c>
      <c r="M380">
        <v>25.05</v>
      </c>
      <c r="N380">
        <v>13.13</v>
      </c>
      <c r="O380">
        <v>8.32</v>
      </c>
      <c r="P380">
        <v>355.72</v>
      </c>
      <c r="Q380">
        <v>981</v>
      </c>
      <c r="R380">
        <v>2</v>
      </c>
      <c r="S380">
        <v>245</v>
      </c>
    </row>
    <row r="381" spans="1:19" x14ac:dyDescent="0.3">
      <c r="A381">
        <v>380</v>
      </c>
      <c r="B381" t="s">
        <v>270</v>
      </c>
      <c r="C381">
        <v>2020</v>
      </c>
      <c r="D381" t="s">
        <v>226</v>
      </c>
      <c r="E381">
        <v>12</v>
      </c>
      <c r="F381" t="s">
        <v>37</v>
      </c>
      <c r="G381" t="s">
        <v>22</v>
      </c>
      <c r="H381">
        <v>15.78</v>
      </c>
      <c r="I381" t="s">
        <v>32</v>
      </c>
      <c r="J381">
        <v>39</v>
      </c>
      <c r="K381">
        <v>433</v>
      </c>
      <c r="L381">
        <v>86.48</v>
      </c>
      <c r="M381">
        <v>10.68</v>
      </c>
      <c r="N381">
        <v>11.36</v>
      </c>
      <c r="O381">
        <v>12.12</v>
      </c>
      <c r="P381">
        <v>566.39</v>
      </c>
      <c r="Q381">
        <v>836</v>
      </c>
      <c r="R381">
        <v>5</v>
      </c>
      <c r="S381">
        <v>137</v>
      </c>
    </row>
    <row r="382" spans="1:19" x14ac:dyDescent="0.3">
      <c r="A382">
        <v>381</v>
      </c>
      <c r="B382" t="s">
        <v>271</v>
      </c>
      <c r="C382">
        <v>2020</v>
      </c>
      <c r="D382" t="s">
        <v>226</v>
      </c>
      <c r="E382">
        <v>12</v>
      </c>
      <c r="F382" t="s">
        <v>34</v>
      </c>
      <c r="G382" t="s">
        <v>26</v>
      </c>
      <c r="H382">
        <v>23.48</v>
      </c>
      <c r="I382" t="s">
        <v>38</v>
      </c>
      <c r="J382">
        <v>12</v>
      </c>
      <c r="K382">
        <v>251</v>
      </c>
      <c r="L382">
        <v>77.61</v>
      </c>
      <c r="M382">
        <v>11.65</v>
      </c>
      <c r="N382">
        <v>2.27</v>
      </c>
      <c r="O382">
        <v>11.69</v>
      </c>
      <c r="P382">
        <v>469.28</v>
      </c>
      <c r="Q382">
        <v>866</v>
      </c>
      <c r="R382">
        <v>3</v>
      </c>
      <c r="S382">
        <v>122</v>
      </c>
    </row>
    <row r="383" spans="1:19" x14ac:dyDescent="0.3">
      <c r="A383">
        <v>382</v>
      </c>
      <c r="B383" t="s">
        <v>272</v>
      </c>
      <c r="C383">
        <v>2020</v>
      </c>
      <c r="D383" t="s">
        <v>226</v>
      </c>
      <c r="E383">
        <v>12</v>
      </c>
      <c r="F383" t="s">
        <v>53</v>
      </c>
      <c r="G383" t="s">
        <v>22</v>
      </c>
      <c r="H383">
        <v>29.07</v>
      </c>
      <c r="I383" t="s">
        <v>38</v>
      </c>
      <c r="J383">
        <v>49</v>
      </c>
      <c r="K383">
        <v>547</v>
      </c>
      <c r="L383">
        <v>77.680000000000007</v>
      </c>
      <c r="M383">
        <v>9.9499999999999993</v>
      </c>
      <c r="N383">
        <v>9.74</v>
      </c>
      <c r="O383">
        <v>14.8</v>
      </c>
      <c r="P383">
        <v>261.2</v>
      </c>
      <c r="Q383">
        <v>210</v>
      </c>
      <c r="R383">
        <v>1</v>
      </c>
      <c r="S383">
        <v>244</v>
      </c>
    </row>
    <row r="384" spans="1:19" x14ac:dyDescent="0.3">
      <c r="A384">
        <v>383</v>
      </c>
      <c r="B384" t="s">
        <v>269</v>
      </c>
      <c r="C384">
        <v>2020</v>
      </c>
      <c r="D384" t="s">
        <v>226</v>
      </c>
      <c r="E384">
        <v>12</v>
      </c>
      <c r="F384" t="s">
        <v>53</v>
      </c>
      <c r="G384" t="s">
        <v>22</v>
      </c>
      <c r="H384">
        <v>45.56</v>
      </c>
      <c r="I384" t="s">
        <v>27</v>
      </c>
      <c r="J384">
        <v>17</v>
      </c>
      <c r="K384">
        <v>108</v>
      </c>
      <c r="L384">
        <v>82.05</v>
      </c>
      <c r="M384">
        <v>33.450000000000003</v>
      </c>
      <c r="N384">
        <v>7.83</v>
      </c>
      <c r="O384">
        <v>1.36</v>
      </c>
      <c r="P384">
        <v>558.05999999999995</v>
      </c>
      <c r="Q384">
        <v>160</v>
      </c>
      <c r="R384">
        <v>1</v>
      </c>
      <c r="S384">
        <v>182</v>
      </c>
    </row>
    <row r="385" spans="1:19" x14ac:dyDescent="0.3">
      <c r="A385">
        <v>384</v>
      </c>
      <c r="B385" t="s">
        <v>273</v>
      </c>
      <c r="C385">
        <v>2020</v>
      </c>
      <c r="D385" t="s">
        <v>226</v>
      </c>
      <c r="E385">
        <v>12</v>
      </c>
      <c r="F385" t="s">
        <v>25</v>
      </c>
      <c r="G385" t="s">
        <v>22</v>
      </c>
      <c r="H385">
        <v>40.39</v>
      </c>
      <c r="I385" t="s">
        <v>47</v>
      </c>
      <c r="J385">
        <v>36</v>
      </c>
      <c r="K385">
        <v>254</v>
      </c>
      <c r="L385">
        <v>87.52</v>
      </c>
      <c r="M385">
        <v>23.19</v>
      </c>
      <c r="N385">
        <v>10.76</v>
      </c>
      <c r="O385">
        <v>4.72</v>
      </c>
      <c r="P385">
        <v>208.83</v>
      </c>
      <c r="Q385">
        <v>1010</v>
      </c>
      <c r="R385">
        <v>4</v>
      </c>
      <c r="S385">
        <v>243</v>
      </c>
    </row>
    <row r="386" spans="1:19" x14ac:dyDescent="0.3">
      <c r="A386">
        <v>385</v>
      </c>
      <c r="B386" t="s">
        <v>274</v>
      </c>
      <c r="C386">
        <v>2020</v>
      </c>
      <c r="D386" t="s">
        <v>226</v>
      </c>
      <c r="E386">
        <v>12</v>
      </c>
      <c r="F386" t="s">
        <v>53</v>
      </c>
      <c r="G386" t="s">
        <v>22</v>
      </c>
      <c r="H386">
        <v>25.51</v>
      </c>
      <c r="I386" t="s">
        <v>47</v>
      </c>
      <c r="J386">
        <v>6</v>
      </c>
      <c r="K386">
        <v>228</v>
      </c>
      <c r="L386">
        <v>83.13</v>
      </c>
      <c r="M386">
        <v>31.82</v>
      </c>
      <c r="N386">
        <v>12.44</v>
      </c>
      <c r="O386">
        <v>4.5</v>
      </c>
      <c r="P386">
        <v>220.85</v>
      </c>
      <c r="Q386">
        <v>773</v>
      </c>
      <c r="R386">
        <v>3</v>
      </c>
      <c r="S386">
        <v>210</v>
      </c>
    </row>
    <row r="387" spans="1:19" x14ac:dyDescent="0.3">
      <c r="A387">
        <v>386</v>
      </c>
      <c r="B387" t="s">
        <v>275</v>
      </c>
      <c r="C387">
        <v>2020</v>
      </c>
      <c r="D387" t="s">
        <v>226</v>
      </c>
      <c r="E387">
        <v>12</v>
      </c>
      <c r="F387" t="s">
        <v>34</v>
      </c>
      <c r="G387" t="s">
        <v>22</v>
      </c>
      <c r="H387">
        <v>25.31</v>
      </c>
      <c r="I387" t="s">
        <v>38</v>
      </c>
      <c r="J387">
        <v>6</v>
      </c>
      <c r="K387">
        <v>309</v>
      </c>
      <c r="L387">
        <v>90.2</v>
      </c>
      <c r="M387">
        <v>19</v>
      </c>
      <c r="N387">
        <v>20.41</v>
      </c>
      <c r="O387">
        <v>2.46</v>
      </c>
      <c r="P387">
        <v>577.65</v>
      </c>
      <c r="Q387">
        <v>716</v>
      </c>
      <c r="R387">
        <v>4</v>
      </c>
      <c r="S387">
        <v>134</v>
      </c>
    </row>
    <row r="388" spans="1:19" x14ac:dyDescent="0.3">
      <c r="A388">
        <v>387</v>
      </c>
      <c r="B388" t="s">
        <v>276</v>
      </c>
      <c r="C388">
        <v>2020</v>
      </c>
      <c r="D388" t="s">
        <v>226</v>
      </c>
      <c r="E388">
        <v>12</v>
      </c>
      <c r="F388" t="s">
        <v>62</v>
      </c>
      <c r="G388" t="s">
        <v>42</v>
      </c>
      <c r="H388">
        <v>12.37</v>
      </c>
      <c r="I388" t="s">
        <v>23</v>
      </c>
      <c r="J388">
        <v>33</v>
      </c>
      <c r="K388">
        <v>496</v>
      </c>
      <c r="L388">
        <v>79.3</v>
      </c>
      <c r="M388">
        <v>17.11</v>
      </c>
      <c r="N388">
        <v>17.670000000000002</v>
      </c>
      <c r="O388">
        <v>4.1500000000000004</v>
      </c>
      <c r="P388">
        <v>310.85000000000002</v>
      </c>
      <c r="Q388">
        <v>234</v>
      </c>
      <c r="R388">
        <v>2</v>
      </c>
      <c r="S388">
        <v>247</v>
      </c>
    </row>
    <row r="389" spans="1:19" x14ac:dyDescent="0.3">
      <c r="A389">
        <v>388</v>
      </c>
      <c r="B389" t="s">
        <v>277</v>
      </c>
      <c r="C389">
        <v>2020</v>
      </c>
      <c r="D389" t="s">
        <v>226</v>
      </c>
      <c r="E389">
        <v>12</v>
      </c>
      <c r="F389" t="s">
        <v>21</v>
      </c>
      <c r="G389" t="s">
        <v>35</v>
      </c>
      <c r="H389">
        <v>34.42</v>
      </c>
      <c r="I389" t="s">
        <v>47</v>
      </c>
      <c r="J389">
        <v>26</v>
      </c>
      <c r="K389">
        <v>473</v>
      </c>
      <c r="L389">
        <v>91.57</v>
      </c>
      <c r="M389">
        <v>33.450000000000003</v>
      </c>
      <c r="N389">
        <v>8.81</v>
      </c>
      <c r="O389">
        <v>9.0500000000000007</v>
      </c>
      <c r="P389">
        <v>231.94</v>
      </c>
      <c r="Q389">
        <v>1016</v>
      </c>
      <c r="R389">
        <v>3</v>
      </c>
      <c r="S389">
        <v>217</v>
      </c>
    </row>
    <row r="390" spans="1:19" x14ac:dyDescent="0.3">
      <c r="A390">
        <v>389</v>
      </c>
      <c r="B390" t="s">
        <v>271</v>
      </c>
      <c r="C390">
        <v>2020</v>
      </c>
      <c r="D390" t="s">
        <v>226</v>
      </c>
      <c r="E390">
        <v>12</v>
      </c>
      <c r="F390" t="s">
        <v>25</v>
      </c>
      <c r="G390" t="s">
        <v>22</v>
      </c>
      <c r="H390">
        <v>8.34</v>
      </c>
      <c r="I390" t="s">
        <v>38</v>
      </c>
      <c r="J390">
        <v>11</v>
      </c>
      <c r="K390">
        <v>371</v>
      </c>
      <c r="L390">
        <v>82.32</v>
      </c>
      <c r="M390">
        <v>15.89</v>
      </c>
      <c r="N390">
        <v>15.06</v>
      </c>
      <c r="O390">
        <v>14.57</v>
      </c>
      <c r="P390">
        <v>551.72</v>
      </c>
      <c r="Q390">
        <v>386</v>
      </c>
      <c r="R390">
        <v>5</v>
      </c>
      <c r="S390">
        <v>137</v>
      </c>
    </row>
    <row r="391" spans="1:19" x14ac:dyDescent="0.3">
      <c r="A391">
        <v>390</v>
      </c>
      <c r="B391" t="s">
        <v>276</v>
      </c>
      <c r="C391">
        <v>2020</v>
      </c>
      <c r="D391" t="s">
        <v>226</v>
      </c>
      <c r="E391">
        <v>12</v>
      </c>
      <c r="F391" t="s">
        <v>31</v>
      </c>
      <c r="G391" t="s">
        <v>22</v>
      </c>
      <c r="H391">
        <v>29.16</v>
      </c>
      <c r="I391" t="s">
        <v>38</v>
      </c>
      <c r="J391">
        <v>19</v>
      </c>
      <c r="K391">
        <v>288</v>
      </c>
      <c r="L391">
        <v>94.1</v>
      </c>
      <c r="M391">
        <v>10.66</v>
      </c>
      <c r="N391">
        <v>19.940000000000001</v>
      </c>
      <c r="O391">
        <v>5.31</v>
      </c>
      <c r="P391">
        <v>553.83000000000004</v>
      </c>
      <c r="Q391">
        <v>963</v>
      </c>
      <c r="R391">
        <v>2</v>
      </c>
      <c r="S391">
        <v>203</v>
      </c>
    </row>
    <row r="392" spans="1:19" x14ac:dyDescent="0.3">
      <c r="A392">
        <v>391</v>
      </c>
      <c r="B392" t="s">
        <v>267</v>
      </c>
      <c r="C392">
        <v>2020</v>
      </c>
      <c r="D392" t="s">
        <v>226</v>
      </c>
      <c r="E392">
        <v>12</v>
      </c>
      <c r="F392" t="s">
        <v>25</v>
      </c>
      <c r="G392" t="s">
        <v>26</v>
      </c>
      <c r="H392">
        <v>43.05</v>
      </c>
      <c r="I392" t="s">
        <v>32</v>
      </c>
      <c r="J392">
        <v>47</v>
      </c>
      <c r="K392">
        <v>508</v>
      </c>
      <c r="L392">
        <v>76.290000000000006</v>
      </c>
      <c r="M392">
        <v>32.44</v>
      </c>
      <c r="N392">
        <v>4.38</v>
      </c>
      <c r="O392">
        <v>12.82</v>
      </c>
      <c r="P392">
        <v>269.07</v>
      </c>
      <c r="Q392">
        <v>734</v>
      </c>
      <c r="R392">
        <v>1</v>
      </c>
      <c r="S392">
        <v>243</v>
      </c>
    </row>
    <row r="393" spans="1:19" x14ac:dyDescent="0.3">
      <c r="A393">
        <v>392</v>
      </c>
      <c r="B393" t="s">
        <v>269</v>
      </c>
      <c r="C393">
        <v>2020</v>
      </c>
      <c r="D393" t="s">
        <v>226</v>
      </c>
      <c r="E393">
        <v>12</v>
      </c>
      <c r="F393" t="s">
        <v>37</v>
      </c>
      <c r="G393" t="s">
        <v>40</v>
      </c>
      <c r="H393">
        <v>6.25</v>
      </c>
      <c r="I393" t="s">
        <v>27</v>
      </c>
      <c r="J393">
        <v>46</v>
      </c>
      <c r="K393">
        <v>105</v>
      </c>
      <c r="L393">
        <v>92.15</v>
      </c>
      <c r="M393">
        <v>8.49</v>
      </c>
      <c r="N393">
        <v>6.69</v>
      </c>
      <c r="O393">
        <v>6.32</v>
      </c>
      <c r="P393">
        <v>167.95</v>
      </c>
      <c r="Q393">
        <v>989</v>
      </c>
      <c r="R393">
        <v>1</v>
      </c>
      <c r="S393">
        <v>213</v>
      </c>
    </row>
    <row r="394" spans="1:19" x14ac:dyDescent="0.3">
      <c r="A394">
        <v>393</v>
      </c>
      <c r="B394" t="s">
        <v>271</v>
      </c>
      <c r="C394">
        <v>2020</v>
      </c>
      <c r="D394" t="s">
        <v>226</v>
      </c>
      <c r="E394">
        <v>12</v>
      </c>
      <c r="F394" t="s">
        <v>31</v>
      </c>
      <c r="G394" t="s">
        <v>26</v>
      </c>
      <c r="H394">
        <v>34.119999999999997</v>
      </c>
      <c r="I394" t="s">
        <v>38</v>
      </c>
      <c r="J394">
        <v>20</v>
      </c>
      <c r="K394">
        <v>165</v>
      </c>
      <c r="L394">
        <v>84.15</v>
      </c>
      <c r="M394">
        <v>22.9</v>
      </c>
      <c r="N394">
        <v>11.96</v>
      </c>
      <c r="O394">
        <v>7.62</v>
      </c>
      <c r="P394">
        <v>400.11</v>
      </c>
      <c r="Q394">
        <v>713</v>
      </c>
      <c r="R394">
        <v>5</v>
      </c>
      <c r="S394">
        <v>197</v>
      </c>
    </row>
    <row r="395" spans="1:19" x14ac:dyDescent="0.3">
      <c r="A395">
        <v>394</v>
      </c>
      <c r="B395" t="s">
        <v>278</v>
      </c>
      <c r="C395">
        <v>2020</v>
      </c>
      <c r="D395" t="s">
        <v>226</v>
      </c>
      <c r="E395">
        <v>12</v>
      </c>
      <c r="F395" t="s">
        <v>37</v>
      </c>
      <c r="G395" t="s">
        <v>35</v>
      </c>
      <c r="H395">
        <v>49.59</v>
      </c>
      <c r="I395" t="s">
        <v>27</v>
      </c>
      <c r="J395">
        <v>30</v>
      </c>
      <c r="K395">
        <v>183</v>
      </c>
      <c r="L395">
        <v>80.819999999999993</v>
      </c>
      <c r="M395">
        <v>26.79</v>
      </c>
      <c r="N395">
        <v>5.28</v>
      </c>
      <c r="O395">
        <v>7.19</v>
      </c>
      <c r="P395">
        <v>541.75</v>
      </c>
      <c r="Q395">
        <v>840</v>
      </c>
      <c r="R395">
        <v>1</v>
      </c>
      <c r="S395">
        <v>158</v>
      </c>
    </row>
    <row r="396" spans="1:19" x14ac:dyDescent="0.3">
      <c r="A396">
        <v>395</v>
      </c>
      <c r="B396" t="s">
        <v>279</v>
      </c>
      <c r="C396">
        <v>2020</v>
      </c>
      <c r="D396" t="s">
        <v>226</v>
      </c>
      <c r="E396">
        <v>12</v>
      </c>
      <c r="F396" t="s">
        <v>53</v>
      </c>
      <c r="G396" t="s">
        <v>22</v>
      </c>
      <c r="H396">
        <v>51.54</v>
      </c>
      <c r="I396" t="s">
        <v>47</v>
      </c>
      <c r="J396">
        <v>35</v>
      </c>
      <c r="K396">
        <v>210</v>
      </c>
      <c r="L396">
        <v>91.05</v>
      </c>
      <c r="M396">
        <v>29.14</v>
      </c>
      <c r="N396">
        <v>10.25</v>
      </c>
      <c r="O396">
        <v>13.83</v>
      </c>
      <c r="P396">
        <v>429.56</v>
      </c>
      <c r="Q396">
        <v>443</v>
      </c>
      <c r="R396">
        <v>1</v>
      </c>
      <c r="S396">
        <v>168</v>
      </c>
    </row>
    <row r="397" spans="1:19" x14ac:dyDescent="0.3">
      <c r="A397">
        <v>396</v>
      </c>
      <c r="B397" t="s">
        <v>275</v>
      </c>
      <c r="C397">
        <v>2020</v>
      </c>
      <c r="D397" t="s">
        <v>226</v>
      </c>
      <c r="E397">
        <v>12</v>
      </c>
      <c r="F397" t="s">
        <v>34</v>
      </c>
      <c r="G397" t="s">
        <v>22</v>
      </c>
      <c r="H397">
        <v>40.24</v>
      </c>
      <c r="I397" t="s">
        <v>27</v>
      </c>
      <c r="J397">
        <v>19</v>
      </c>
      <c r="K397">
        <v>391</v>
      </c>
      <c r="L397">
        <v>77.37</v>
      </c>
      <c r="M397">
        <v>7</v>
      </c>
      <c r="N397">
        <v>4.43</v>
      </c>
      <c r="O397">
        <v>15</v>
      </c>
      <c r="P397">
        <v>537.49</v>
      </c>
      <c r="Q397">
        <v>1075</v>
      </c>
      <c r="R397">
        <v>4</v>
      </c>
      <c r="S397">
        <v>136</v>
      </c>
    </row>
    <row r="398" spans="1:19" x14ac:dyDescent="0.3">
      <c r="A398">
        <v>397</v>
      </c>
      <c r="B398" t="s">
        <v>272</v>
      </c>
      <c r="C398">
        <v>2020</v>
      </c>
      <c r="D398" t="s">
        <v>226</v>
      </c>
      <c r="E398">
        <v>12</v>
      </c>
      <c r="F398" t="s">
        <v>21</v>
      </c>
      <c r="G398" t="s">
        <v>40</v>
      </c>
      <c r="H398">
        <v>51.67</v>
      </c>
      <c r="I398" t="s">
        <v>32</v>
      </c>
      <c r="J398">
        <v>46</v>
      </c>
      <c r="K398">
        <v>237</v>
      </c>
      <c r="L398">
        <v>84.62</v>
      </c>
      <c r="M398">
        <v>21.54</v>
      </c>
      <c r="N398">
        <v>19.45</v>
      </c>
      <c r="O398">
        <v>5.56</v>
      </c>
      <c r="P398">
        <v>570.85</v>
      </c>
      <c r="Q398">
        <v>970</v>
      </c>
      <c r="R398">
        <v>4</v>
      </c>
      <c r="S398">
        <v>213</v>
      </c>
    </row>
    <row r="399" spans="1:19" x14ac:dyDescent="0.3">
      <c r="A399">
        <v>398</v>
      </c>
      <c r="B399" t="s">
        <v>280</v>
      </c>
      <c r="C399">
        <v>2020</v>
      </c>
      <c r="D399" t="s">
        <v>226</v>
      </c>
      <c r="E399">
        <v>12</v>
      </c>
      <c r="F399" t="s">
        <v>31</v>
      </c>
      <c r="G399" t="s">
        <v>35</v>
      </c>
      <c r="H399">
        <v>24.61</v>
      </c>
      <c r="I399" t="s">
        <v>32</v>
      </c>
      <c r="J399">
        <v>9</v>
      </c>
      <c r="K399">
        <v>448</v>
      </c>
      <c r="L399">
        <v>80.59</v>
      </c>
      <c r="M399">
        <v>6.81</v>
      </c>
      <c r="N399">
        <v>18.38</v>
      </c>
      <c r="O399">
        <v>13.78</v>
      </c>
      <c r="P399">
        <v>198.75</v>
      </c>
      <c r="Q399">
        <v>350</v>
      </c>
      <c r="R399">
        <v>3</v>
      </c>
      <c r="S399">
        <v>58</v>
      </c>
    </row>
    <row r="400" spans="1:19" x14ac:dyDescent="0.3">
      <c r="A400">
        <v>399</v>
      </c>
      <c r="B400" t="s">
        <v>281</v>
      </c>
      <c r="C400">
        <v>2020</v>
      </c>
      <c r="D400" t="s">
        <v>226</v>
      </c>
      <c r="E400">
        <v>12</v>
      </c>
      <c r="F400" t="s">
        <v>62</v>
      </c>
      <c r="G400" t="s">
        <v>42</v>
      </c>
      <c r="H400">
        <v>13.08</v>
      </c>
      <c r="I400" t="s">
        <v>38</v>
      </c>
      <c r="J400">
        <v>43</v>
      </c>
      <c r="K400">
        <v>249</v>
      </c>
      <c r="L400">
        <v>90.04</v>
      </c>
      <c r="M400">
        <v>28.11</v>
      </c>
      <c r="N400">
        <v>9.4499999999999993</v>
      </c>
      <c r="O400">
        <v>15.48</v>
      </c>
      <c r="P400">
        <v>298.48</v>
      </c>
      <c r="Q400">
        <v>267</v>
      </c>
      <c r="R400">
        <v>1</v>
      </c>
      <c r="S400">
        <v>66</v>
      </c>
    </row>
    <row r="401" spans="1:19" x14ac:dyDescent="0.3">
      <c r="A401">
        <v>400</v>
      </c>
      <c r="B401" t="s">
        <v>266</v>
      </c>
      <c r="C401">
        <v>2020</v>
      </c>
      <c r="D401" t="s">
        <v>226</v>
      </c>
      <c r="E401">
        <v>12</v>
      </c>
      <c r="F401" t="s">
        <v>31</v>
      </c>
      <c r="G401" t="s">
        <v>40</v>
      </c>
      <c r="H401">
        <v>11.49</v>
      </c>
      <c r="I401" t="s">
        <v>32</v>
      </c>
      <c r="J401">
        <v>5</v>
      </c>
      <c r="K401">
        <v>575</v>
      </c>
      <c r="L401">
        <v>89.66</v>
      </c>
      <c r="M401">
        <v>26.11</v>
      </c>
      <c r="N401">
        <v>17.73</v>
      </c>
      <c r="O401">
        <v>13.24</v>
      </c>
      <c r="P401">
        <v>113.86</v>
      </c>
      <c r="Q401">
        <v>860</v>
      </c>
      <c r="R401">
        <v>2</v>
      </c>
      <c r="S401">
        <v>216</v>
      </c>
    </row>
    <row r="402" spans="1:19" x14ac:dyDescent="0.3">
      <c r="A402">
        <v>401</v>
      </c>
      <c r="B402" t="s">
        <v>282</v>
      </c>
      <c r="C402">
        <v>2020</v>
      </c>
      <c r="D402" t="s">
        <v>226</v>
      </c>
      <c r="E402">
        <v>12</v>
      </c>
      <c r="F402" t="s">
        <v>21</v>
      </c>
      <c r="G402" t="s">
        <v>22</v>
      </c>
      <c r="H402">
        <v>12.56</v>
      </c>
      <c r="I402" t="s">
        <v>27</v>
      </c>
      <c r="J402">
        <v>15</v>
      </c>
      <c r="K402">
        <v>464</v>
      </c>
      <c r="L402">
        <v>78.319999999999993</v>
      </c>
      <c r="M402">
        <v>31.19</v>
      </c>
      <c r="N402">
        <v>8.2200000000000006</v>
      </c>
      <c r="O402">
        <v>11.68</v>
      </c>
      <c r="P402">
        <v>379.57</v>
      </c>
      <c r="Q402">
        <v>782</v>
      </c>
      <c r="R402">
        <v>4</v>
      </c>
      <c r="S402">
        <v>194</v>
      </c>
    </row>
    <row r="403" spans="1:19" x14ac:dyDescent="0.3">
      <c r="A403">
        <v>402</v>
      </c>
      <c r="B403" t="s">
        <v>271</v>
      </c>
      <c r="C403">
        <v>2020</v>
      </c>
      <c r="D403" t="s">
        <v>226</v>
      </c>
      <c r="E403">
        <v>12</v>
      </c>
      <c r="F403" t="s">
        <v>25</v>
      </c>
      <c r="G403" t="s">
        <v>35</v>
      </c>
      <c r="H403">
        <v>31.37</v>
      </c>
      <c r="I403" t="s">
        <v>32</v>
      </c>
      <c r="J403">
        <v>28</v>
      </c>
      <c r="K403">
        <v>575</v>
      </c>
      <c r="L403">
        <v>85.34</v>
      </c>
      <c r="M403">
        <v>31.35</v>
      </c>
      <c r="N403">
        <v>5.84</v>
      </c>
      <c r="O403">
        <v>10.14</v>
      </c>
      <c r="P403">
        <v>551.76</v>
      </c>
      <c r="Q403">
        <v>504</v>
      </c>
      <c r="R403">
        <v>3</v>
      </c>
      <c r="S403">
        <v>101</v>
      </c>
    </row>
    <row r="404" spans="1:19" x14ac:dyDescent="0.3">
      <c r="A404">
        <v>403</v>
      </c>
      <c r="B404" t="s">
        <v>283</v>
      </c>
      <c r="C404">
        <v>2020</v>
      </c>
      <c r="D404" t="s">
        <v>226</v>
      </c>
      <c r="E404">
        <v>12</v>
      </c>
      <c r="F404" t="s">
        <v>29</v>
      </c>
      <c r="G404" t="s">
        <v>22</v>
      </c>
      <c r="H404">
        <v>39.14</v>
      </c>
      <c r="I404" t="s">
        <v>47</v>
      </c>
      <c r="J404">
        <v>20</v>
      </c>
      <c r="K404">
        <v>232</v>
      </c>
      <c r="L404">
        <v>86.21</v>
      </c>
      <c r="M404">
        <v>34.01</v>
      </c>
      <c r="N404">
        <v>6.84</v>
      </c>
      <c r="O404">
        <v>8.49</v>
      </c>
      <c r="P404">
        <v>553.76</v>
      </c>
      <c r="Q404">
        <v>1074</v>
      </c>
      <c r="R404">
        <v>4</v>
      </c>
      <c r="S404">
        <v>230</v>
      </c>
    </row>
    <row r="405" spans="1:19" x14ac:dyDescent="0.3">
      <c r="A405">
        <v>404</v>
      </c>
      <c r="B405" t="s">
        <v>269</v>
      </c>
      <c r="C405">
        <v>2020</v>
      </c>
      <c r="D405" t="s">
        <v>226</v>
      </c>
      <c r="E405">
        <v>12</v>
      </c>
      <c r="F405" t="s">
        <v>37</v>
      </c>
      <c r="G405" t="s">
        <v>42</v>
      </c>
      <c r="H405">
        <v>11.01</v>
      </c>
      <c r="I405" t="s">
        <v>38</v>
      </c>
      <c r="J405">
        <v>16</v>
      </c>
      <c r="K405">
        <v>586</v>
      </c>
      <c r="L405">
        <v>80.180000000000007</v>
      </c>
      <c r="M405">
        <v>12.96</v>
      </c>
      <c r="N405">
        <v>3.52</v>
      </c>
      <c r="O405">
        <v>4.1399999999999997</v>
      </c>
      <c r="P405">
        <v>269.38</v>
      </c>
      <c r="Q405">
        <v>858</v>
      </c>
      <c r="R405">
        <v>1</v>
      </c>
      <c r="S405">
        <v>80</v>
      </c>
    </row>
    <row r="406" spans="1:19" x14ac:dyDescent="0.3">
      <c r="A406">
        <v>405</v>
      </c>
      <c r="B406" t="s">
        <v>281</v>
      </c>
      <c r="C406">
        <v>2020</v>
      </c>
      <c r="D406" t="s">
        <v>226</v>
      </c>
      <c r="E406">
        <v>12</v>
      </c>
      <c r="F406" t="s">
        <v>62</v>
      </c>
      <c r="G406" t="s">
        <v>26</v>
      </c>
      <c r="H406">
        <v>32.44</v>
      </c>
      <c r="I406" t="s">
        <v>47</v>
      </c>
      <c r="J406">
        <v>19</v>
      </c>
      <c r="K406">
        <v>565</v>
      </c>
      <c r="L406">
        <v>90.6</v>
      </c>
      <c r="M406">
        <v>12.12</v>
      </c>
      <c r="N406">
        <v>2.78</v>
      </c>
      <c r="O406">
        <v>14.84</v>
      </c>
      <c r="P406">
        <v>249.32</v>
      </c>
      <c r="Q406">
        <v>824</v>
      </c>
      <c r="R406">
        <v>2</v>
      </c>
      <c r="S406">
        <v>121</v>
      </c>
    </row>
    <row r="407" spans="1:19" x14ac:dyDescent="0.3">
      <c r="A407">
        <v>406</v>
      </c>
      <c r="B407" t="s">
        <v>271</v>
      </c>
      <c r="C407">
        <v>2020</v>
      </c>
      <c r="D407" t="s">
        <v>226</v>
      </c>
      <c r="E407">
        <v>12</v>
      </c>
      <c r="F407" t="s">
        <v>34</v>
      </c>
      <c r="G407" t="s">
        <v>22</v>
      </c>
      <c r="H407">
        <v>30.26</v>
      </c>
      <c r="I407" t="s">
        <v>32</v>
      </c>
      <c r="J407">
        <v>34</v>
      </c>
      <c r="K407">
        <v>164</v>
      </c>
      <c r="L407">
        <v>78.19</v>
      </c>
      <c r="M407">
        <v>13.63</v>
      </c>
      <c r="N407">
        <v>2.5</v>
      </c>
      <c r="O407">
        <v>6.21</v>
      </c>
      <c r="P407">
        <v>574.92999999999995</v>
      </c>
      <c r="Q407">
        <v>338</v>
      </c>
      <c r="R407">
        <v>5</v>
      </c>
      <c r="S407">
        <v>75</v>
      </c>
    </row>
    <row r="408" spans="1:19" x14ac:dyDescent="0.3">
      <c r="A408">
        <v>407</v>
      </c>
      <c r="B408" t="s">
        <v>273</v>
      </c>
      <c r="C408">
        <v>2020</v>
      </c>
      <c r="D408" t="s">
        <v>226</v>
      </c>
      <c r="E408">
        <v>12</v>
      </c>
      <c r="F408" t="s">
        <v>25</v>
      </c>
      <c r="G408" t="s">
        <v>26</v>
      </c>
      <c r="H408">
        <v>47.73</v>
      </c>
      <c r="I408" t="s">
        <v>38</v>
      </c>
      <c r="J408">
        <v>11</v>
      </c>
      <c r="K408">
        <v>401</v>
      </c>
      <c r="L408">
        <v>84.56</v>
      </c>
      <c r="M408">
        <v>7.99</v>
      </c>
      <c r="N408">
        <v>12.08</v>
      </c>
      <c r="O408">
        <v>2.97</v>
      </c>
      <c r="P408">
        <v>193.46</v>
      </c>
      <c r="Q408">
        <v>672</v>
      </c>
      <c r="R408">
        <v>3</v>
      </c>
      <c r="S408">
        <v>235</v>
      </c>
    </row>
    <row r="409" spans="1:19" x14ac:dyDescent="0.3">
      <c r="A409">
        <v>408</v>
      </c>
      <c r="B409" t="s">
        <v>266</v>
      </c>
      <c r="C409">
        <v>2020</v>
      </c>
      <c r="D409" t="s">
        <v>226</v>
      </c>
      <c r="E409">
        <v>12</v>
      </c>
      <c r="F409" t="s">
        <v>62</v>
      </c>
      <c r="G409" t="s">
        <v>22</v>
      </c>
      <c r="H409">
        <v>41.27</v>
      </c>
      <c r="I409" t="s">
        <v>27</v>
      </c>
      <c r="J409">
        <v>25</v>
      </c>
      <c r="K409">
        <v>446</v>
      </c>
      <c r="L409">
        <v>93.2</v>
      </c>
      <c r="M409">
        <v>6</v>
      </c>
      <c r="N409">
        <v>4.91</v>
      </c>
      <c r="O409">
        <v>13.6</v>
      </c>
      <c r="P409">
        <v>214.06</v>
      </c>
      <c r="Q409">
        <v>561</v>
      </c>
      <c r="R409">
        <v>2</v>
      </c>
      <c r="S409">
        <v>220</v>
      </c>
    </row>
    <row r="410" spans="1:19" x14ac:dyDescent="0.3">
      <c r="A410">
        <v>409</v>
      </c>
      <c r="B410" t="s">
        <v>284</v>
      </c>
      <c r="C410">
        <v>2021</v>
      </c>
      <c r="D410" t="s">
        <v>20</v>
      </c>
      <c r="E410">
        <v>1</v>
      </c>
      <c r="F410" t="s">
        <v>29</v>
      </c>
      <c r="G410" t="s">
        <v>35</v>
      </c>
      <c r="H410">
        <v>17.46</v>
      </c>
      <c r="I410" t="s">
        <v>23</v>
      </c>
      <c r="J410">
        <v>48</v>
      </c>
      <c r="K410">
        <v>445</v>
      </c>
      <c r="L410">
        <v>78.3</v>
      </c>
      <c r="M410">
        <v>24.87</v>
      </c>
      <c r="N410">
        <v>4.41</v>
      </c>
      <c r="O410">
        <v>5.13</v>
      </c>
      <c r="P410">
        <v>585.71</v>
      </c>
      <c r="Q410">
        <v>451</v>
      </c>
      <c r="R410">
        <v>4</v>
      </c>
      <c r="S410">
        <v>126</v>
      </c>
    </row>
    <row r="411" spans="1:19" x14ac:dyDescent="0.3">
      <c r="A411">
        <v>410</v>
      </c>
      <c r="B411" t="s">
        <v>285</v>
      </c>
      <c r="C411">
        <v>2021</v>
      </c>
      <c r="D411" t="s">
        <v>20</v>
      </c>
      <c r="E411">
        <v>1</v>
      </c>
      <c r="F411" t="s">
        <v>34</v>
      </c>
      <c r="G411" t="s">
        <v>35</v>
      </c>
      <c r="H411">
        <v>33.549999999999997</v>
      </c>
      <c r="I411" t="s">
        <v>27</v>
      </c>
      <c r="J411">
        <v>37</v>
      </c>
      <c r="K411">
        <v>438</v>
      </c>
      <c r="L411">
        <v>91.52</v>
      </c>
      <c r="M411">
        <v>12.69</v>
      </c>
      <c r="N411">
        <v>8.6</v>
      </c>
      <c r="O411">
        <v>12.79</v>
      </c>
      <c r="P411">
        <v>310.25</v>
      </c>
      <c r="Q411">
        <v>383</v>
      </c>
      <c r="R411">
        <v>4</v>
      </c>
      <c r="S411">
        <v>239</v>
      </c>
    </row>
    <row r="412" spans="1:19" x14ac:dyDescent="0.3">
      <c r="A412">
        <v>411</v>
      </c>
      <c r="B412" t="s">
        <v>286</v>
      </c>
      <c r="C412">
        <v>2021</v>
      </c>
      <c r="D412" t="s">
        <v>20</v>
      </c>
      <c r="E412">
        <v>1</v>
      </c>
      <c r="F412" t="s">
        <v>34</v>
      </c>
      <c r="G412" t="s">
        <v>22</v>
      </c>
      <c r="H412">
        <v>32.69</v>
      </c>
      <c r="I412" t="s">
        <v>32</v>
      </c>
      <c r="J412">
        <v>24</v>
      </c>
      <c r="K412">
        <v>524</v>
      </c>
      <c r="L412">
        <v>90.01</v>
      </c>
      <c r="M412">
        <v>25.27</v>
      </c>
      <c r="N412">
        <v>16.98</v>
      </c>
      <c r="O412">
        <v>12.73</v>
      </c>
      <c r="P412">
        <v>203.17</v>
      </c>
      <c r="Q412">
        <v>1052</v>
      </c>
      <c r="R412">
        <v>1</v>
      </c>
      <c r="S412">
        <v>131</v>
      </c>
    </row>
    <row r="413" spans="1:19" x14ac:dyDescent="0.3">
      <c r="A413">
        <v>412</v>
      </c>
      <c r="B413" t="s">
        <v>287</v>
      </c>
      <c r="C413">
        <v>2021</v>
      </c>
      <c r="D413" t="s">
        <v>20</v>
      </c>
      <c r="E413">
        <v>1</v>
      </c>
      <c r="F413" t="s">
        <v>25</v>
      </c>
      <c r="G413" t="s">
        <v>40</v>
      </c>
      <c r="H413">
        <v>11.03</v>
      </c>
      <c r="I413" t="s">
        <v>27</v>
      </c>
      <c r="J413">
        <v>39</v>
      </c>
      <c r="K413">
        <v>457</v>
      </c>
      <c r="L413">
        <v>90.65</v>
      </c>
      <c r="M413">
        <v>30.58</v>
      </c>
      <c r="N413">
        <v>20.2</v>
      </c>
      <c r="O413">
        <v>6.7</v>
      </c>
      <c r="P413">
        <v>334.68</v>
      </c>
      <c r="Q413">
        <v>312</v>
      </c>
      <c r="R413">
        <v>2</v>
      </c>
      <c r="S413">
        <v>98</v>
      </c>
    </row>
    <row r="414" spans="1:19" x14ac:dyDescent="0.3">
      <c r="A414">
        <v>413</v>
      </c>
      <c r="B414" t="s">
        <v>288</v>
      </c>
      <c r="C414">
        <v>2021</v>
      </c>
      <c r="D414" t="s">
        <v>20</v>
      </c>
      <c r="E414">
        <v>1</v>
      </c>
      <c r="F414" t="s">
        <v>34</v>
      </c>
      <c r="G414" t="s">
        <v>26</v>
      </c>
      <c r="H414">
        <v>29.77</v>
      </c>
      <c r="I414" t="s">
        <v>32</v>
      </c>
      <c r="J414">
        <v>29</v>
      </c>
      <c r="K414">
        <v>318</v>
      </c>
      <c r="L414">
        <v>90.04</v>
      </c>
      <c r="M414">
        <v>33.770000000000003</v>
      </c>
      <c r="N414">
        <v>13.91</v>
      </c>
      <c r="O414">
        <v>10.97</v>
      </c>
      <c r="P414">
        <v>568.24</v>
      </c>
      <c r="Q414">
        <v>682</v>
      </c>
      <c r="R414">
        <v>4</v>
      </c>
      <c r="S414">
        <v>197</v>
      </c>
    </row>
    <row r="415" spans="1:19" x14ac:dyDescent="0.3">
      <c r="A415">
        <v>414</v>
      </c>
      <c r="B415" t="s">
        <v>289</v>
      </c>
      <c r="C415">
        <v>2021</v>
      </c>
      <c r="D415" t="s">
        <v>20</v>
      </c>
      <c r="E415">
        <v>1</v>
      </c>
      <c r="F415" t="s">
        <v>37</v>
      </c>
      <c r="G415" t="s">
        <v>26</v>
      </c>
      <c r="H415">
        <v>9.34</v>
      </c>
      <c r="I415" t="s">
        <v>23</v>
      </c>
      <c r="J415">
        <v>31</v>
      </c>
      <c r="K415">
        <v>267</v>
      </c>
      <c r="L415">
        <v>76.98</v>
      </c>
      <c r="M415">
        <v>9.91</v>
      </c>
      <c r="N415">
        <v>8.92</v>
      </c>
      <c r="O415">
        <v>7.29</v>
      </c>
      <c r="P415">
        <v>389.1</v>
      </c>
      <c r="Q415">
        <v>911</v>
      </c>
      <c r="R415">
        <v>1</v>
      </c>
      <c r="S415">
        <v>102</v>
      </c>
    </row>
    <row r="416" spans="1:19" x14ac:dyDescent="0.3">
      <c r="A416">
        <v>415</v>
      </c>
      <c r="B416" t="s">
        <v>290</v>
      </c>
      <c r="C416">
        <v>2021</v>
      </c>
      <c r="D416" t="s">
        <v>20</v>
      </c>
      <c r="E416">
        <v>1</v>
      </c>
      <c r="F416" t="s">
        <v>62</v>
      </c>
      <c r="G416" t="s">
        <v>26</v>
      </c>
      <c r="H416">
        <v>7.3</v>
      </c>
      <c r="I416" t="s">
        <v>32</v>
      </c>
      <c r="J416">
        <v>1</v>
      </c>
      <c r="K416">
        <v>346</v>
      </c>
      <c r="L416">
        <v>78.23</v>
      </c>
      <c r="M416">
        <v>32.299999999999997</v>
      </c>
      <c r="N416">
        <v>3.52</v>
      </c>
      <c r="O416">
        <v>7.62</v>
      </c>
      <c r="P416">
        <v>143.4</v>
      </c>
      <c r="Q416">
        <v>884</v>
      </c>
      <c r="R416">
        <v>1</v>
      </c>
      <c r="S416">
        <v>131</v>
      </c>
    </row>
    <row r="417" spans="1:19" x14ac:dyDescent="0.3">
      <c r="A417">
        <v>416</v>
      </c>
      <c r="B417" t="s">
        <v>291</v>
      </c>
      <c r="C417">
        <v>2021</v>
      </c>
      <c r="D417" t="s">
        <v>20</v>
      </c>
      <c r="E417">
        <v>1</v>
      </c>
      <c r="F417" t="s">
        <v>62</v>
      </c>
      <c r="G417" t="s">
        <v>42</v>
      </c>
      <c r="H417">
        <v>35.58</v>
      </c>
      <c r="I417" t="s">
        <v>32</v>
      </c>
      <c r="J417">
        <v>49</v>
      </c>
      <c r="K417">
        <v>568</v>
      </c>
      <c r="L417">
        <v>86.6</v>
      </c>
      <c r="M417">
        <v>16.89</v>
      </c>
      <c r="N417">
        <v>9.0399999999999991</v>
      </c>
      <c r="O417">
        <v>4.97</v>
      </c>
      <c r="P417">
        <v>469.49</v>
      </c>
      <c r="Q417">
        <v>456</v>
      </c>
      <c r="R417">
        <v>3</v>
      </c>
      <c r="S417">
        <v>114</v>
      </c>
    </row>
    <row r="418" spans="1:19" x14ac:dyDescent="0.3">
      <c r="A418">
        <v>417</v>
      </c>
      <c r="B418" t="s">
        <v>292</v>
      </c>
      <c r="C418">
        <v>2021</v>
      </c>
      <c r="D418" t="s">
        <v>20</v>
      </c>
      <c r="E418">
        <v>1</v>
      </c>
      <c r="F418" t="s">
        <v>62</v>
      </c>
      <c r="G418" t="s">
        <v>35</v>
      </c>
      <c r="H418">
        <v>6.22</v>
      </c>
      <c r="I418" t="s">
        <v>32</v>
      </c>
      <c r="J418">
        <v>11</v>
      </c>
      <c r="K418">
        <v>263</v>
      </c>
      <c r="L418">
        <v>86.95</v>
      </c>
      <c r="M418">
        <v>18.27</v>
      </c>
      <c r="N418">
        <v>15.13</v>
      </c>
      <c r="O418">
        <v>9.76</v>
      </c>
      <c r="P418">
        <v>338.02</v>
      </c>
      <c r="Q418">
        <v>1063</v>
      </c>
      <c r="R418">
        <v>1</v>
      </c>
      <c r="S418">
        <v>145</v>
      </c>
    </row>
    <row r="419" spans="1:19" x14ac:dyDescent="0.3">
      <c r="A419">
        <v>418</v>
      </c>
      <c r="B419" t="s">
        <v>291</v>
      </c>
      <c r="C419">
        <v>2021</v>
      </c>
      <c r="D419" t="s">
        <v>20</v>
      </c>
      <c r="E419">
        <v>1</v>
      </c>
      <c r="F419" t="s">
        <v>34</v>
      </c>
      <c r="G419" t="s">
        <v>42</v>
      </c>
      <c r="H419">
        <v>28.22</v>
      </c>
      <c r="I419" t="s">
        <v>27</v>
      </c>
      <c r="J419">
        <v>42</v>
      </c>
      <c r="K419">
        <v>427</v>
      </c>
      <c r="L419">
        <v>90.63</v>
      </c>
      <c r="M419">
        <v>31.75</v>
      </c>
      <c r="N419">
        <v>20.79</v>
      </c>
      <c r="O419">
        <v>11.26</v>
      </c>
      <c r="P419">
        <v>142.1</v>
      </c>
      <c r="Q419">
        <v>941</v>
      </c>
      <c r="R419">
        <v>2</v>
      </c>
      <c r="S419">
        <v>212</v>
      </c>
    </row>
    <row r="420" spans="1:19" x14ac:dyDescent="0.3">
      <c r="A420">
        <v>419</v>
      </c>
      <c r="B420" t="s">
        <v>293</v>
      </c>
      <c r="C420">
        <v>2021</v>
      </c>
      <c r="D420" t="s">
        <v>20</v>
      </c>
      <c r="E420">
        <v>1</v>
      </c>
      <c r="F420" t="s">
        <v>21</v>
      </c>
      <c r="G420" t="s">
        <v>40</v>
      </c>
      <c r="H420">
        <v>24.11</v>
      </c>
      <c r="I420" t="s">
        <v>27</v>
      </c>
      <c r="J420">
        <v>32</v>
      </c>
      <c r="K420">
        <v>483</v>
      </c>
      <c r="L420">
        <v>76.84</v>
      </c>
      <c r="M420">
        <v>25.26</v>
      </c>
      <c r="N420">
        <v>12.55</v>
      </c>
      <c r="O420">
        <v>8.34</v>
      </c>
      <c r="P420">
        <v>399.32</v>
      </c>
      <c r="Q420">
        <v>664</v>
      </c>
      <c r="R420">
        <v>3</v>
      </c>
      <c r="S420">
        <v>75</v>
      </c>
    </row>
    <row r="421" spans="1:19" x14ac:dyDescent="0.3">
      <c r="A421">
        <v>420</v>
      </c>
      <c r="B421" t="s">
        <v>294</v>
      </c>
      <c r="C421">
        <v>2021</v>
      </c>
      <c r="D421" t="s">
        <v>20</v>
      </c>
      <c r="E421">
        <v>1</v>
      </c>
      <c r="F421" t="s">
        <v>53</v>
      </c>
      <c r="G421" t="s">
        <v>22</v>
      </c>
      <c r="H421">
        <v>37.72</v>
      </c>
      <c r="I421" t="s">
        <v>38</v>
      </c>
      <c r="J421">
        <v>15</v>
      </c>
      <c r="K421">
        <v>552</v>
      </c>
      <c r="L421">
        <v>83.97</v>
      </c>
      <c r="M421">
        <v>29.16</v>
      </c>
      <c r="N421">
        <v>17.010000000000002</v>
      </c>
      <c r="O421">
        <v>4.3600000000000003</v>
      </c>
      <c r="P421">
        <v>247.8</v>
      </c>
      <c r="Q421">
        <v>1047</v>
      </c>
      <c r="R421">
        <v>4</v>
      </c>
      <c r="S421">
        <v>59</v>
      </c>
    </row>
    <row r="422" spans="1:19" x14ac:dyDescent="0.3">
      <c r="A422">
        <v>421</v>
      </c>
      <c r="B422" t="s">
        <v>285</v>
      </c>
      <c r="C422">
        <v>2021</v>
      </c>
      <c r="D422" t="s">
        <v>20</v>
      </c>
      <c r="E422">
        <v>1</v>
      </c>
      <c r="F422" t="s">
        <v>53</v>
      </c>
      <c r="G422" t="s">
        <v>42</v>
      </c>
      <c r="H422">
        <v>39.15</v>
      </c>
      <c r="I422" t="s">
        <v>23</v>
      </c>
      <c r="J422">
        <v>2</v>
      </c>
      <c r="K422">
        <v>474</v>
      </c>
      <c r="L422">
        <v>78.239999999999995</v>
      </c>
      <c r="M422">
        <v>7.66</v>
      </c>
      <c r="N422">
        <v>4.7300000000000004</v>
      </c>
      <c r="O422">
        <v>5.34</v>
      </c>
      <c r="P422">
        <v>175.91</v>
      </c>
      <c r="Q422">
        <v>616</v>
      </c>
      <c r="R422">
        <v>4</v>
      </c>
      <c r="S422">
        <v>237</v>
      </c>
    </row>
    <row r="423" spans="1:19" x14ac:dyDescent="0.3">
      <c r="A423">
        <v>422</v>
      </c>
      <c r="B423" t="s">
        <v>295</v>
      </c>
      <c r="C423">
        <v>2021</v>
      </c>
      <c r="D423" t="s">
        <v>20</v>
      </c>
      <c r="E423">
        <v>1</v>
      </c>
      <c r="F423" t="s">
        <v>31</v>
      </c>
      <c r="G423" t="s">
        <v>35</v>
      </c>
      <c r="H423">
        <v>23.05</v>
      </c>
      <c r="I423" t="s">
        <v>47</v>
      </c>
      <c r="J423">
        <v>21</v>
      </c>
      <c r="K423">
        <v>212</v>
      </c>
      <c r="L423">
        <v>84.95</v>
      </c>
      <c r="M423">
        <v>20.75</v>
      </c>
      <c r="N423">
        <v>20.55</v>
      </c>
      <c r="O423">
        <v>5.23</v>
      </c>
      <c r="P423">
        <v>456.56</v>
      </c>
      <c r="Q423">
        <v>242</v>
      </c>
      <c r="R423">
        <v>3</v>
      </c>
      <c r="S423">
        <v>177</v>
      </c>
    </row>
    <row r="424" spans="1:19" x14ac:dyDescent="0.3">
      <c r="A424">
        <v>423</v>
      </c>
      <c r="B424" t="s">
        <v>289</v>
      </c>
      <c r="C424">
        <v>2021</v>
      </c>
      <c r="D424" t="s">
        <v>20</v>
      </c>
      <c r="E424">
        <v>1</v>
      </c>
      <c r="F424" t="s">
        <v>31</v>
      </c>
      <c r="G424" t="s">
        <v>22</v>
      </c>
      <c r="H424">
        <v>18.57</v>
      </c>
      <c r="I424" t="s">
        <v>38</v>
      </c>
      <c r="J424">
        <v>4</v>
      </c>
      <c r="K424">
        <v>139</v>
      </c>
      <c r="L424">
        <v>93.21</v>
      </c>
      <c r="M424">
        <v>30.79</v>
      </c>
      <c r="N424">
        <v>2.77</v>
      </c>
      <c r="O424">
        <v>2.58</v>
      </c>
      <c r="P424">
        <v>477.66</v>
      </c>
      <c r="Q424">
        <v>1004</v>
      </c>
      <c r="R424">
        <v>4</v>
      </c>
      <c r="S424">
        <v>54</v>
      </c>
    </row>
    <row r="425" spans="1:19" x14ac:dyDescent="0.3">
      <c r="A425">
        <v>424</v>
      </c>
      <c r="B425" t="s">
        <v>296</v>
      </c>
      <c r="C425">
        <v>2021</v>
      </c>
      <c r="D425" t="s">
        <v>20</v>
      </c>
      <c r="E425">
        <v>1</v>
      </c>
      <c r="F425" t="s">
        <v>25</v>
      </c>
      <c r="G425" t="s">
        <v>35</v>
      </c>
      <c r="H425">
        <v>40.880000000000003</v>
      </c>
      <c r="I425" t="s">
        <v>38</v>
      </c>
      <c r="J425">
        <v>20</v>
      </c>
      <c r="K425">
        <v>225</v>
      </c>
      <c r="L425">
        <v>89.05</v>
      </c>
      <c r="M425">
        <v>12.35</v>
      </c>
      <c r="N425">
        <v>5</v>
      </c>
      <c r="O425">
        <v>7.99</v>
      </c>
      <c r="P425">
        <v>135.13</v>
      </c>
      <c r="Q425">
        <v>848</v>
      </c>
      <c r="R425">
        <v>5</v>
      </c>
      <c r="S425">
        <v>181</v>
      </c>
    </row>
    <row r="426" spans="1:19" x14ac:dyDescent="0.3">
      <c r="A426">
        <v>425</v>
      </c>
      <c r="B426" t="s">
        <v>297</v>
      </c>
      <c r="C426">
        <v>2021</v>
      </c>
      <c r="D426" t="s">
        <v>20</v>
      </c>
      <c r="E426">
        <v>1</v>
      </c>
      <c r="F426" t="s">
        <v>21</v>
      </c>
      <c r="G426" t="s">
        <v>35</v>
      </c>
      <c r="H426">
        <v>13.19</v>
      </c>
      <c r="I426" t="s">
        <v>23</v>
      </c>
      <c r="J426">
        <v>6</v>
      </c>
      <c r="K426">
        <v>251</v>
      </c>
      <c r="L426">
        <v>92.9</v>
      </c>
      <c r="M426">
        <v>21.41</v>
      </c>
      <c r="N426">
        <v>18.059999999999999</v>
      </c>
      <c r="O426">
        <v>14.09</v>
      </c>
      <c r="P426">
        <v>349.03</v>
      </c>
      <c r="Q426">
        <v>945</v>
      </c>
      <c r="R426">
        <v>1</v>
      </c>
      <c r="S426">
        <v>172</v>
      </c>
    </row>
    <row r="427" spans="1:19" x14ac:dyDescent="0.3">
      <c r="A427">
        <v>426</v>
      </c>
      <c r="B427" t="s">
        <v>286</v>
      </c>
      <c r="C427">
        <v>2021</v>
      </c>
      <c r="D427" t="s">
        <v>20</v>
      </c>
      <c r="E427">
        <v>1</v>
      </c>
      <c r="F427" t="s">
        <v>25</v>
      </c>
      <c r="G427" t="s">
        <v>22</v>
      </c>
      <c r="H427">
        <v>51.64</v>
      </c>
      <c r="I427" t="s">
        <v>38</v>
      </c>
      <c r="J427">
        <v>41</v>
      </c>
      <c r="K427">
        <v>382</v>
      </c>
      <c r="L427">
        <v>83.05</v>
      </c>
      <c r="M427">
        <v>25.37</v>
      </c>
      <c r="N427">
        <v>15.41</v>
      </c>
      <c r="O427">
        <v>4.17</v>
      </c>
      <c r="P427">
        <v>244.3</v>
      </c>
      <c r="Q427">
        <v>799</v>
      </c>
      <c r="R427">
        <v>2</v>
      </c>
      <c r="S427">
        <v>249</v>
      </c>
    </row>
    <row r="428" spans="1:19" x14ac:dyDescent="0.3">
      <c r="A428">
        <v>427</v>
      </c>
      <c r="B428" t="s">
        <v>298</v>
      </c>
      <c r="C428">
        <v>2021</v>
      </c>
      <c r="D428" t="s">
        <v>20</v>
      </c>
      <c r="E428">
        <v>1</v>
      </c>
      <c r="F428" t="s">
        <v>34</v>
      </c>
      <c r="G428" t="s">
        <v>22</v>
      </c>
      <c r="H428">
        <v>39.53</v>
      </c>
      <c r="I428" t="s">
        <v>23</v>
      </c>
      <c r="J428">
        <v>18</v>
      </c>
      <c r="K428">
        <v>300</v>
      </c>
      <c r="L428">
        <v>87.54</v>
      </c>
      <c r="M428">
        <v>34.69</v>
      </c>
      <c r="N428">
        <v>16.39</v>
      </c>
      <c r="O428">
        <v>14.2</v>
      </c>
      <c r="P428">
        <v>515.01</v>
      </c>
      <c r="Q428">
        <v>748</v>
      </c>
      <c r="R428">
        <v>5</v>
      </c>
      <c r="S428">
        <v>178</v>
      </c>
    </row>
    <row r="429" spans="1:19" x14ac:dyDescent="0.3">
      <c r="A429">
        <v>428</v>
      </c>
      <c r="B429" t="s">
        <v>299</v>
      </c>
      <c r="C429">
        <v>2021</v>
      </c>
      <c r="D429" t="s">
        <v>20</v>
      </c>
      <c r="E429">
        <v>1</v>
      </c>
      <c r="F429" t="s">
        <v>31</v>
      </c>
      <c r="G429" t="s">
        <v>22</v>
      </c>
      <c r="H429">
        <v>19.25</v>
      </c>
      <c r="I429" t="s">
        <v>32</v>
      </c>
      <c r="J429">
        <v>27</v>
      </c>
      <c r="K429">
        <v>423</v>
      </c>
      <c r="L429">
        <v>94.59</v>
      </c>
      <c r="M429">
        <v>25.14</v>
      </c>
      <c r="N429">
        <v>8.08</v>
      </c>
      <c r="O429">
        <v>9.73</v>
      </c>
      <c r="P429">
        <v>227.6</v>
      </c>
      <c r="Q429">
        <v>428</v>
      </c>
      <c r="R429">
        <v>5</v>
      </c>
      <c r="S429">
        <v>144</v>
      </c>
    </row>
    <row r="430" spans="1:19" x14ac:dyDescent="0.3">
      <c r="A430">
        <v>429</v>
      </c>
      <c r="B430" t="s">
        <v>288</v>
      </c>
      <c r="C430">
        <v>2021</v>
      </c>
      <c r="D430" t="s">
        <v>20</v>
      </c>
      <c r="E430">
        <v>1</v>
      </c>
      <c r="F430" t="s">
        <v>31</v>
      </c>
      <c r="G430" t="s">
        <v>35</v>
      </c>
      <c r="H430">
        <v>31.75</v>
      </c>
      <c r="I430" t="s">
        <v>27</v>
      </c>
      <c r="J430">
        <v>27</v>
      </c>
      <c r="K430">
        <v>587</v>
      </c>
      <c r="L430">
        <v>85.8</v>
      </c>
      <c r="M430">
        <v>11</v>
      </c>
      <c r="N430">
        <v>9.32</v>
      </c>
      <c r="O430">
        <v>1.41</v>
      </c>
      <c r="P430">
        <v>598.63</v>
      </c>
      <c r="Q430">
        <v>348</v>
      </c>
      <c r="R430">
        <v>1</v>
      </c>
      <c r="S430">
        <v>123</v>
      </c>
    </row>
    <row r="431" spans="1:19" x14ac:dyDescent="0.3">
      <c r="A431">
        <v>430</v>
      </c>
      <c r="B431" t="s">
        <v>288</v>
      </c>
      <c r="C431">
        <v>2021</v>
      </c>
      <c r="D431" t="s">
        <v>20</v>
      </c>
      <c r="E431">
        <v>1</v>
      </c>
      <c r="F431" t="s">
        <v>53</v>
      </c>
      <c r="G431" t="s">
        <v>35</v>
      </c>
      <c r="H431">
        <v>34.450000000000003</v>
      </c>
      <c r="I431" t="s">
        <v>47</v>
      </c>
      <c r="J431">
        <v>10</v>
      </c>
      <c r="K431">
        <v>357</v>
      </c>
      <c r="L431">
        <v>90.71</v>
      </c>
      <c r="M431">
        <v>26.86</v>
      </c>
      <c r="N431">
        <v>18.62</v>
      </c>
      <c r="O431">
        <v>10.93</v>
      </c>
      <c r="P431">
        <v>249.53</v>
      </c>
      <c r="Q431">
        <v>639</v>
      </c>
      <c r="R431">
        <v>5</v>
      </c>
      <c r="S431">
        <v>204</v>
      </c>
    </row>
    <row r="432" spans="1:19" x14ac:dyDescent="0.3">
      <c r="A432">
        <v>431</v>
      </c>
      <c r="B432" t="s">
        <v>296</v>
      </c>
      <c r="C432">
        <v>2021</v>
      </c>
      <c r="D432" t="s">
        <v>20</v>
      </c>
      <c r="E432">
        <v>1</v>
      </c>
      <c r="F432" t="s">
        <v>31</v>
      </c>
      <c r="G432" t="s">
        <v>26</v>
      </c>
      <c r="H432">
        <v>10.5</v>
      </c>
      <c r="I432" t="s">
        <v>23</v>
      </c>
      <c r="J432">
        <v>40</v>
      </c>
      <c r="K432">
        <v>376</v>
      </c>
      <c r="L432">
        <v>89.81</v>
      </c>
      <c r="M432">
        <v>18.59</v>
      </c>
      <c r="N432">
        <v>15.72</v>
      </c>
      <c r="O432">
        <v>15.29</v>
      </c>
      <c r="P432">
        <v>107.72</v>
      </c>
      <c r="Q432">
        <v>533</v>
      </c>
      <c r="R432">
        <v>2</v>
      </c>
      <c r="S432">
        <v>246</v>
      </c>
    </row>
    <row r="433" spans="1:19" x14ac:dyDescent="0.3">
      <c r="A433">
        <v>432</v>
      </c>
      <c r="B433" t="s">
        <v>293</v>
      </c>
      <c r="C433">
        <v>2021</v>
      </c>
      <c r="D433" t="s">
        <v>20</v>
      </c>
      <c r="E433">
        <v>1</v>
      </c>
      <c r="F433" t="s">
        <v>31</v>
      </c>
      <c r="G433" t="s">
        <v>42</v>
      </c>
      <c r="H433">
        <v>15.67</v>
      </c>
      <c r="I433" t="s">
        <v>32</v>
      </c>
      <c r="J433">
        <v>49</v>
      </c>
      <c r="K433">
        <v>215</v>
      </c>
      <c r="L433">
        <v>91.9</v>
      </c>
      <c r="M433">
        <v>32.71</v>
      </c>
      <c r="N433">
        <v>4.03</v>
      </c>
      <c r="O433">
        <v>4.2</v>
      </c>
      <c r="P433">
        <v>500.86</v>
      </c>
      <c r="Q433">
        <v>401</v>
      </c>
      <c r="R433">
        <v>1</v>
      </c>
      <c r="S433">
        <v>51</v>
      </c>
    </row>
    <row r="434" spans="1:19" x14ac:dyDescent="0.3">
      <c r="A434">
        <v>433</v>
      </c>
      <c r="B434" t="s">
        <v>300</v>
      </c>
      <c r="C434">
        <v>2021</v>
      </c>
      <c r="D434" t="s">
        <v>20</v>
      </c>
      <c r="E434">
        <v>1</v>
      </c>
      <c r="F434" t="s">
        <v>34</v>
      </c>
      <c r="G434" t="s">
        <v>35</v>
      </c>
      <c r="H434">
        <v>38.35</v>
      </c>
      <c r="I434" t="s">
        <v>27</v>
      </c>
      <c r="J434">
        <v>17</v>
      </c>
      <c r="K434">
        <v>264</v>
      </c>
      <c r="L434">
        <v>76.75</v>
      </c>
      <c r="M434">
        <v>25.5</v>
      </c>
      <c r="N434">
        <v>15.03</v>
      </c>
      <c r="O434">
        <v>12.69</v>
      </c>
      <c r="P434">
        <v>262.62</v>
      </c>
      <c r="Q434">
        <v>113</v>
      </c>
      <c r="R434">
        <v>1</v>
      </c>
      <c r="S434">
        <v>67</v>
      </c>
    </row>
    <row r="435" spans="1:19" x14ac:dyDescent="0.3">
      <c r="A435">
        <v>434</v>
      </c>
      <c r="B435" t="s">
        <v>288</v>
      </c>
      <c r="C435">
        <v>2021</v>
      </c>
      <c r="D435" t="s">
        <v>20</v>
      </c>
      <c r="E435">
        <v>1</v>
      </c>
      <c r="F435" t="s">
        <v>62</v>
      </c>
      <c r="G435" t="s">
        <v>40</v>
      </c>
      <c r="H435">
        <v>48.44</v>
      </c>
      <c r="I435" t="s">
        <v>27</v>
      </c>
      <c r="J435">
        <v>18</v>
      </c>
      <c r="K435">
        <v>228</v>
      </c>
      <c r="L435">
        <v>86.9</v>
      </c>
      <c r="M435">
        <v>5.27</v>
      </c>
      <c r="N435">
        <v>4.88</v>
      </c>
      <c r="O435">
        <v>6.18</v>
      </c>
      <c r="P435">
        <v>338.24</v>
      </c>
      <c r="Q435">
        <v>321</v>
      </c>
      <c r="R435">
        <v>4</v>
      </c>
      <c r="S435">
        <v>173</v>
      </c>
    </row>
    <row r="436" spans="1:19" x14ac:dyDescent="0.3">
      <c r="A436">
        <v>435</v>
      </c>
      <c r="B436" t="s">
        <v>300</v>
      </c>
      <c r="C436">
        <v>2021</v>
      </c>
      <c r="D436" t="s">
        <v>20</v>
      </c>
      <c r="E436">
        <v>1</v>
      </c>
      <c r="F436" t="s">
        <v>25</v>
      </c>
      <c r="G436" t="s">
        <v>35</v>
      </c>
      <c r="H436">
        <v>22.33</v>
      </c>
      <c r="I436" t="s">
        <v>47</v>
      </c>
      <c r="J436">
        <v>49</v>
      </c>
      <c r="K436">
        <v>413</v>
      </c>
      <c r="L436">
        <v>87.21</v>
      </c>
      <c r="M436">
        <v>16.07</v>
      </c>
      <c r="N436">
        <v>16.48</v>
      </c>
      <c r="O436">
        <v>13.18</v>
      </c>
      <c r="P436">
        <v>363.19</v>
      </c>
      <c r="Q436">
        <v>245</v>
      </c>
      <c r="R436">
        <v>4</v>
      </c>
      <c r="S436">
        <v>221</v>
      </c>
    </row>
    <row r="437" spans="1:19" x14ac:dyDescent="0.3">
      <c r="A437">
        <v>436</v>
      </c>
      <c r="B437" t="s">
        <v>289</v>
      </c>
      <c r="C437">
        <v>2021</v>
      </c>
      <c r="D437" t="s">
        <v>20</v>
      </c>
      <c r="E437">
        <v>1</v>
      </c>
      <c r="F437" t="s">
        <v>37</v>
      </c>
      <c r="G437" t="s">
        <v>42</v>
      </c>
      <c r="H437">
        <v>33.229999999999997</v>
      </c>
      <c r="I437" t="s">
        <v>47</v>
      </c>
      <c r="J437">
        <v>9</v>
      </c>
      <c r="K437">
        <v>510</v>
      </c>
      <c r="L437">
        <v>83.84</v>
      </c>
      <c r="M437">
        <v>15.24</v>
      </c>
      <c r="N437">
        <v>20.72</v>
      </c>
      <c r="O437">
        <v>3.14</v>
      </c>
      <c r="P437">
        <v>531.87</v>
      </c>
      <c r="Q437">
        <v>125</v>
      </c>
      <c r="R437">
        <v>2</v>
      </c>
      <c r="S437">
        <v>145</v>
      </c>
    </row>
    <row r="438" spans="1:19" x14ac:dyDescent="0.3">
      <c r="A438">
        <v>437</v>
      </c>
      <c r="B438" t="s">
        <v>292</v>
      </c>
      <c r="C438">
        <v>2021</v>
      </c>
      <c r="D438" t="s">
        <v>20</v>
      </c>
      <c r="E438">
        <v>1</v>
      </c>
      <c r="F438" t="s">
        <v>25</v>
      </c>
      <c r="G438" t="s">
        <v>40</v>
      </c>
      <c r="H438">
        <v>14.04</v>
      </c>
      <c r="I438" t="s">
        <v>32</v>
      </c>
      <c r="J438">
        <v>34</v>
      </c>
      <c r="K438">
        <v>148</v>
      </c>
      <c r="L438">
        <v>81.25</v>
      </c>
      <c r="M438">
        <v>17.57</v>
      </c>
      <c r="N438">
        <v>10.3</v>
      </c>
      <c r="O438">
        <v>5.03</v>
      </c>
      <c r="P438">
        <v>235.95</v>
      </c>
      <c r="Q438">
        <v>273</v>
      </c>
      <c r="R438">
        <v>2</v>
      </c>
      <c r="S438">
        <v>247</v>
      </c>
    </row>
    <row r="439" spans="1:19" x14ac:dyDescent="0.3">
      <c r="A439">
        <v>438</v>
      </c>
      <c r="B439" t="s">
        <v>301</v>
      </c>
      <c r="C439">
        <v>2021</v>
      </c>
      <c r="D439" t="s">
        <v>20</v>
      </c>
      <c r="E439">
        <v>1</v>
      </c>
      <c r="F439" t="s">
        <v>25</v>
      </c>
      <c r="G439" t="s">
        <v>35</v>
      </c>
      <c r="H439">
        <v>8.2799999999999994</v>
      </c>
      <c r="I439" t="s">
        <v>27</v>
      </c>
      <c r="J439">
        <v>15</v>
      </c>
      <c r="K439">
        <v>315</v>
      </c>
      <c r="L439">
        <v>81.63</v>
      </c>
      <c r="M439">
        <v>17.84</v>
      </c>
      <c r="N439">
        <v>20.29</v>
      </c>
      <c r="O439">
        <v>3.52</v>
      </c>
      <c r="P439">
        <v>303.2</v>
      </c>
      <c r="Q439">
        <v>959</v>
      </c>
      <c r="R439">
        <v>4</v>
      </c>
      <c r="S439">
        <v>141</v>
      </c>
    </row>
    <row r="440" spans="1:19" x14ac:dyDescent="0.3">
      <c r="A440">
        <v>439</v>
      </c>
      <c r="B440" t="s">
        <v>298</v>
      </c>
      <c r="C440">
        <v>2021</v>
      </c>
      <c r="D440" t="s">
        <v>20</v>
      </c>
      <c r="E440">
        <v>1</v>
      </c>
      <c r="F440" t="s">
        <v>62</v>
      </c>
      <c r="G440" t="s">
        <v>40</v>
      </c>
      <c r="H440">
        <v>53.96</v>
      </c>
      <c r="I440" t="s">
        <v>38</v>
      </c>
      <c r="J440">
        <v>14</v>
      </c>
      <c r="K440">
        <v>246</v>
      </c>
      <c r="L440">
        <v>82.26</v>
      </c>
      <c r="M440">
        <v>34.04</v>
      </c>
      <c r="N440">
        <v>11.61</v>
      </c>
      <c r="O440">
        <v>5.09</v>
      </c>
      <c r="P440">
        <v>118.05</v>
      </c>
      <c r="Q440">
        <v>346</v>
      </c>
      <c r="R440">
        <v>2</v>
      </c>
      <c r="S440">
        <v>56</v>
      </c>
    </row>
    <row r="441" spans="1:19" x14ac:dyDescent="0.3">
      <c r="A441">
        <v>440</v>
      </c>
      <c r="B441" t="s">
        <v>302</v>
      </c>
      <c r="C441">
        <v>2021</v>
      </c>
      <c r="D441" t="s">
        <v>20</v>
      </c>
      <c r="E441">
        <v>1</v>
      </c>
      <c r="F441" t="s">
        <v>25</v>
      </c>
      <c r="G441" t="s">
        <v>40</v>
      </c>
      <c r="H441">
        <v>5.35</v>
      </c>
      <c r="I441" t="s">
        <v>38</v>
      </c>
      <c r="J441">
        <v>18</v>
      </c>
      <c r="K441">
        <v>428</v>
      </c>
      <c r="L441">
        <v>80.28</v>
      </c>
      <c r="M441">
        <v>27.28</v>
      </c>
      <c r="N441">
        <v>6.9</v>
      </c>
      <c r="O441">
        <v>14.54</v>
      </c>
      <c r="P441">
        <v>288.26</v>
      </c>
      <c r="Q441">
        <v>748</v>
      </c>
      <c r="R441">
        <v>4</v>
      </c>
      <c r="S441">
        <v>168</v>
      </c>
    </row>
    <row r="442" spans="1:19" x14ac:dyDescent="0.3">
      <c r="A442">
        <v>441</v>
      </c>
      <c r="B442" t="s">
        <v>303</v>
      </c>
      <c r="C442">
        <v>2021</v>
      </c>
      <c r="D442" t="s">
        <v>20</v>
      </c>
      <c r="E442">
        <v>1</v>
      </c>
      <c r="F442" t="s">
        <v>34</v>
      </c>
      <c r="G442" t="s">
        <v>35</v>
      </c>
      <c r="H442">
        <v>50.92</v>
      </c>
      <c r="I442" t="s">
        <v>38</v>
      </c>
      <c r="J442">
        <v>44</v>
      </c>
      <c r="K442">
        <v>554</v>
      </c>
      <c r="L442">
        <v>77.27</v>
      </c>
      <c r="M442">
        <v>21.73</v>
      </c>
      <c r="N442">
        <v>19.989999999999998</v>
      </c>
      <c r="O442">
        <v>10.18</v>
      </c>
      <c r="P442">
        <v>241.65</v>
      </c>
      <c r="Q442">
        <v>781</v>
      </c>
      <c r="R442">
        <v>2</v>
      </c>
      <c r="S442">
        <v>221</v>
      </c>
    </row>
    <row r="443" spans="1:19" x14ac:dyDescent="0.3">
      <c r="A443">
        <v>442</v>
      </c>
      <c r="B443" t="s">
        <v>304</v>
      </c>
      <c r="C443">
        <v>2021</v>
      </c>
      <c r="D443" t="s">
        <v>20</v>
      </c>
      <c r="E443">
        <v>1</v>
      </c>
      <c r="F443" t="s">
        <v>53</v>
      </c>
      <c r="G443" t="s">
        <v>42</v>
      </c>
      <c r="H443">
        <v>23.03</v>
      </c>
      <c r="I443" t="s">
        <v>47</v>
      </c>
      <c r="J443">
        <v>12</v>
      </c>
      <c r="K443">
        <v>286</v>
      </c>
      <c r="L443">
        <v>78.900000000000006</v>
      </c>
      <c r="M443">
        <v>22.09</v>
      </c>
      <c r="N443">
        <v>18.09</v>
      </c>
      <c r="O443">
        <v>15.67</v>
      </c>
      <c r="P443">
        <v>312.73</v>
      </c>
      <c r="Q443">
        <v>150</v>
      </c>
      <c r="R443">
        <v>1</v>
      </c>
      <c r="S443">
        <v>56</v>
      </c>
    </row>
    <row r="444" spans="1:19" x14ac:dyDescent="0.3">
      <c r="A444">
        <v>443</v>
      </c>
      <c r="B444" t="s">
        <v>305</v>
      </c>
      <c r="C444">
        <v>2021</v>
      </c>
      <c r="D444" t="s">
        <v>20</v>
      </c>
      <c r="E444">
        <v>2</v>
      </c>
      <c r="F444" t="s">
        <v>29</v>
      </c>
      <c r="G444" t="s">
        <v>40</v>
      </c>
      <c r="H444">
        <v>7.53</v>
      </c>
      <c r="I444" t="s">
        <v>32</v>
      </c>
      <c r="J444">
        <v>14</v>
      </c>
      <c r="K444">
        <v>384</v>
      </c>
      <c r="L444">
        <v>84.06</v>
      </c>
      <c r="M444">
        <v>26.83</v>
      </c>
      <c r="N444">
        <v>16.43</v>
      </c>
      <c r="O444">
        <v>11.25</v>
      </c>
      <c r="P444">
        <v>502.92</v>
      </c>
      <c r="Q444">
        <v>333</v>
      </c>
      <c r="R444">
        <v>3</v>
      </c>
      <c r="S444">
        <v>154</v>
      </c>
    </row>
    <row r="445" spans="1:19" x14ac:dyDescent="0.3">
      <c r="A445">
        <v>444</v>
      </c>
      <c r="B445" t="s">
        <v>306</v>
      </c>
      <c r="C445">
        <v>2021</v>
      </c>
      <c r="D445" t="s">
        <v>20</v>
      </c>
      <c r="E445">
        <v>2</v>
      </c>
      <c r="F445" t="s">
        <v>37</v>
      </c>
      <c r="G445" t="s">
        <v>40</v>
      </c>
      <c r="H445">
        <v>31.24</v>
      </c>
      <c r="I445" t="s">
        <v>38</v>
      </c>
      <c r="J445">
        <v>25</v>
      </c>
      <c r="K445">
        <v>543</v>
      </c>
      <c r="L445">
        <v>89.86</v>
      </c>
      <c r="M445">
        <v>28.87</v>
      </c>
      <c r="N445">
        <v>4.12</v>
      </c>
      <c r="O445">
        <v>12.1</v>
      </c>
      <c r="P445">
        <v>167.99</v>
      </c>
      <c r="Q445">
        <v>198</v>
      </c>
      <c r="R445">
        <v>3</v>
      </c>
      <c r="S445">
        <v>183</v>
      </c>
    </row>
    <row r="446" spans="1:19" x14ac:dyDescent="0.3">
      <c r="A446">
        <v>445</v>
      </c>
      <c r="B446" t="s">
        <v>307</v>
      </c>
      <c r="C446">
        <v>2021</v>
      </c>
      <c r="D446" t="s">
        <v>20</v>
      </c>
      <c r="E446">
        <v>2</v>
      </c>
      <c r="F446" t="s">
        <v>53</v>
      </c>
      <c r="G446" t="s">
        <v>35</v>
      </c>
      <c r="H446">
        <v>24.66</v>
      </c>
      <c r="I446" t="s">
        <v>32</v>
      </c>
      <c r="J446">
        <v>37</v>
      </c>
      <c r="K446">
        <v>520</v>
      </c>
      <c r="L446">
        <v>76.290000000000006</v>
      </c>
      <c r="M446">
        <v>27.31</v>
      </c>
      <c r="N446">
        <v>2.4700000000000002</v>
      </c>
      <c r="O446">
        <v>14.9</v>
      </c>
      <c r="P446">
        <v>532.66</v>
      </c>
      <c r="Q446">
        <v>822</v>
      </c>
      <c r="R446">
        <v>5</v>
      </c>
      <c r="S446">
        <v>213</v>
      </c>
    </row>
    <row r="447" spans="1:19" x14ac:dyDescent="0.3">
      <c r="A447">
        <v>446</v>
      </c>
      <c r="B447" t="s">
        <v>308</v>
      </c>
      <c r="C447">
        <v>2021</v>
      </c>
      <c r="D447" t="s">
        <v>20</v>
      </c>
      <c r="E447">
        <v>2</v>
      </c>
      <c r="F447" t="s">
        <v>34</v>
      </c>
      <c r="G447" t="s">
        <v>42</v>
      </c>
      <c r="H447">
        <v>35.44</v>
      </c>
      <c r="I447" t="s">
        <v>38</v>
      </c>
      <c r="J447">
        <v>18</v>
      </c>
      <c r="K447">
        <v>544</v>
      </c>
      <c r="L447">
        <v>81.34</v>
      </c>
      <c r="M447">
        <v>6.35</v>
      </c>
      <c r="N447">
        <v>21.36</v>
      </c>
      <c r="O447">
        <v>8.31</v>
      </c>
      <c r="P447">
        <v>468.6</v>
      </c>
      <c r="Q447">
        <v>775</v>
      </c>
      <c r="R447">
        <v>4</v>
      </c>
      <c r="S447">
        <v>67</v>
      </c>
    </row>
    <row r="448" spans="1:19" x14ac:dyDescent="0.3">
      <c r="A448">
        <v>447</v>
      </c>
      <c r="B448" t="s">
        <v>309</v>
      </c>
      <c r="C448">
        <v>2021</v>
      </c>
      <c r="D448" t="s">
        <v>20</v>
      </c>
      <c r="E448">
        <v>2</v>
      </c>
      <c r="F448" t="s">
        <v>37</v>
      </c>
      <c r="G448" t="s">
        <v>26</v>
      </c>
      <c r="H448">
        <v>17.100000000000001</v>
      </c>
      <c r="I448" t="s">
        <v>47</v>
      </c>
      <c r="J448">
        <v>13</v>
      </c>
      <c r="K448">
        <v>404</v>
      </c>
      <c r="L448">
        <v>78.45</v>
      </c>
      <c r="M448">
        <v>7.84</v>
      </c>
      <c r="N448">
        <v>9.8800000000000008</v>
      </c>
      <c r="O448">
        <v>7.26</v>
      </c>
      <c r="P448">
        <v>324.05</v>
      </c>
      <c r="Q448">
        <v>315</v>
      </c>
      <c r="R448">
        <v>4</v>
      </c>
      <c r="S448">
        <v>154</v>
      </c>
    </row>
    <row r="449" spans="1:19" x14ac:dyDescent="0.3">
      <c r="A449">
        <v>448</v>
      </c>
      <c r="B449" t="s">
        <v>310</v>
      </c>
      <c r="C449">
        <v>2021</v>
      </c>
      <c r="D449" t="s">
        <v>20</v>
      </c>
      <c r="E449">
        <v>2</v>
      </c>
      <c r="F449" t="s">
        <v>21</v>
      </c>
      <c r="G449" t="s">
        <v>42</v>
      </c>
      <c r="H449">
        <v>30.74</v>
      </c>
      <c r="I449" t="s">
        <v>23</v>
      </c>
      <c r="J449">
        <v>5</v>
      </c>
      <c r="K449">
        <v>215</v>
      </c>
      <c r="L449">
        <v>80.209999999999994</v>
      </c>
      <c r="M449">
        <v>6.05</v>
      </c>
      <c r="N449">
        <v>18.23</v>
      </c>
      <c r="O449">
        <v>12.65</v>
      </c>
      <c r="P449">
        <v>149.87</v>
      </c>
      <c r="Q449">
        <v>944</v>
      </c>
      <c r="R449">
        <v>1</v>
      </c>
      <c r="S449">
        <v>52</v>
      </c>
    </row>
    <row r="450" spans="1:19" x14ac:dyDescent="0.3">
      <c r="A450">
        <v>449</v>
      </c>
      <c r="B450" t="s">
        <v>311</v>
      </c>
      <c r="C450">
        <v>2021</v>
      </c>
      <c r="D450" t="s">
        <v>20</v>
      </c>
      <c r="E450">
        <v>2</v>
      </c>
      <c r="F450" t="s">
        <v>31</v>
      </c>
      <c r="G450" t="s">
        <v>40</v>
      </c>
      <c r="H450">
        <v>51.35</v>
      </c>
      <c r="I450" t="s">
        <v>38</v>
      </c>
      <c r="J450">
        <v>40</v>
      </c>
      <c r="K450">
        <v>257</v>
      </c>
      <c r="L450">
        <v>79.06</v>
      </c>
      <c r="M450">
        <v>23.16</v>
      </c>
      <c r="N450">
        <v>5.33</v>
      </c>
      <c r="O450">
        <v>4.68</v>
      </c>
      <c r="P450">
        <v>530.64</v>
      </c>
      <c r="Q450">
        <v>203</v>
      </c>
      <c r="R450">
        <v>3</v>
      </c>
      <c r="S450">
        <v>234</v>
      </c>
    </row>
    <row r="451" spans="1:19" x14ac:dyDescent="0.3">
      <c r="A451">
        <v>450</v>
      </c>
      <c r="B451" t="s">
        <v>312</v>
      </c>
      <c r="C451">
        <v>2021</v>
      </c>
      <c r="D451" t="s">
        <v>20</v>
      </c>
      <c r="E451">
        <v>2</v>
      </c>
      <c r="F451" t="s">
        <v>62</v>
      </c>
      <c r="G451" t="s">
        <v>22</v>
      </c>
      <c r="H451">
        <v>28.05</v>
      </c>
      <c r="I451" t="s">
        <v>23</v>
      </c>
      <c r="J451">
        <v>26</v>
      </c>
      <c r="K451">
        <v>418</v>
      </c>
      <c r="L451">
        <v>87.18</v>
      </c>
      <c r="M451">
        <v>25.09</v>
      </c>
      <c r="N451">
        <v>6.58</v>
      </c>
      <c r="O451">
        <v>4.68</v>
      </c>
      <c r="P451">
        <v>389.68</v>
      </c>
      <c r="Q451">
        <v>829</v>
      </c>
      <c r="R451">
        <v>4</v>
      </c>
      <c r="S451">
        <v>217</v>
      </c>
    </row>
    <row r="452" spans="1:19" x14ac:dyDescent="0.3">
      <c r="A452">
        <v>451</v>
      </c>
      <c r="B452" t="s">
        <v>313</v>
      </c>
      <c r="C452">
        <v>2021</v>
      </c>
      <c r="D452" t="s">
        <v>20</v>
      </c>
      <c r="E452">
        <v>2</v>
      </c>
      <c r="F452" t="s">
        <v>21</v>
      </c>
      <c r="G452" t="s">
        <v>35</v>
      </c>
      <c r="H452">
        <v>12.89</v>
      </c>
      <c r="I452" t="s">
        <v>23</v>
      </c>
      <c r="J452">
        <v>22</v>
      </c>
      <c r="K452">
        <v>243</v>
      </c>
      <c r="L452">
        <v>91.12</v>
      </c>
      <c r="M452">
        <v>6.35</v>
      </c>
      <c r="N452">
        <v>9.49</v>
      </c>
      <c r="O452">
        <v>3.59</v>
      </c>
      <c r="P452">
        <v>433.58</v>
      </c>
      <c r="Q452">
        <v>984</v>
      </c>
      <c r="R452">
        <v>1</v>
      </c>
      <c r="S452">
        <v>146</v>
      </c>
    </row>
    <row r="453" spans="1:19" x14ac:dyDescent="0.3">
      <c r="A453">
        <v>452</v>
      </c>
      <c r="B453" t="s">
        <v>314</v>
      </c>
      <c r="C453">
        <v>2021</v>
      </c>
      <c r="D453" t="s">
        <v>20</v>
      </c>
      <c r="E453">
        <v>2</v>
      </c>
      <c r="F453" t="s">
        <v>62</v>
      </c>
      <c r="G453" t="s">
        <v>42</v>
      </c>
      <c r="H453">
        <v>17.600000000000001</v>
      </c>
      <c r="I453" t="s">
        <v>23</v>
      </c>
      <c r="J453">
        <v>11</v>
      </c>
      <c r="K453">
        <v>532</v>
      </c>
      <c r="L453">
        <v>92.97</v>
      </c>
      <c r="M453">
        <v>12.25</v>
      </c>
      <c r="N453">
        <v>16.059999999999999</v>
      </c>
      <c r="O453">
        <v>15.24</v>
      </c>
      <c r="P453">
        <v>466.4</v>
      </c>
      <c r="Q453">
        <v>700</v>
      </c>
      <c r="R453">
        <v>2</v>
      </c>
      <c r="S453">
        <v>57</v>
      </c>
    </row>
    <row r="454" spans="1:19" x14ac:dyDescent="0.3">
      <c r="A454">
        <v>453</v>
      </c>
      <c r="B454" t="s">
        <v>311</v>
      </c>
      <c r="C454">
        <v>2021</v>
      </c>
      <c r="D454" t="s">
        <v>20</v>
      </c>
      <c r="E454">
        <v>2</v>
      </c>
      <c r="F454" t="s">
        <v>25</v>
      </c>
      <c r="G454" t="s">
        <v>35</v>
      </c>
      <c r="H454">
        <v>41.3</v>
      </c>
      <c r="I454" t="s">
        <v>27</v>
      </c>
      <c r="J454">
        <v>7</v>
      </c>
      <c r="K454">
        <v>182</v>
      </c>
      <c r="L454">
        <v>84.49</v>
      </c>
      <c r="M454">
        <v>28.19</v>
      </c>
      <c r="N454">
        <v>8.01</v>
      </c>
      <c r="O454">
        <v>8.69</v>
      </c>
      <c r="P454">
        <v>130.52000000000001</v>
      </c>
      <c r="Q454">
        <v>886</v>
      </c>
      <c r="R454">
        <v>5</v>
      </c>
      <c r="S454">
        <v>153</v>
      </c>
    </row>
    <row r="455" spans="1:19" x14ac:dyDescent="0.3">
      <c r="A455">
        <v>454</v>
      </c>
      <c r="B455" t="s">
        <v>311</v>
      </c>
      <c r="C455">
        <v>2021</v>
      </c>
      <c r="D455" t="s">
        <v>20</v>
      </c>
      <c r="E455">
        <v>2</v>
      </c>
      <c r="F455" t="s">
        <v>29</v>
      </c>
      <c r="G455" t="s">
        <v>42</v>
      </c>
      <c r="H455">
        <v>5.36</v>
      </c>
      <c r="I455" t="s">
        <v>23</v>
      </c>
      <c r="J455">
        <v>24</v>
      </c>
      <c r="K455">
        <v>340</v>
      </c>
      <c r="L455">
        <v>89.11</v>
      </c>
      <c r="M455">
        <v>17.13</v>
      </c>
      <c r="N455">
        <v>16.28</v>
      </c>
      <c r="O455">
        <v>1.32</v>
      </c>
      <c r="P455">
        <v>116.24</v>
      </c>
      <c r="Q455">
        <v>1017</v>
      </c>
      <c r="R455">
        <v>5</v>
      </c>
      <c r="S455">
        <v>79</v>
      </c>
    </row>
    <row r="456" spans="1:19" x14ac:dyDescent="0.3">
      <c r="A456">
        <v>455</v>
      </c>
      <c r="B456" t="s">
        <v>315</v>
      </c>
      <c r="C456">
        <v>2021</v>
      </c>
      <c r="D456" t="s">
        <v>20</v>
      </c>
      <c r="E456">
        <v>2</v>
      </c>
      <c r="F456" t="s">
        <v>29</v>
      </c>
      <c r="G456" t="s">
        <v>35</v>
      </c>
      <c r="H456">
        <v>6.52</v>
      </c>
      <c r="I456" t="s">
        <v>47</v>
      </c>
      <c r="J456">
        <v>34</v>
      </c>
      <c r="K456">
        <v>480</v>
      </c>
      <c r="L456">
        <v>83.07</v>
      </c>
      <c r="M456">
        <v>14.04</v>
      </c>
      <c r="N456">
        <v>14.27</v>
      </c>
      <c r="O456">
        <v>2.62</v>
      </c>
      <c r="P456">
        <v>328.91</v>
      </c>
      <c r="Q456">
        <v>186</v>
      </c>
      <c r="R456">
        <v>2</v>
      </c>
      <c r="S456">
        <v>212</v>
      </c>
    </row>
    <row r="457" spans="1:19" x14ac:dyDescent="0.3">
      <c r="A457">
        <v>456</v>
      </c>
      <c r="B457" t="s">
        <v>316</v>
      </c>
      <c r="C457">
        <v>2021</v>
      </c>
      <c r="D457" t="s">
        <v>20</v>
      </c>
      <c r="E457">
        <v>2</v>
      </c>
      <c r="F457" t="s">
        <v>21</v>
      </c>
      <c r="G457" t="s">
        <v>40</v>
      </c>
      <c r="H457">
        <v>9.1199999999999992</v>
      </c>
      <c r="I457" t="s">
        <v>27</v>
      </c>
      <c r="J457">
        <v>24</v>
      </c>
      <c r="K457">
        <v>176</v>
      </c>
      <c r="L457">
        <v>77.84</v>
      </c>
      <c r="M457">
        <v>25.09</v>
      </c>
      <c r="N457">
        <v>2.99</v>
      </c>
      <c r="O457">
        <v>7.98</v>
      </c>
      <c r="P457">
        <v>549.04999999999995</v>
      </c>
      <c r="Q457">
        <v>857</v>
      </c>
      <c r="R457">
        <v>4</v>
      </c>
      <c r="S457">
        <v>193</v>
      </c>
    </row>
    <row r="458" spans="1:19" x14ac:dyDescent="0.3">
      <c r="A458">
        <v>457</v>
      </c>
      <c r="B458" t="s">
        <v>317</v>
      </c>
      <c r="C458">
        <v>2021</v>
      </c>
      <c r="D458" t="s">
        <v>20</v>
      </c>
      <c r="E458">
        <v>2</v>
      </c>
      <c r="F458" t="s">
        <v>34</v>
      </c>
      <c r="G458" t="s">
        <v>22</v>
      </c>
      <c r="H458">
        <v>12.54</v>
      </c>
      <c r="I458" t="s">
        <v>38</v>
      </c>
      <c r="J458">
        <v>1</v>
      </c>
      <c r="K458">
        <v>558</v>
      </c>
      <c r="L458">
        <v>85.46</v>
      </c>
      <c r="M458">
        <v>14.5</v>
      </c>
      <c r="N458">
        <v>15.82</v>
      </c>
      <c r="O458">
        <v>4.9400000000000004</v>
      </c>
      <c r="P458">
        <v>191.75</v>
      </c>
      <c r="Q458">
        <v>912</v>
      </c>
      <c r="R458">
        <v>1</v>
      </c>
      <c r="S458">
        <v>109</v>
      </c>
    </row>
    <row r="459" spans="1:19" x14ac:dyDescent="0.3">
      <c r="A459">
        <v>458</v>
      </c>
      <c r="B459" t="s">
        <v>318</v>
      </c>
      <c r="C459">
        <v>2021</v>
      </c>
      <c r="D459" t="s">
        <v>20</v>
      </c>
      <c r="E459">
        <v>2</v>
      </c>
      <c r="F459" t="s">
        <v>31</v>
      </c>
      <c r="G459" t="s">
        <v>26</v>
      </c>
      <c r="H459">
        <v>53.24</v>
      </c>
      <c r="I459" t="s">
        <v>23</v>
      </c>
      <c r="J459">
        <v>24</v>
      </c>
      <c r="K459">
        <v>289</v>
      </c>
      <c r="L459">
        <v>94.3</v>
      </c>
      <c r="M459">
        <v>9.89</v>
      </c>
      <c r="N459">
        <v>14.34</v>
      </c>
      <c r="O459">
        <v>9.68</v>
      </c>
      <c r="P459">
        <v>390.92</v>
      </c>
      <c r="Q459">
        <v>617</v>
      </c>
      <c r="R459">
        <v>3</v>
      </c>
      <c r="S459">
        <v>121</v>
      </c>
    </row>
    <row r="460" spans="1:19" x14ac:dyDescent="0.3">
      <c r="A460">
        <v>459</v>
      </c>
      <c r="B460" t="s">
        <v>319</v>
      </c>
      <c r="C460">
        <v>2021</v>
      </c>
      <c r="D460" t="s">
        <v>20</v>
      </c>
      <c r="E460">
        <v>2</v>
      </c>
      <c r="F460" t="s">
        <v>25</v>
      </c>
      <c r="G460" t="s">
        <v>26</v>
      </c>
      <c r="H460">
        <v>18.48</v>
      </c>
      <c r="I460" t="s">
        <v>27</v>
      </c>
      <c r="J460">
        <v>9</v>
      </c>
      <c r="K460">
        <v>296</v>
      </c>
      <c r="L460">
        <v>94.29</v>
      </c>
      <c r="M460">
        <v>9.27</v>
      </c>
      <c r="N460">
        <v>8.4600000000000009</v>
      </c>
      <c r="O460">
        <v>7.12</v>
      </c>
      <c r="P460">
        <v>488.38</v>
      </c>
      <c r="Q460">
        <v>820</v>
      </c>
      <c r="R460">
        <v>4</v>
      </c>
      <c r="S460">
        <v>183</v>
      </c>
    </row>
    <row r="461" spans="1:19" x14ac:dyDescent="0.3">
      <c r="A461">
        <v>460</v>
      </c>
      <c r="B461" t="s">
        <v>320</v>
      </c>
      <c r="C461">
        <v>2021</v>
      </c>
      <c r="D461" t="s">
        <v>20</v>
      </c>
      <c r="E461">
        <v>2</v>
      </c>
      <c r="F461" t="s">
        <v>29</v>
      </c>
      <c r="G461" t="s">
        <v>42</v>
      </c>
      <c r="H461">
        <v>7.73</v>
      </c>
      <c r="I461" t="s">
        <v>27</v>
      </c>
      <c r="J461">
        <v>18</v>
      </c>
      <c r="K461">
        <v>393</v>
      </c>
      <c r="L461">
        <v>80.48</v>
      </c>
      <c r="M461">
        <v>13.61</v>
      </c>
      <c r="N461">
        <v>19.329999999999998</v>
      </c>
      <c r="O461">
        <v>3.95</v>
      </c>
      <c r="P461">
        <v>472.64</v>
      </c>
      <c r="Q461">
        <v>515</v>
      </c>
      <c r="R461">
        <v>5</v>
      </c>
      <c r="S461">
        <v>130</v>
      </c>
    </row>
    <row r="462" spans="1:19" x14ac:dyDescent="0.3">
      <c r="A462">
        <v>461</v>
      </c>
      <c r="B462" t="s">
        <v>321</v>
      </c>
      <c r="C462">
        <v>2021</v>
      </c>
      <c r="D462" t="s">
        <v>20</v>
      </c>
      <c r="E462">
        <v>2</v>
      </c>
      <c r="F462" t="s">
        <v>37</v>
      </c>
      <c r="G462" t="s">
        <v>26</v>
      </c>
      <c r="H462">
        <v>10.28</v>
      </c>
      <c r="I462" t="s">
        <v>47</v>
      </c>
      <c r="J462">
        <v>33</v>
      </c>
      <c r="K462">
        <v>191</v>
      </c>
      <c r="L462">
        <v>85.16</v>
      </c>
      <c r="M462">
        <v>17.73</v>
      </c>
      <c r="N462">
        <v>18.670000000000002</v>
      </c>
      <c r="O462">
        <v>8.25</v>
      </c>
      <c r="P462">
        <v>497.11</v>
      </c>
      <c r="Q462">
        <v>230</v>
      </c>
      <c r="R462">
        <v>1</v>
      </c>
      <c r="S462">
        <v>163</v>
      </c>
    </row>
    <row r="463" spans="1:19" x14ac:dyDescent="0.3">
      <c r="A463">
        <v>462</v>
      </c>
      <c r="B463" t="s">
        <v>322</v>
      </c>
      <c r="C463">
        <v>2021</v>
      </c>
      <c r="D463" t="s">
        <v>20</v>
      </c>
      <c r="E463">
        <v>2</v>
      </c>
      <c r="F463" t="s">
        <v>53</v>
      </c>
      <c r="G463" t="s">
        <v>22</v>
      </c>
      <c r="H463">
        <v>33.85</v>
      </c>
      <c r="I463" t="s">
        <v>23</v>
      </c>
      <c r="J463">
        <v>2</v>
      </c>
      <c r="K463">
        <v>469</v>
      </c>
      <c r="L463">
        <v>93.13</v>
      </c>
      <c r="M463">
        <v>23.85</v>
      </c>
      <c r="N463">
        <v>16.18</v>
      </c>
      <c r="O463">
        <v>8.48</v>
      </c>
      <c r="P463">
        <v>100.49</v>
      </c>
      <c r="Q463">
        <v>915</v>
      </c>
      <c r="R463">
        <v>5</v>
      </c>
      <c r="S463">
        <v>92</v>
      </c>
    </row>
    <row r="464" spans="1:19" x14ac:dyDescent="0.3">
      <c r="A464">
        <v>463</v>
      </c>
      <c r="B464" t="s">
        <v>310</v>
      </c>
      <c r="C464">
        <v>2021</v>
      </c>
      <c r="D464" t="s">
        <v>20</v>
      </c>
      <c r="E464">
        <v>2</v>
      </c>
      <c r="F464" t="s">
        <v>37</v>
      </c>
      <c r="G464" t="s">
        <v>22</v>
      </c>
      <c r="H464">
        <v>54.74</v>
      </c>
      <c r="I464" t="s">
        <v>32</v>
      </c>
      <c r="J464">
        <v>50</v>
      </c>
      <c r="K464">
        <v>369</v>
      </c>
      <c r="L464">
        <v>78.55</v>
      </c>
      <c r="M464">
        <v>7.22</v>
      </c>
      <c r="N464">
        <v>13.8</v>
      </c>
      <c r="O464">
        <v>1.83</v>
      </c>
      <c r="P464">
        <v>315.17</v>
      </c>
      <c r="Q464">
        <v>599</v>
      </c>
      <c r="R464">
        <v>5</v>
      </c>
      <c r="S464">
        <v>214</v>
      </c>
    </row>
    <row r="465" spans="1:19" x14ac:dyDescent="0.3">
      <c r="A465">
        <v>464</v>
      </c>
      <c r="B465" t="s">
        <v>323</v>
      </c>
      <c r="C465">
        <v>2021</v>
      </c>
      <c r="D465" t="s">
        <v>20</v>
      </c>
      <c r="E465">
        <v>2</v>
      </c>
      <c r="F465" t="s">
        <v>37</v>
      </c>
      <c r="G465" t="s">
        <v>22</v>
      </c>
      <c r="H465">
        <v>20.61</v>
      </c>
      <c r="I465" t="s">
        <v>47</v>
      </c>
      <c r="J465">
        <v>12</v>
      </c>
      <c r="K465">
        <v>501</v>
      </c>
      <c r="L465">
        <v>83.08</v>
      </c>
      <c r="M465">
        <v>19.05</v>
      </c>
      <c r="N465">
        <v>4.91</v>
      </c>
      <c r="O465">
        <v>7.11</v>
      </c>
      <c r="P465">
        <v>517.13</v>
      </c>
      <c r="Q465">
        <v>891</v>
      </c>
      <c r="R465">
        <v>1</v>
      </c>
      <c r="S465">
        <v>141</v>
      </c>
    </row>
    <row r="466" spans="1:19" x14ac:dyDescent="0.3">
      <c r="A466">
        <v>465</v>
      </c>
      <c r="B466" t="s">
        <v>310</v>
      </c>
      <c r="C466">
        <v>2021</v>
      </c>
      <c r="D466" t="s">
        <v>20</v>
      </c>
      <c r="E466">
        <v>2</v>
      </c>
      <c r="F466" t="s">
        <v>21</v>
      </c>
      <c r="G466" t="s">
        <v>26</v>
      </c>
      <c r="H466">
        <v>13.41</v>
      </c>
      <c r="I466" t="s">
        <v>27</v>
      </c>
      <c r="J466">
        <v>8</v>
      </c>
      <c r="K466">
        <v>349</v>
      </c>
      <c r="L466">
        <v>80.680000000000007</v>
      </c>
      <c r="M466">
        <v>10.65</v>
      </c>
      <c r="N466">
        <v>17.59</v>
      </c>
      <c r="O466">
        <v>12.55</v>
      </c>
      <c r="P466">
        <v>498.15</v>
      </c>
      <c r="Q466">
        <v>720</v>
      </c>
      <c r="R466">
        <v>2</v>
      </c>
      <c r="S466">
        <v>159</v>
      </c>
    </row>
    <row r="467" spans="1:19" x14ac:dyDescent="0.3">
      <c r="A467">
        <v>466</v>
      </c>
      <c r="B467" t="s">
        <v>324</v>
      </c>
      <c r="C467">
        <v>2021</v>
      </c>
      <c r="D467" t="s">
        <v>20</v>
      </c>
      <c r="E467">
        <v>2</v>
      </c>
      <c r="F467" t="s">
        <v>29</v>
      </c>
      <c r="G467" t="s">
        <v>35</v>
      </c>
      <c r="H467">
        <v>50.08</v>
      </c>
      <c r="I467" t="s">
        <v>38</v>
      </c>
      <c r="J467">
        <v>7</v>
      </c>
      <c r="K467">
        <v>341</v>
      </c>
      <c r="L467">
        <v>86.86</v>
      </c>
      <c r="M467">
        <v>25.62</v>
      </c>
      <c r="N467">
        <v>8.84</v>
      </c>
      <c r="O467">
        <v>9.89</v>
      </c>
      <c r="P467">
        <v>129.27000000000001</v>
      </c>
      <c r="Q467">
        <v>765</v>
      </c>
      <c r="R467">
        <v>5</v>
      </c>
      <c r="S467">
        <v>248</v>
      </c>
    </row>
    <row r="468" spans="1:19" x14ac:dyDescent="0.3">
      <c r="A468">
        <v>467</v>
      </c>
      <c r="B468" t="s">
        <v>325</v>
      </c>
      <c r="C468">
        <v>2021</v>
      </c>
      <c r="D468" t="s">
        <v>20</v>
      </c>
      <c r="E468">
        <v>2</v>
      </c>
      <c r="F468" t="s">
        <v>37</v>
      </c>
      <c r="G468" t="s">
        <v>35</v>
      </c>
      <c r="H468">
        <v>53.39</v>
      </c>
      <c r="I468" t="s">
        <v>38</v>
      </c>
      <c r="J468">
        <v>17</v>
      </c>
      <c r="K468">
        <v>554</v>
      </c>
      <c r="L468">
        <v>89.68</v>
      </c>
      <c r="M468">
        <v>29.91</v>
      </c>
      <c r="N468">
        <v>15.11</v>
      </c>
      <c r="O468">
        <v>3.61</v>
      </c>
      <c r="P468">
        <v>153.94</v>
      </c>
      <c r="Q468">
        <v>1020</v>
      </c>
      <c r="R468">
        <v>4</v>
      </c>
      <c r="S468">
        <v>169</v>
      </c>
    </row>
    <row r="469" spans="1:19" x14ac:dyDescent="0.3">
      <c r="A469">
        <v>468</v>
      </c>
      <c r="B469" t="s">
        <v>322</v>
      </c>
      <c r="C469">
        <v>2021</v>
      </c>
      <c r="D469" t="s">
        <v>20</v>
      </c>
      <c r="E469">
        <v>2</v>
      </c>
      <c r="F469" t="s">
        <v>25</v>
      </c>
      <c r="G469" t="s">
        <v>35</v>
      </c>
      <c r="H469">
        <v>48.21</v>
      </c>
      <c r="I469" t="s">
        <v>47</v>
      </c>
      <c r="J469">
        <v>24</v>
      </c>
      <c r="K469">
        <v>223</v>
      </c>
      <c r="L469">
        <v>78.12</v>
      </c>
      <c r="M469">
        <v>19.57</v>
      </c>
      <c r="N469">
        <v>7.06</v>
      </c>
      <c r="O469">
        <v>12.65</v>
      </c>
      <c r="P469">
        <v>411.09</v>
      </c>
      <c r="Q469">
        <v>760</v>
      </c>
      <c r="R469">
        <v>3</v>
      </c>
      <c r="S469">
        <v>73</v>
      </c>
    </row>
    <row r="470" spans="1:19" x14ac:dyDescent="0.3">
      <c r="A470">
        <v>469</v>
      </c>
      <c r="B470" t="s">
        <v>323</v>
      </c>
      <c r="C470">
        <v>2021</v>
      </c>
      <c r="D470" t="s">
        <v>20</v>
      </c>
      <c r="E470">
        <v>2</v>
      </c>
      <c r="F470" t="s">
        <v>62</v>
      </c>
      <c r="G470" t="s">
        <v>26</v>
      </c>
      <c r="H470">
        <v>24.72</v>
      </c>
      <c r="I470" t="s">
        <v>47</v>
      </c>
      <c r="J470">
        <v>7</v>
      </c>
      <c r="K470">
        <v>261</v>
      </c>
      <c r="L470">
        <v>92.5</v>
      </c>
      <c r="M470">
        <v>25.78</v>
      </c>
      <c r="N470">
        <v>10.35</v>
      </c>
      <c r="O470">
        <v>11.13</v>
      </c>
      <c r="P470">
        <v>594.12</v>
      </c>
      <c r="Q470">
        <v>737</v>
      </c>
      <c r="R470">
        <v>5</v>
      </c>
      <c r="S470">
        <v>191</v>
      </c>
    </row>
    <row r="471" spans="1:19" x14ac:dyDescent="0.3">
      <c r="A471">
        <v>470</v>
      </c>
      <c r="B471" t="s">
        <v>318</v>
      </c>
      <c r="C471">
        <v>2021</v>
      </c>
      <c r="D471" t="s">
        <v>20</v>
      </c>
      <c r="E471">
        <v>2</v>
      </c>
      <c r="F471" t="s">
        <v>25</v>
      </c>
      <c r="G471" t="s">
        <v>22</v>
      </c>
      <c r="H471">
        <v>17.53</v>
      </c>
      <c r="I471" t="s">
        <v>23</v>
      </c>
      <c r="J471">
        <v>11</v>
      </c>
      <c r="K471">
        <v>217</v>
      </c>
      <c r="L471">
        <v>91.72</v>
      </c>
      <c r="M471">
        <v>16.010000000000002</v>
      </c>
      <c r="N471">
        <v>17.940000000000001</v>
      </c>
      <c r="O471">
        <v>9.7899999999999991</v>
      </c>
      <c r="P471">
        <v>215.54</v>
      </c>
      <c r="Q471">
        <v>865</v>
      </c>
      <c r="R471">
        <v>1</v>
      </c>
      <c r="S471">
        <v>113</v>
      </c>
    </row>
    <row r="472" spans="1:19" x14ac:dyDescent="0.3">
      <c r="A472">
        <v>471</v>
      </c>
      <c r="B472" t="s">
        <v>326</v>
      </c>
      <c r="C472">
        <v>2021</v>
      </c>
      <c r="D472" t="s">
        <v>20</v>
      </c>
      <c r="E472">
        <v>2</v>
      </c>
      <c r="F472" t="s">
        <v>25</v>
      </c>
      <c r="G472" t="s">
        <v>40</v>
      </c>
      <c r="H472">
        <v>21.22</v>
      </c>
      <c r="I472" t="s">
        <v>38</v>
      </c>
      <c r="J472">
        <v>46</v>
      </c>
      <c r="K472">
        <v>216</v>
      </c>
      <c r="L472">
        <v>90.85</v>
      </c>
      <c r="M472">
        <v>33.96</v>
      </c>
      <c r="N472">
        <v>6.75</v>
      </c>
      <c r="O472">
        <v>10.14</v>
      </c>
      <c r="P472">
        <v>577.82000000000005</v>
      </c>
      <c r="Q472">
        <v>1068</v>
      </c>
      <c r="R472">
        <v>2</v>
      </c>
      <c r="S472">
        <v>89</v>
      </c>
    </row>
    <row r="473" spans="1:19" x14ac:dyDescent="0.3">
      <c r="A473">
        <v>472</v>
      </c>
      <c r="B473" t="s">
        <v>316</v>
      </c>
      <c r="C473">
        <v>2021</v>
      </c>
      <c r="D473" t="s">
        <v>20</v>
      </c>
      <c r="E473">
        <v>2</v>
      </c>
      <c r="F473" t="s">
        <v>29</v>
      </c>
      <c r="G473" t="s">
        <v>35</v>
      </c>
      <c r="H473">
        <v>42.35</v>
      </c>
      <c r="I473" t="s">
        <v>23</v>
      </c>
      <c r="J473">
        <v>14</v>
      </c>
      <c r="K473">
        <v>278</v>
      </c>
      <c r="L473">
        <v>90.23</v>
      </c>
      <c r="M473">
        <v>28.51</v>
      </c>
      <c r="N473">
        <v>16.45</v>
      </c>
      <c r="O473">
        <v>7.43</v>
      </c>
      <c r="P473">
        <v>249.34</v>
      </c>
      <c r="Q473">
        <v>455</v>
      </c>
      <c r="R473">
        <v>1</v>
      </c>
      <c r="S473">
        <v>139</v>
      </c>
    </row>
    <row r="474" spans="1:19" x14ac:dyDescent="0.3">
      <c r="A474">
        <v>473</v>
      </c>
      <c r="B474" t="s">
        <v>315</v>
      </c>
      <c r="C474">
        <v>2021</v>
      </c>
      <c r="D474" t="s">
        <v>20</v>
      </c>
      <c r="E474">
        <v>2</v>
      </c>
      <c r="F474" t="s">
        <v>53</v>
      </c>
      <c r="G474" t="s">
        <v>26</v>
      </c>
      <c r="H474">
        <v>37.64</v>
      </c>
      <c r="I474" t="s">
        <v>27</v>
      </c>
      <c r="J474">
        <v>10</v>
      </c>
      <c r="K474">
        <v>103</v>
      </c>
      <c r="L474">
        <v>75.39</v>
      </c>
      <c r="M474">
        <v>17.79</v>
      </c>
      <c r="N474">
        <v>14.64</v>
      </c>
      <c r="O474">
        <v>14.68</v>
      </c>
      <c r="P474">
        <v>337.94</v>
      </c>
      <c r="Q474">
        <v>407</v>
      </c>
      <c r="R474">
        <v>2</v>
      </c>
      <c r="S474">
        <v>178</v>
      </c>
    </row>
    <row r="475" spans="1:19" x14ac:dyDescent="0.3">
      <c r="A475">
        <v>474</v>
      </c>
      <c r="B475" t="s">
        <v>326</v>
      </c>
      <c r="C475">
        <v>2021</v>
      </c>
      <c r="D475" t="s">
        <v>20</v>
      </c>
      <c r="E475">
        <v>2</v>
      </c>
      <c r="F475" t="s">
        <v>37</v>
      </c>
      <c r="G475" t="s">
        <v>35</v>
      </c>
      <c r="H475">
        <v>27.28</v>
      </c>
      <c r="I475" t="s">
        <v>32</v>
      </c>
      <c r="J475">
        <v>40</v>
      </c>
      <c r="K475">
        <v>395</v>
      </c>
      <c r="L475">
        <v>90.81</v>
      </c>
      <c r="M475">
        <v>28.21</v>
      </c>
      <c r="N475">
        <v>6.89</v>
      </c>
      <c r="O475">
        <v>14.88</v>
      </c>
      <c r="P475">
        <v>551.37</v>
      </c>
      <c r="Q475">
        <v>720</v>
      </c>
      <c r="R475">
        <v>2</v>
      </c>
      <c r="S475">
        <v>96</v>
      </c>
    </row>
    <row r="476" spans="1:19" x14ac:dyDescent="0.3">
      <c r="A476">
        <v>475</v>
      </c>
      <c r="B476" t="s">
        <v>314</v>
      </c>
      <c r="C476">
        <v>2021</v>
      </c>
      <c r="D476" t="s">
        <v>20</v>
      </c>
      <c r="E476">
        <v>2</v>
      </c>
      <c r="F476" t="s">
        <v>21</v>
      </c>
      <c r="G476" t="s">
        <v>22</v>
      </c>
      <c r="H476">
        <v>20.65</v>
      </c>
      <c r="I476" t="s">
        <v>27</v>
      </c>
      <c r="J476">
        <v>17</v>
      </c>
      <c r="K476">
        <v>263</v>
      </c>
      <c r="L476">
        <v>85.62</v>
      </c>
      <c r="M476">
        <v>26.93</v>
      </c>
      <c r="N476">
        <v>8.82</v>
      </c>
      <c r="O476">
        <v>2.2999999999999998</v>
      </c>
      <c r="P476">
        <v>308.73</v>
      </c>
      <c r="Q476">
        <v>435</v>
      </c>
      <c r="R476">
        <v>3</v>
      </c>
      <c r="S476">
        <v>142</v>
      </c>
    </row>
    <row r="477" spans="1:19" x14ac:dyDescent="0.3">
      <c r="A477">
        <v>476</v>
      </c>
      <c r="B477" t="s">
        <v>317</v>
      </c>
      <c r="C477">
        <v>2021</v>
      </c>
      <c r="D477" t="s">
        <v>20</v>
      </c>
      <c r="E477">
        <v>2</v>
      </c>
      <c r="F477" t="s">
        <v>31</v>
      </c>
      <c r="G477" t="s">
        <v>42</v>
      </c>
      <c r="H477">
        <v>9.11</v>
      </c>
      <c r="I477" t="s">
        <v>23</v>
      </c>
      <c r="J477">
        <v>27</v>
      </c>
      <c r="K477">
        <v>101</v>
      </c>
      <c r="L477">
        <v>83.71</v>
      </c>
      <c r="M477">
        <v>32.08</v>
      </c>
      <c r="N477">
        <v>8.09</v>
      </c>
      <c r="O477">
        <v>1.46</v>
      </c>
      <c r="P477">
        <v>306.07</v>
      </c>
      <c r="Q477">
        <v>679</v>
      </c>
      <c r="R477">
        <v>4</v>
      </c>
      <c r="S477">
        <v>119</v>
      </c>
    </row>
    <row r="478" spans="1:19" x14ac:dyDescent="0.3">
      <c r="A478">
        <v>477</v>
      </c>
      <c r="B478" t="s">
        <v>327</v>
      </c>
      <c r="C478">
        <v>2021</v>
      </c>
      <c r="D478" t="s">
        <v>20</v>
      </c>
      <c r="E478">
        <v>3</v>
      </c>
      <c r="F478" t="s">
        <v>21</v>
      </c>
      <c r="G478" t="s">
        <v>35</v>
      </c>
      <c r="H478">
        <v>31.88</v>
      </c>
      <c r="I478" t="s">
        <v>27</v>
      </c>
      <c r="J478">
        <v>45</v>
      </c>
      <c r="K478">
        <v>456</v>
      </c>
      <c r="L478">
        <v>85.9</v>
      </c>
      <c r="M478">
        <v>29.52</v>
      </c>
      <c r="N478">
        <v>20.25</v>
      </c>
      <c r="O478">
        <v>14.14</v>
      </c>
      <c r="P478">
        <v>532.13</v>
      </c>
      <c r="Q478">
        <v>240</v>
      </c>
      <c r="R478">
        <v>5</v>
      </c>
      <c r="S478">
        <v>208</v>
      </c>
    </row>
    <row r="479" spans="1:19" x14ac:dyDescent="0.3">
      <c r="A479">
        <v>478</v>
      </c>
      <c r="B479" t="s">
        <v>328</v>
      </c>
      <c r="C479">
        <v>2021</v>
      </c>
      <c r="D479" t="s">
        <v>20</v>
      </c>
      <c r="E479">
        <v>3</v>
      </c>
      <c r="F479" t="s">
        <v>62</v>
      </c>
      <c r="G479" t="s">
        <v>40</v>
      </c>
      <c r="H479">
        <v>27.93</v>
      </c>
      <c r="I479" t="s">
        <v>32</v>
      </c>
      <c r="J479">
        <v>1</v>
      </c>
      <c r="K479">
        <v>475</v>
      </c>
      <c r="L479">
        <v>90.5</v>
      </c>
      <c r="M479">
        <v>9.65</v>
      </c>
      <c r="N479">
        <v>20.55</v>
      </c>
      <c r="O479">
        <v>10.29</v>
      </c>
      <c r="P479">
        <v>153.58000000000001</v>
      </c>
      <c r="Q479">
        <v>798</v>
      </c>
      <c r="R479">
        <v>4</v>
      </c>
      <c r="S479">
        <v>163</v>
      </c>
    </row>
    <row r="480" spans="1:19" x14ac:dyDescent="0.3">
      <c r="A480">
        <v>479</v>
      </c>
      <c r="B480" t="s">
        <v>327</v>
      </c>
      <c r="C480">
        <v>2021</v>
      </c>
      <c r="D480" t="s">
        <v>20</v>
      </c>
      <c r="E480">
        <v>3</v>
      </c>
      <c r="F480" t="s">
        <v>21</v>
      </c>
      <c r="G480" t="s">
        <v>22</v>
      </c>
      <c r="H480">
        <v>17.100000000000001</v>
      </c>
      <c r="I480" t="s">
        <v>27</v>
      </c>
      <c r="J480">
        <v>1</v>
      </c>
      <c r="K480">
        <v>167</v>
      </c>
      <c r="L480">
        <v>80.67</v>
      </c>
      <c r="M480">
        <v>23.04</v>
      </c>
      <c r="N480">
        <v>11.43</v>
      </c>
      <c r="O480">
        <v>1.86</v>
      </c>
      <c r="P480">
        <v>267.61</v>
      </c>
      <c r="Q480">
        <v>1047</v>
      </c>
      <c r="R480">
        <v>5</v>
      </c>
      <c r="S480">
        <v>107</v>
      </c>
    </row>
    <row r="481" spans="1:19" x14ac:dyDescent="0.3">
      <c r="A481">
        <v>480</v>
      </c>
      <c r="B481" t="s">
        <v>329</v>
      </c>
      <c r="C481">
        <v>2021</v>
      </c>
      <c r="D481" t="s">
        <v>20</v>
      </c>
      <c r="E481">
        <v>3</v>
      </c>
      <c r="F481" t="s">
        <v>25</v>
      </c>
      <c r="G481" t="s">
        <v>35</v>
      </c>
      <c r="H481">
        <v>31.73</v>
      </c>
      <c r="I481" t="s">
        <v>32</v>
      </c>
      <c r="J481">
        <v>34</v>
      </c>
      <c r="K481">
        <v>493</v>
      </c>
      <c r="L481">
        <v>84.58</v>
      </c>
      <c r="M481">
        <v>32.07</v>
      </c>
      <c r="N481">
        <v>2.63</v>
      </c>
      <c r="O481">
        <v>14.25</v>
      </c>
      <c r="P481">
        <v>467.68</v>
      </c>
      <c r="Q481">
        <v>184</v>
      </c>
      <c r="R481">
        <v>5</v>
      </c>
      <c r="S481">
        <v>150</v>
      </c>
    </row>
    <row r="482" spans="1:19" x14ac:dyDescent="0.3">
      <c r="A482">
        <v>481</v>
      </c>
      <c r="B482" t="s">
        <v>330</v>
      </c>
      <c r="C482">
        <v>2021</v>
      </c>
      <c r="D482" t="s">
        <v>20</v>
      </c>
      <c r="E482">
        <v>3</v>
      </c>
      <c r="F482" t="s">
        <v>21</v>
      </c>
      <c r="G482" t="s">
        <v>35</v>
      </c>
      <c r="H482">
        <v>39.06</v>
      </c>
      <c r="I482" t="s">
        <v>23</v>
      </c>
      <c r="J482">
        <v>30</v>
      </c>
      <c r="K482">
        <v>515</v>
      </c>
      <c r="L482">
        <v>89.88</v>
      </c>
      <c r="M482">
        <v>17.510000000000002</v>
      </c>
      <c r="N482">
        <v>17.5</v>
      </c>
      <c r="O482">
        <v>5.38</v>
      </c>
      <c r="P482">
        <v>494.65</v>
      </c>
      <c r="Q482">
        <v>313</v>
      </c>
      <c r="R482">
        <v>5</v>
      </c>
      <c r="S482">
        <v>141</v>
      </c>
    </row>
    <row r="483" spans="1:19" x14ac:dyDescent="0.3">
      <c r="A483">
        <v>482</v>
      </c>
      <c r="B483" t="s">
        <v>331</v>
      </c>
      <c r="C483">
        <v>2021</v>
      </c>
      <c r="D483" t="s">
        <v>20</v>
      </c>
      <c r="E483">
        <v>3</v>
      </c>
      <c r="F483" t="s">
        <v>34</v>
      </c>
      <c r="G483" t="s">
        <v>26</v>
      </c>
      <c r="H483">
        <v>6.69</v>
      </c>
      <c r="I483" t="s">
        <v>38</v>
      </c>
      <c r="J483">
        <v>3</v>
      </c>
      <c r="K483">
        <v>412</v>
      </c>
      <c r="L483">
        <v>92.22</v>
      </c>
      <c r="M483">
        <v>10.98</v>
      </c>
      <c r="N483">
        <v>10.09</v>
      </c>
      <c r="O483">
        <v>13.45</v>
      </c>
      <c r="P483">
        <v>570.21</v>
      </c>
      <c r="Q483">
        <v>825</v>
      </c>
      <c r="R483">
        <v>1</v>
      </c>
      <c r="S483">
        <v>200</v>
      </c>
    </row>
    <row r="484" spans="1:19" x14ac:dyDescent="0.3">
      <c r="A484">
        <v>483</v>
      </c>
      <c r="B484" t="s">
        <v>332</v>
      </c>
      <c r="C484">
        <v>2021</v>
      </c>
      <c r="D484" t="s">
        <v>20</v>
      </c>
      <c r="E484">
        <v>3</v>
      </c>
      <c r="F484" t="s">
        <v>25</v>
      </c>
      <c r="G484" t="s">
        <v>35</v>
      </c>
      <c r="H484">
        <v>23.05</v>
      </c>
      <c r="I484" t="s">
        <v>47</v>
      </c>
      <c r="J484">
        <v>19</v>
      </c>
      <c r="K484">
        <v>125</v>
      </c>
      <c r="L484">
        <v>89.9</v>
      </c>
      <c r="M484">
        <v>9.9700000000000006</v>
      </c>
      <c r="N484">
        <v>3</v>
      </c>
      <c r="O484">
        <v>8.93</v>
      </c>
      <c r="P484">
        <v>242.59</v>
      </c>
      <c r="Q484">
        <v>235</v>
      </c>
      <c r="R484">
        <v>1</v>
      </c>
      <c r="S484">
        <v>160</v>
      </c>
    </row>
    <row r="485" spans="1:19" x14ac:dyDescent="0.3">
      <c r="A485">
        <v>484</v>
      </c>
      <c r="B485" t="s">
        <v>333</v>
      </c>
      <c r="C485">
        <v>2021</v>
      </c>
      <c r="D485" t="s">
        <v>20</v>
      </c>
      <c r="E485">
        <v>3</v>
      </c>
      <c r="F485" t="s">
        <v>37</v>
      </c>
      <c r="G485" t="s">
        <v>26</v>
      </c>
      <c r="H485">
        <v>38.32</v>
      </c>
      <c r="I485" t="s">
        <v>32</v>
      </c>
      <c r="J485">
        <v>7</v>
      </c>
      <c r="K485">
        <v>529</v>
      </c>
      <c r="L485">
        <v>78.569999999999993</v>
      </c>
      <c r="M485">
        <v>31.07</v>
      </c>
      <c r="N485">
        <v>18.170000000000002</v>
      </c>
      <c r="O485">
        <v>7.92</v>
      </c>
      <c r="P485">
        <v>332.51</v>
      </c>
      <c r="Q485">
        <v>791</v>
      </c>
      <c r="R485">
        <v>1</v>
      </c>
      <c r="S485">
        <v>247</v>
      </c>
    </row>
    <row r="486" spans="1:19" x14ac:dyDescent="0.3">
      <c r="A486">
        <v>485</v>
      </c>
      <c r="B486" t="s">
        <v>334</v>
      </c>
      <c r="C486">
        <v>2021</v>
      </c>
      <c r="D486" t="s">
        <v>20</v>
      </c>
      <c r="E486">
        <v>3</v>
      </c>
      <c r="F486" t="s">
        <v>21</v>
      </c>
      <c r="G486" t="s">
        <v>22</v>
      </c>
      <c r="H486">
        <v>31.92</v>
      </c>
      <c r="I486" t="s">
        <v>27</v>
      </c>
      <c r="J486">
        <v>5</v>
      </c>
      <c r="K486">
        <v>279</v>
      </c>
      <c r="L486">
        <v>94.68</v>
      </c>
      <c r="M486">
        <v>28.52</v>
      </c>
      <c r="N486">
        <v>5.0599999999999996</v>
      </c>
      <c r="O486">
        <v>2.36</v>
      </c>
      <c r="P486">
        <v>362.11</v>
      </c>
      <c r="Q486">
        <v>955</v>
      </c>
      <c r="R486">
        <v>3</v>
      </c>
      <c r="S486">
        <v>120</v>
      </c>
    </row>
    <row r="487" spans="1:19" x14ac:dyDescent="0.3">
      <c r="A487">
        <v>486</v>
      </c>
      <c r="B487" t="s">
        <v>335</v>
      </c>
      <c r="C487">
        <v>2021</v>
      </c>
      <c r="D487" t="s">
        <v>20</v>
      </c>
      <c r="E487">
        <v>3</v>
      </c>
      <c r="F487" t="s">
        <v>62</v>
      </c>
      <c r="G487" t="s">
        <v>40</v>
      </c>
      <c r="H487">
        <v>17.579999999999998</v>
      </c>
      <c r="I487" t="s">
        <v>23</v>
      </c>
      <c r="J487">
        <v>14</v>
      </c>
      <c r="K487">
        <v>537</v>
      </c>
      <c r="L487">
        <v>82.06</v>
      </c>
      <c r="M487">
        <v>21.49</v>
      </c>
      <c r="N487">
        <v>4.33</v>
      </c>
      <c r="O487">
        <v>8.6199999999999992</v>
      </c>
      <c r="P487">
        <v>224.42</v>
      </c>
      <c r="Q487">
        <v>779</v>
      </c>
      <c r="R487">
        <v>4</v>
      </c>
      <c r="S487">
        <v>53</v>
      </c>
    </row>
    <row r="488" spans="1:19" x14ac:dyDescent="0.3">
      <c r="A488">
        <v>487</v>
      </c>
      <c r="B488" t="s">
        <v>336</v>
      </c>
      <c r="C488">
        <v>2021</v>
      </c>
      <c r="D488" t="s">
        <v>20</v>
      </c>
      <c r="E488">
        <v>3</v>
      </c>
      <c r="F488" t="s">
        <v>25</v>
      </c>
      <c r="G488" t="s">
        <v>42</v>
      </c>
      <c r="H488">
        <v>35.28</v>
      </c>
      <c r="I488" t="s">
        <v>32</v>
      </c>
      <c r="J488">
        <v>33</v>
      </c>
      <c r="K488">
        <v>559</v>
      </c>
      <c r="L488">
        <v>79.55</v>
      </c>
      <c r="M488">
        <v>28.12</v>
      </c>
      <c r="N488">
        <v>17.29</v>
      </c>
      <c r="O488">
        <v>7.4</v>
      </c>
      <c r="P488">
        <v>559.58000000000004</v>
      </c>
      <c r="Q488">
        <v>137</v>
      </c>
      <c r="R488">
        <v>4</v>
      </c>
      <c r="S488">
        <v>78</v>
      </c>
    </row>
    <row r="489" spans="1:19" x14ac:dyDescent="0.3">
      <c r="A489">
        <v>488</v>
      </c>
      <c r="B489" t="s">
        <v>337</v>
      </c>
      <c r="C489">
        <v>2021</v>
      </c>
      <c r="D489" t="s">
        <v>20</v>
      </c>
      <c r="E489">
        <v>3</v>
      </c>
      <c r="F489" t="s">
        <v>31</v>
      </c>
      <c r="G489" t="s">
        <v>26</v>
      </c>
      <c r="H489">
        <v>22.71</v>
      </c>
      <c r="I489" t="s">
        <v>38</v>
      </c>
      <c r="J489">
        <v>19</v>
      </c>
      <c r="K489">
        <v>320</v>
      </c>
      <c r="L489">
        <v>86.18</v>
      </c>
      <c r="M489">
        <v>12.8</v>
      </c>
      <c r="N489">
        <v>20.04</v>
      </c>
      <c r="O489">
        <v>4.43</v>
      </c>
      <c r="P489">
        <v>327.61</v>
      </c>
      <c r="Q489">
        <v>376</v>
      </c>
      <c r="R489">
        <v>2</v>
      </c>
      <c r="S489">
        <v>52</v>
      </c>
    </row>
    <row r="490" spans="1:19" x14ac:dyDescent="0.3">
      <c r="A490">
        <v>489</v>
      </c>
      <c r="B490" t="s">
        <v>338</v>
      </c>
      <c r="C490">
        <v>2021</v>
      </c>
      <c r="D490" t="s">
        <v>20</v>
      </c>
      <c r="E490">
        <v>3</v>
      </c>
      <c r="F490" t="s">
        <v>37</v>
      </c>
      <c r="G490" t="s">
        <v>35</v>
      </c>
      <c r="H490">
        <v>20.45</v>
      </c>
      <c r="I490" t="s">
        <v>47</v>
      </c>
      <c r="J490">
        <v>24</v>
      </c>
      <c r="K490">
        <v>443</v>
      </c>
      <c r="L490">
        <v>76.42</v>
      </c>
      <c r="M490">
        <v>18.7</v>
      </c>
      <c r="N490">
        <v>12.39</v>
      </c>
      <c r="O490">
        <v>1.37</v>
      </c>
      <c r="P490">
        <v>114.57</v>
      </c>
      <c r="Q490">
        <v>861</v>
      </c>
      <c r="R490">
        <v>1</v>
      </c>
      <c r="S490">
        <v>98</v>
      </c>
    </row>
    <row r="491" spans="1:19" x14ac:dyDescent="0.3">
      <c r="A491">
        <v>490</v>
      </c>
      <c r="B491" t="s">
        <v>339</v>
      </c>
      <c r="C491">
        <v>2021</v>
      </c>
      <c r="D491" t="s">
        <v>20</v>
      </c>
      <c r="E491">
        <v>3</v>
      </c>
      <c r="F491" t="s">
        <v>37</v>
      </c>
      <c r="G491" t="s">
        <v>35</v>
      </c>
      <c r="H491">
        <v>14</v>
      </c>
      <c r="I491" t="s">
        <v>38</v>
      </c>
      <c r="J491">
        <v>21</v>
      </c>
      <c r="K491">
        <v>110</v>
      </c>
      <c r="L491">
        <v>81.72</v>
      </c>
      <c r="M491">
        <v>15.91</v>
      </c>
      <c r="N491">
        <v>2.86</v>
      </c>
      <c r="O491">
        <v>1.83</v>
      </c>
      <c r="P491">
        <v>257.39999999999998</v>
      </c>
      <c r="Q491">
        <v>404</v>
      </c>
      <c r="R491">
        <v>4</v>
      </c>
      <c r="S491">
        <v>80</v>
      </c>
    </row>
    <row r="492" spans="1:19" x14ac:dyDescent="0.3">
      <c r="A492">
        <v>491</v>
      </c>
      <c r="B492" t="s">
        <v>333</v>
      </c>
      <c r="C492">
        <v>2021</v>
      </c>
      <c r="D492" t="s">
        <v>20</v>
      </c>
      <c r="E492">
        <v>3</v>
      </c>
      <c r="F492" t="s">
        <v>25</v>
      </c>
      <c r="G492" t="s">
        <v>22</v>
      </c>
      <c r="H492">
        <v>24.51</v>
      </c>
      <c r="I492" t="s">
        <v>23</v>
      </c>
      <c r="J492">
        <v>28</v>
      </c>
      <c r="K492">
        <v>478</v>
      </c>
      <c r="L492">
        <v>90.25</v>
      </c>
      <c r="M492">
        <v>17.86</v>
      </c>
      <c r="N492">
        <v>20.73</v>
      </c>
      <c r="O492">
        <v>5.61</v>
      </c>
      <c r="P492">
        <v>347.62</v>
      </c>
      <c r="Q492">
        <v>751</v>
      </c>
      <c r="R492">
        <v>4</v>
      </c>
      <c r="S492">
        <v>192</v>
      </c>
    </row>
    <row r="493" spans="1:19" x14ac:dyDescent="0.3">
      <c r="A493">
        <v>492</v>
      </c>
      <c r="B493" t="s">
        <v>340</v>
      </c>
      <c r="C493">
        <v>2021</v>
      </c>
      <c r="D493" t="s">
        <v>20</v>
      </c>
      <c r="E493">
        <v>3</v>
      </c>
      <c r="F493" t="s">
        <v>21</v>
      </c>
      <c r="G493" t="s">
        <v>42</v>
      </c>
      <c r="H493">
        <v>49.3</v>
      </c>
      <c r="I493" t="s">
        <v>23</v>
      </c>
      <c r="J493">
        <v>27</v>
      </c>
      <c r="K493">
        <v>551</v>
      </c>
      <c r="L493">
        <v>75.14</v>
      </c>
      <c r="M493">
        <v>7.7</v>
      </c>
      <c r="N493">
        <v>15.03</v>
      </c>
      <c r="O493">
        <v>10.93</v>
      </c>
      <c r="P493">
        <v>344.92</v>
      </c>
      <c r="Q493">
        <v>351</v>
      </c>
      <c r="R493">
        <v>2</v>
      </c>
      <c r="S493">
        <v>84</v>
      </c>
    </row>
    <row r="494" spans="1:19" x14ac:dyDescent="0.3">
      <c r="A494">
        <v>493</v>
      </c>
      <c r="B494" t="s">
        <v>341</v>
      </c>
      <c r="C494">
        <v>2021</v>
      </c>
      <c r="D494" t="s">
        <v>20</v>
      </c>
      <c r="E494">
        <v>3</v>
      </c>
      <c r="F494" t="s">
        <v>25</v>
      </c>
      <c r="G494" t="s">
        <v>22</v>
      </c>
      <c r="H494">
        <v>28.14</v>
      </c>
      <c r="I494" t="s">
        <v>23</v>
      </c>
      <c r="J494">
        <v>46</v>
      </c>
      <c r="K494">
        <v>422</v>
      </c>
      <c r="L494">
        <v>86.25</v>
      </c>
      <c r="M494">
        <v>29.05</v>
      </c>
      <c r="N494">
        <v>6.05</v>
      </c>
      <c r="O494">
        <v>11.94</v>
      </c>
      <c r="P494">
        <v>123.63</v>
      </c>
      <c r="Q494">
        <v>1036</v>
      </c>
      <c r="R494">
        <v>5</v>
      </c>
      <c r="S494">
        <v>53</v>
      </c>
    </row>
    <row r="495" spans="1:19" x14ac:dyDescent="0.3">
      <c r="A495">
        <v>494</v>
      </c>
      <c r="B495" t="s">
        <v>335</v>
      </c>
      <c r="C495">
        <v>2021</v>
      </c>
      <c r="D495" t="s">
        <v>20</v>
      </c>
      <c r="E495">
        <v>3</v>
      </c>
      <c r="F495" t="s">
        <v>31</v>
      </c>
      <c r="G495" t="s">
        <v>42</v>
      </c>
      <c r="H495">
        <v>32.840000000000003</v>
      </c>
      <c r="I495" t="s">
        <v>38</v>
      </c>
      <c r="J495">
        <v>8</v>
      </c>
      <c r="K495">
        <v>517</v>
      </c>
      <c r="L495">
        <v>94.17</v>
      </c>
      <c r="M495">
        <v>10.11</v>
      </c>
      <c r="N495">
        <v>20.39</v>
      </c>
      <c r="O495">
        <v>3.17</v>
      </c>
      <c r="P495">
        <v>388.27</v>
      </c>
      <c r="Q495">
        <v>723</v>
      </c>
      <c r="R495">
        <v>5</v>
      </c>
      <c r="S495">
        <v>210</v>
      </c>
    </row>
    <row r="496" spans="1:19" x14ac:dyDescent="0.3">
      <c r="A496">
        <v>495</v>
      </c>
      <c r="B496" t="s">
        <v>330</v>
      </c>
      <c r="C496">
        <v>2021</v>
      </c>
      <c r="D496" t="s">
        <v>20</v>
      </c>
      <c r="E496">
        <v>3</v>
      </c>
      <c r="F496" t="s">
        <v>31</v>
      </c>
      <c r="G496" t="s">
        <v>42</v>
      </c>
      <c r="H496">
        <v>19.03</v>
      </c>
      <c r="I496" t="s">
        <v>27</v>
      </c>
      <c r="J496">
        <v>38</v>
      </c>
      <c r="K496">
        <v>368</v>
      </c>
      <c r="L496">
        <v>81.489999999999995</v>
      </c>
      <c r="M496">
        <v>7.32</v>
      </c>
      <c r="N496">
        <v>12.37</v>
      </c>
      <c r="O496">
        <v>8.6999999999999993</v>
      </c>
      <c r="P496">
        <v>272.68</v>
      </c>
      <c r="Q496">
        <v>1071</v>
      </c>
      <c r="R496">
        <v>3</v>
      </c>
      <c r="S496">
        <v>186</v>
      </c>
    </row>
    <row r="497" spans="1:19" x14ac:dyDescent="0.3">
      <c r="A497">
        <v>496</v>
      </c>
      <c r="B497" t="s">
        <v>342</v>
      </c>
      <c r="C497">
        <v>2021</v>
      </c>
      <c r="D497" t="s">
        <v>20</v>
      </c>
      <c r="E497">
        <v>3</v>
      </c>
      <c r="F497" t="s">
        <v>53</v>
      </c>
      <c r="G497" t="s">
        <v>40</v>
      </c>
      <c r="H497">
        <v>36.79</v>
      </c>
      <c r="I497" t="s">
        <v>38</v>
      </c>
      <c r="J497">
        <v>10</v>
      </c>
      <c r="K497">
        <v>230</v>
      </c>
      <c r="L497">
        <v>90.95</v>
      </c>
      <c r="M497">
        <v>29.08</v>
      </c>
      <c r="N497">
        <v>11.51</v>
      </c>
      <c r="O497">
        <v>8.25</v>
      </c>
      <c r="P497">
        <v>157.13</v>
      </c>
      <c r="Q497">
        <v>525</v>
      </c>
      <c r="R497">
        <v>5</v>
      </c>
      <c r="S497">
        <v>242</v>
      </c>
    </row>
    <row r="498" spans="1:19" x14ac:dyDescent="0.3">
      <c r="A498">
        <v>497</v>
      </c>
      <c r="B498" t="s">
        <v>343</v>
      </c>
      <c r="C498">
        <v>2021</v>
      </c>
      <c r="D498" t="s">
        <v>20</v>
      </c>
      <c r="E498">
        <v>3</v>
      </c>
      <c r="F498" t="s">
        <v>34</v>
      </c>
      <c r="G498" t="s">
        <v>22</v>
      </c>
      <c r="H498">
        <v>43.61</v>
      </c>
      <c r="I498" t="s">
        <v>27</v>
      </c>
      <c r="J498">
        <v>14</v>
      </c>
      <c r="K498">
        <v>227</v>
      </c>
      <c r="L498">
        <v>89.61</v>
      </c>
      <c r="M498">
        <v>5.49</v>
      </c>
      <c r="N498">
        <v>2.4700000000000002</v>
      </c>
      <c r="O498">
        <v>6.89</v>
      </c>
      <c r="P498">
        <v>518.4</v>
      </c>
      <c r="Q498">
        <v>286</v>
      </c>
      <c r="R498">
        <v>2</v>
      </c>
      <c r="S498">
        <v>199</v>
      </c>
    </row>
    <row r="499" spans="1:19" x14ac:dyDescent="0.3">
      <c r="A499">
        <v>498</v>
      </c>
      <c r="B499" t="s">
        <v>337</v>
      </c>
      <c r="C499">
        <v>2021</v>
      </c>
      <c r="D499" t="s">
        <v>20</v>
      </c>
      <c r="E499">
        <v>3</v>
      </c>
      <c r="F499" t="s">
        <v>21</v>
      </c>
      <c r="G499" t="s">
        <v>35</v>
      </c>
      <c r="H499">
        <v>16.14</v>
      </c>
      <c r="I499" t="s">
        <v>32</v>
      </c>
      <c r="J499">
        <v>17</v>
      </c>
      <c r="K499">
        <v>206</v>
      </c>
      <c r="L499">
        <v>93.47</v>
      </c>
      <c r="M499">
        <v>26.37</v>
      </c>
      <c r="N499">
        <v>9.9600000000000009</v>
      </c>
      <c r="O499">
        <v>6.62</v>
      </c>
      <c r="P499">
        <v>484.18</v>
      </c>
      <c r="Q499">
        <v>1094</v>
      </c>
      <c r="R499">
        <v>4</v>
      </c>
      <c r="S499">
        <v>222</v>
      </c>
    </row>
    <row r="500" spans="1:19" x14ac:dyDescent="0.3">
      <c r="A500">
        <v>499</v>
      </c>
      <c r="B500" t="s">
        <v>342</v>
      </c>
      <c r="C500">
        <v>2021</v>
      </c>
      <c r="D500" t="s">
        <v>20</v>
      </c>
      <c r="E500">
        <v>3</v>
      </c>
      <c r="F500" t="s">
        <v>34</v>
      </c>
      <c r="G500" t="s">
        <v>40</v>
      </c>
      <c r="H500">
        <v>33.270000000000003</v>
      </c>
      <c r="I500" t="s">
        <v>32</v>
      </c>
      <c r="J500">
        <v>23</v>
      </c>
      <c r="K500">
        <v>129</v>
      </c>
      <c r="L500">
        <v>79.36</v>
      </c>
      <c r="M500">
        <v>23.24</v>
      </c>
      <c r="N500">
        <v>19.63</v>
      </c>
      <c r="O500">
        <v>13.4</v>
      </c>
      <c r="P500">
        <v>445.91</v>
      </c>
      <c r="Q500">
        <v>219</v>
      </c>
      <c r="R500">
        <v>2</v>
      </c>
      <c r="S500">
        <v>88</v>
      </c>
    </row>
    <row r="501" spans="1:19" x14ac:dyDescent="0.3">
      <c r="A501">
        <v>500</v>
      </c>
      <c r="B501" t="s">
        <v>344</v>
      </c>
      <c r="C501">
        <v>2021</v>
      </c>
      <c r="D501" t="s">
        <v>20</v>
      </c>
      <c r="E501">
        <v>3</v>
      </c>
      <c r="F501" t="s">
        <v>53</v>
      </c>
      <c r="G501" t="s">
        <v>40</v>
      </c>
      <c r="H501">
        <v>33.4</v>
      </c>
      <c r="I501" t="s">
        <v>23</v>
      </c>
      <c r="J501">
        <v>16</v>
      </c>
      <c r="K501">
        <v>178</v>
      </c>
      <c r="L501">
        <v>79.13</v>
      </c>
      <c r="M501">
        <v>6.33</v>
      </c>
      <c r="N501">
        <v>8.25</v>
      </c>
      <c r="O501">
        <v>3.91</v>
      </c>
      <c r="P501">
        <v>514.02</v>
      </c>
      <c r="Q501">
        <v>488</v>
      </c>
      <c r="R501">
        <v>4</v>
      </c>
      <c r="S501">
        <v>131</v>
      </c>
    </row>
    <row r="502" spans="1:19" x14ac:dyDescent="0.3">
      <c r="A502">
        <v>501</v>
      </c>
      <c r="B502" t="s">
        <v>339</v>
      </c>
      <c r="C502">
        <v>2021</v>
      </c>
      <c r="D502" t="s">
        <v>20</v>
      </c>
      <c r="E502">
        <v>3</v>
      </c>
      <c r="F502" t="s">
        <v>21</v>
      </c>
      <c r="G502" t="s">
        <v>22</v>
      </c>
      <c r="H502">
        <v>44.32</v>
      </c>
      <c r="I502" t="s">
        <v>47</v>
      </c>
      <c r="J502">
        <v>9</v>
      </c>
      <c r="K502">
        <v>499</v>
      </c>
      <c r="L502">
        <v>92.09</v>
      </c>
      <c r="M502">
        <v>23.4</v>
      </c>
      <c r="N502">
        <v>19.11</v>
      </c>
      <c r="O502">
        <v>7.08</v>
      </c>
      <c r="P502">
        <v>489.08</v>
      </c>
      <c r="Q502">
        <v>100</v>
      </c>
      <c r="R502">
        <v>4</v>
      </c>
      <c r="S502">
        <v>104</v>
      </c>
    </row>
    <row r="503" spans="1:19" x14ac:dyDescent="0.3">
      <c r="A503">
        <v>502</v>
      </c>
      <c r="B503" t="s">
        <v>345</v>
      </c>
      <c r="C503">
        <v>2021</v>
      </c>
      <c r="D503" t="s">
        <v>20</v>
      </c>
      <c r="E503">
        <v>3</v>
      </c>
      <c r="F503" t="s">
        <v>53</v>
      </c>
      <c r="G503" t="s">
        <v>35</v>
      </c>
      <c r="H503">
        <v>49.59</v>
      </c>
      <c r="I503" t="s">
        <v>32</v>
      </c>
      <c r="J503">
        <v>30</v>
      </c>
      <c r="K503">
        <v>496</v>
      </c>
      <c r="L503">
        <v>92.18</v>
      </c>
      <c r="M503">
        <v>25.22</v>
      </c>
      <c r="N503">
        <v>13.21</v>
      </c>
      <c r="O503">
        <v>3.02</v>
      </c>
      <c r="P503">
        <v>109.72</v>
      </c>
      <c r="Q503">
        <v>1013</v>
      </c>
      <c r="R503">
        <v>3</v>
      </c>
      <c r="S503">
        <v>107</v>
      </c>
    </row>
    <row r="504" spans="1:19" x14ac:dyDescent="0.3">
      <c r="A504">
        <v>503</v>
      </c>
      <c r="B504" t="s">
        <v>330</v>
      </c>
      <c r="C504">
        <v>2021</v>
      </c>
      <c r="D504" t="s">
        <v>20</v>
      </c>
      <c r="E504">
        <v>3</v>
      </c>
      <c r="F504" t="s">
        <v>53</v>
      </c>
      <c r="G504" t="s">
        <v>22</v>
      </c>
      <c r="H504">
        <v>21.18</v>
      </c>
      <c r="I504" t="s">
        <v>27</v>
      </c>
      <c r="J504">
        <v>32</v>
      </c>
      <c r="K504">
        <v>466</v>
      </c>
      <c r="L504">
        <v>91.14</v>
      </c>
      <c r="M504">
        <v>15.53</v>
      </c>
      <c r="N504">
        <v>12.24</v>
      </c>
      <c r="O504">
        <v>2.34</v>
      </c>
      <c r="P504">
        <v>255.79</v>
      </c>
      <c r="Q504">
        <v>104</v>
      </c>
      <c r="R504">
        <v>3</v>
      </c>
      <c r="S504">
        <v>65</v>
      </c>
    </row>
    <row r="505" spans="1:19" x14ac:dyDescent="0.3">
      <c r="A505">
        <v>504</v>
      </c>
      <c r="B505" t="s">
        <v>333</v>
      </c>
      <c r="C505">
        <v>2021</v>
      </c>
      <c r="D505" t="s">
        <v>20</v>
      </c>
      <c r="E505">
        <v>3</v>
      </c>
      <c r="F505" t="s">
        <v>34</v>
      </c>
      <c r="G505" t="s">
        <v>35</v>
      </c>
      <c r="H505">
        <v>5.88</v>
      </c>
      <c r="I505" t="s">
        <v>32</v>
      </c>
      <c r="J505">
        <v>43</v>
      </c>
      <c r="K505">
        <v>441</v>
      </c>
      <c r="L505">
        <v>87.81</v>
      </c>
      <c r="M505">
        <v>24.85</v>
      </c>
      <c r="N505">
        <v>20.48</v>
      </c>
      <c r="O505">
        <v>5.25</v>
      </c>
      <c r="P505">
        <v>156.78</v>
      </c>
      <c r="Q505">
        <v>378</v>
      </c>
      <c r="R505">
        <v>2</v>
      </c>
      <c r="S505">
        <v>193</v>
      </c>
    </row>
    <row r="506" spans="1:19" x14ac:dyDescent="0.3">
      <c r="A506">
        <v>505</v>
      </c>
      <c r="B506" t="s">
        <v>336</v>
      </c>
      <c r="C506">
        <v>2021</v>
      </c>
      <c r="D506" t="s">
        <v>20</v>
      </c>
      <c r="E506">
        <v>3</v>
      </c>
      <c r="F506" t="s">
        <v>34</v>
      </c>
      <c r="G506" t="s">
        <v>26</v>
      </c>
      <c r="H506">
        <v>34.89</v>
      </c>
      <c r="I506" t="s">
        <v>27</v>
      </c>
      <c r="J506">
        <v>37</v>
      </c>
      <c r="K506">
        <v>564</v>
      </c>
      <c r="L506">
        <v>90.28</v>
      </c>
      <c r="M506">
        <v>11.02</v>
      </c>
      <c r="N506">
        <v>19.78</v>
      </c>
      <c r="O506">
        <v>2.79</v>
      </c>
      <c r="P506">
        <v>249.29</v>
      </c>
      <c r="Q506">
        <v>111</v>
      </c>
      <c r="R506">
        <v>4</v>
      </c>
      <c r="S506">
        <v>124</v>
      </c>
    </row>
    <row r="507" spans="1:19" x14ac:dyDescent="0.3">
      <c r="A507">
        <v>506</v>
      </c>
      <c r="B507" t="s">
        <v>346</v>
      </c>
      <c r="C507">
        <v>2021</v>
      </c>
      <c r="D507" t="s">
        <v>20</v>
      </c>
      <c r="E507">
        <v>3</v>
      </c>
      <c r="F507" t="s">
        <v>37</v>
      </c>
      <c r="G507" t="s">
        <v>26</v>
      </c>
      <c r="H507">
        <v>13.64</v>
      </c>
      <c r="I507" t="s">
        <v>32</v>
      </c>
      <c r="J507">
        <v>29</v>
      </c>
      <c r="K507">
        <v>565</v>
      </c>
      <c r="L507">
        <v>87.3</v>
      </c>
      <c r="M507">
        <v>8.18</v>
      </c>
      <c r="N507">
        <v>19.96</v>
      </c>
      <c r="O507">
        <v>6.74</v>
      </c>
      <c r="P507">
        <v>231.89</v>
      </c>
      <c r="Q507">
        <v>703</v>
      </c>
      <c r="R507">
        <v>1</v>
      </c>
      <c r="S507">
        <v>140</v>
      </c>
    </row>
    <row r="508" spans="1:19" x14ac:dyDescent="0.3">
      <c r="A508">
        <v>507</v>
      </c>
      <c r="B508" t="s">
        <v>328</v>
      </c>
      <c r="C508">
        <v>2021</v>
      </c>
      <c r="D508" t="s">
        <v>20</v>
      </c>
      <c r="E508">
        <v>3</v>
      </c>
      <c r="F508" t="s">
        <v>53</v>
      </c>
      <c r="G508" t="s">
        <v>42</v>
      </c>
      <c r="H508">
        <v>52</v>
      </c>
      <c r="I508" t="s">
        <v>23</v>
      </c>
      <c r="J508">
        <v>25</v>
      </c>
      <c r="K508">
        <v>401</v>
      </c>
      <c r="L508">
        <v>78.03</v>
      </c>
      <c r="M508">
        <v>29.15</v>
      </c>
      <c r="N508">
        <v>6.78</v>
      </c>
      <c r="O508">
        <v>9.7899999999999991</v>
      </c>
      <c r="P508">
        <v>241.87</v>
      </c>
      <c r="Q508">
        <v>782</v>
      </c>
      <c r="R508">
        <v>2</v>
      </c>
      <c r="S508">
        <v>102</v>
      </c>
    </row>
    <row r="509" spans="1:19" x14ac:dyDescent="0.3">
      <c r="A509">
        <v>508</v>
      </c>
      <c r="B509" t="s">
        <v>347</v>
      </c>
      <c r="C509">
        <v>2021</v>
      </c>
      <c r="D509" t="s">
        <v>20</v>
      </c>
      <c r="E509">
        <v>3</v>
      </c>
      <c r="F509" t="s">
        <v>53</v>
      </c>
      <c r="G509" t="s">
        <v>40</v>
      </c>
      <c r="H509">
        <v>22.39</v>
      </c>
      <c r="I509" t="s">
        <v>47</v>
      </c>
      <c r="J509">
        <v>29</v>
      </c>
      <c r="K509">
        <v>231</v>
      </c>
      <c r="L509">
        <v>85.46</v>
      </c>
      <c r="M509">
        <v>26.61</v>
      </c>
      <c r="N509">
        <v>17.760000000000002</v>
      </c>
      <c r="O509">
        <v>1.1499999999999999</v>
      </c>
      <c r="P509">
        <v>135.88999999999999</v>
      </c>
      <c r="Q509">
        <v>544</v>
      </c>
      <c r="R509">
        <v>4</v>
      </c>
      <c r="S509">
        <v>85</v>
      </c>
    </row>
    <row r="510" spans="1:19" x14ac:dyDescent="0.3">
      <c r="A510">
        <v>509</v>
      </c>
      <c r="B510" t="s">
        <v>348</v>
      </c>
      <c r="C510">
        <v>2021</v>
      </c>
      <c r="D510" t="s">
        <v>20</v>
      </c>
      <c r="E510">
        <v>3</v>
      </c>
      <c r="F510" t="s">
        <v>37</v>
      </c>
      <c r="G510" t="s">
        <v>35</v>
      </c>
      <c r="H510">
        <v>43.37</v>
      </c>
      <c r="I510" t="s">
        <v>32</v>
      </c>
      <c r="J510">
        <v>47</v>
      </c>
      <c r="K510">
        <v>151</v>
      </c>
      <c r="L510">
        <v>86.21</v>
      </c>
      <c r="M510">
        <v>11.5</v>
      </c>
      <c r="N510">
        <v>14.37</v>
      </c>
      <c r="O510">
        <v>2.36</v>
      </c>
      <c r="P510">
        <v>355.25</v>
      </c>
      <c r="Q510">
        <v>934</v>
      </c>
      <c r="R510">
        <v>5</v>
      </c>
      <c r="S510">
        <v>73</v>
      </c>
    </row>
    <row r="511" spans="1:19" x14ac:dyDescent="0.3">
      <c r="A511">
        <v>510</v>
      </c>
      <c r="B511" t="s">
        <v>333</v>
      </c>
      <c r="C511">
        <v>2021</v>
      </c>
      <c r="D511" t="s">
        <v>20</v>
      </c>
      <c r="E511">
        <v>3</v>
      </c>
      <c r="F511" t="s">
        <v>29</v>
      </c>
      <c r="G511" t="s">
        <v>40</v>
      </c>
      <c r="H511">
        <v>18.309999999999999</v>
      </c>
      <c r="I511" t="s">
        <v>23</v>
      </c>
      <c r="J511">
        <v>44</v>
      </c>
      <c r="K511">
        <v>585</v>
      </c>
      <c r="L511">
        <v>78.650000000000006</v>
      </c>
      <c r="M511">
        <v>33.57</v>
      </c>
      <c r="N511">
        <v>18.440000000000001</v>
      </c>
      <c r="O511">
        <v>5.9</v>
      </c>
      <c r="P511">
        <v>289.06</v>
      </c>
      <c r="Q511">
        <v>299</v>
      </c>
      <c r="R511">
        <v>1</v>
      </c>
      <c r="S511">
        <v>195</v>
      </c>
    </row>
    <row r="512" spans="1:19" x14ac:dyDescent="0.3">
      <c r="A512">
        <v>511</v>
      </c>
      <c r="B512" t="s">
        <v>349</v>
      </c>
      <c r="C512">
        <v>2021</v>
      </c>
      <c r="D512" t="s">
        <v>96</v>
      </c>
      <c r="E512">
        <v>4</v>
      </c>
      <c r="F512" t="s">
        <v>29</v>
      </c>
      <c r="G512" t="s">
        <v>35</v>
      </c>
      <c r="H512">
        <v>45.42</v>
      </c>
      <c r="I512" t="s">
        <v>27</v>
      </c>
      <c r="J512">
        <v>44</v>
      </c>
      <c r="K512">
        <v>572</v>
      </c>
      <c r="L512">
        <v>76.17</v>
      </c>
      <c r="M512">
        <v>12.42</v>
      </c>
      <c r="N512">
        <v>5.0199999999999996</v>
      </c>
      <c r="O512">
        <v>5.23</v>
      </c>
      <c r="P512">
        <v>536.21</v>
      </c>
      <c r="Q512">
        <v>386</v>
      </c>
      <c r="R512">
        <v>1</v>
      </c>
      <c r="S512">
        <v>202</v>
      </c>
    </row>
    <row r="513" spans="1:19" x14ac:dyDescent="0.3">
      <c r="A513">
        <v>512</v>
      </c>
      <c r="B513" t="s">
        <v>350</v>
      </c>
      <c r="C513">
        <v>2021</v>
      </c>
      <c r="D513" t="s">
        <v>96</v>
      </c>
      <c r="E513">
        <v>4</v>
      </c>
      <c r="F513" t="s">
        <v>37</v>
      </c>
      <c r="G513" t="s">
        <v>42</v>
      </c>
      <c r="H513">
        <v>43.85</v>
      </c>
      <c r="I513" t="s">
        <v>47</v>
      </c>
      <c r="J513">
        <v>8</v>
      </c>
      <c r="K513">
        <v>268</v>
      </c>
      <c r="L513">
        <v>88.6</v>
      </c>
      <c r="M513">
        <v>6.12</v>
      </c>
      <c r="N513">
        <v>20.010000000000002</v>
      </c>
      <c r="O513">
        <v>10.93</v>
      </c>
      <c r="P513">
        <v>221.33</v>
      </c>
      <c r="Q513">
        <v>1034</v>
      </c>
      <c r="R513">
        <v>3</v>
      </c>
      <c r="S513">
        <v>111</v>
      </c>
    </row>
    <row r="514" spans="1:19" x14ac:dyDescent="0.3">
      <c r="A514">
        <v>513</v>
      </c>
      <c r="B514" t="s">
        <v>350</v>
      </c>
      <c r="C514">
        <v>2021</v>
      </c>
      <c r="D514" t="s">
        <v>96</v>
      </c>
      <c r="E514">
        <v>4</v>
      </c>
      <c r="F514" t="s">
        <v>21</v>
      </c>
      <c r="G514" t="s">
        <v>42</v>
      </c>
      <c r="H514">
        <v>54.29</v>
      </c>
      <c r="I514" t="s">
        <v>32</v>
      </c>
      <c r="J514">
        <v>37</v>
      </c>
      <c r="K514">
        <v>236</v>
      </c>
      <c r="L514">
        <v>88.78</v>
      </c>
      <c r="M514">
        <v>31.11</v>
      </c>
      <c r="N514">
        <v>2.12</v>
      </c>
      <c r="O514">
        <v>10.08</v>
      </c>
      <c r="P514">
        <v>219.04</v>
      </c>
      <c r="Q514">
        <v>613</v>
      </c>
      <c r="R514">
        <v>3</v>
      </c>
      <c r="S514">
        <v>205</v>
      </c>
    </row>
    <row r="515" spans="1:19" x14ac:dyDescent="0.3">
      <c r="A515">
        <v>514</v>
      </c>
      <c r="B515" t="s">
        <v>351</v>
      </c>
      <c r="C515">
        <v>2021</v>
      </c>
      <c r="D515" t="s">
        <v>96</v>
      </c>
      <c r="E515">
        <v>4</v>
      </c>
      <c r="F515" t="s">
        <v>37</v>
      </c>
      <c r="G515" t="s">
        <v>26</v>
      </c>
      <c r="H515">
        <v>5.25</v>
      </c>
      <c r="I515" t="s">
        <v>38</v>
      </c>
      <c r="J515">
        <v>19</v>
      </c>
      <c r="K515">
        <v>289</v>
      </c>
      <c r="L515">
        <v>76.83</v>
      </c>
      <c r="M515">
        <v>29.78</v>
      </c>
      <c r="N515">
        <v>7.35</v>
      </c>
      <c r="O515">
        <v>15.69</v>
      </c>
      <c r="P515">
        <v>383.53</v>
      </c>
      <c r="Q515">
        <v>221</v>
      </c>
      <c r="R515">
        <v>5</v>
      </c>
      <c r="S515">
        <v>240</v>
      </c>
    </row>
    <row r="516" spans="1:19" x14ac:dyDescent="0.3">
      <c r="A516">
        <v>515</v>
      </c>
      <c r="B516" t="s">
        <v>352</v>
      </c>
      <c r="C516">
        <v>2021</v>
      </c>
      <c r="D516" t="s">
        <v>96</v>
      </c>
      <c r="E516">
        <v>4</v>
      </c>
      <c r="F516" t="s">
        <v>62</v>
      </c>
      <c r="G516" t="s">
        <v>42</v>
      </c>
      <c r="H516">
        <v>8.82</v>
      </c>
      <c r="I516" t="s">
        <v>27</v>
      </c>
      <c r="J516">
        <v>32</v>
      </c>
      <c r="K516">
        <v>424</v>
      </c>
      <c r="L516">
        <v>76.069999999999993</v>
      </c>
      <c r="M516">
        <v>30.58</v>
      </c>
      <c r="N516">
        <v>10.95</v>
      </c>
      <c r="O516">
        <v>7.62</v>
      </c>
      <c r="P516">
        <v>384.49</v>
      </c>
      <c r="Q516">
        <v>645</v>
      </c>
      <c r="R516">
        <v>5</v>
      </c>
      <c r="S516">
        <v>51</v>
      </c>
    </row>
    <row r="517" spans="1:19" x14ac:dyDescent="0.3">
      <c r="A517">
        <v>516</v>
      </c>
      <c r="B517" t="s">
        <v>353</v>
      </c>
      <c r="C517">
        <v>2021</v>
      </c>
      <c r="D517" t="s">
        <v>96</v>
      </c>
      <c r="E517">
        <v>4</v>
      </c>
      <c r="F517" t="s">
        <v>29</v>
      </c>
      <c r="G517" t="s">
        <v>26</v>
      </c>
      <c r="H517">
        <v>6.08</v>
      </c>
      <c r="I517" t="s">
        <v>27</v>
      </c>
      <c r="J517">
        <v>47</v>
      </c>
      <c r="K517">
        <v>538</v>
      </c>
      <c r="L517">
        <v>80.180000000000007</v>
      </c>
      <c r="M517">
        <v>30.2</v>
      </c>
      <c r="N517">
        <v>9.36</v>
      </c>
      <c r="O517">
        <v>15.61</v>
      </c>
      <c r="P517">
        <v>399.24</v>
      </c>
      <c r="Q517">
        <v>541</v>
      </c>
      <c r="R517">
        <v>2</v>
      </c>
      <c r="S517">
        <v>159</v>
      </c>
    </row>
    <row r="518" spans="1:19" x14ac:dyDescent="0.3">
      <c r="A518">
        <v>517</v>
      </c>
      <c r="B518" t="s">
        <v>354</v>
      </c>
      <c r="C518">
        <v>2021</v>
      </c>
      <c r="D518" t="s">
        <v>96</v>
      </c>
      <c r="E518">
        <v>4</v>
      </c>
      <c r="F518" t="s">
        <v>25</v>
      </c>
      <c r="G518" t="s">
        <v>26</v>
      </c>
      <c r="H518">
        <v>39.25</v>
      </c>
      <c r="I518" t="s">
        <v>27</v>
      </c>
      <c r="J518">
        <v>50</v>
      </c>
      <c r="K518">
        <v>345</v>
      </c>
      <c r="L518">
        <v>92.85</v>
      </c>
      <c r="M518">
        <v>13.33</v>
      </c>
      <c r="N518">
        <v>5.76</v>
      </c>
      <c r="O518">
        <v>15.6</v>
      </c>
      <c r="P518">
        <v>135.79</v>
      </c>
      <c r="Q518">
        <v>1044</v>
      </c>
      <c r="R518">
        <v>3</v>
      </c>
      <c r="S518">
        <v>212</v>
      </c>
    </row>
    <row r="519" spans="1:19" x14ac:dyDescent="0.3">
      <c r="A519">
        <v>518</v>
      </c>
      <c r="B519" t="s">
        <v>355</v>
      </c>
      <c r="C519">
        <v>2021</v>
      </c>
      <c r="D519" t="s">
        <v>96</v>
      </c>
      <c r="E519">
        <v>4</v>
      </c>
      <c r="F519" t="s">
        <v>53</v>
      </c>
      <c r="G519" t="s">
        <v>35</v>
      </c>
      <c r="H519">
        <v>29.18</v>
      </c>
      <c r="I519" t="s">
        <v>47</v>
      </c>
      <c r="J519">
        <v>46</v>
      </c>
      <c r="K519">
        <v>595</v>
      </c>
      <c r="L519">
        <v>76.61</v>
      </c>
      <c r="M519">
        <v>23.31</v>
      </c>
      <c r="N519">
        <v>2.96</v>
      </c>
      <c r="O519">
        <v>5.26</v>
      </c>
      <c r="P519">
        <v>319.83</v>
      </c>
      <c r="Q519">
        <v>707</v>
      </c>
      <c r="R519">
        <v>1</v>
      </c>
      <c r="S519">
        <v>150</v>
      </c>
    </row>
    <row r="520" spans="1:19" x14ac:dyDescent="0.3">
      <c r="A520">
        <v>519</v>
      </c>
      <c r="B520" t="s">
        <v>356</v>
      </c>
      <c r="C520">
        <v>2021</v>
      </c>
      <c r="D520" t="s">
        <v>96</v>
      </c>
      <c r="E520">
        <v>4</v>
      </c>
      <c r="F520" t="s">
        <v>37</v>
      </c>
      <c r="G520" t="s">
        <v>26</v>
      </c>
      <c r="H520">
        <v>10.14</v>
      </c>
      <c r="I520" t="s">
        <v>38</v>
      </c>
      <c r="J520">
        <v>13</v>
      </c>
      <c r="K520">
        <v>599</v>
      </c>
      <c r="L520">
        <v>75.88</v>
      </c>
      <c r="M520">
        <v>32.549999999999997</v>
      </c>
      <c r="N520">
        <v>20.77</v>
      </c>
      <c r="O520">
        <v>15.28</v>
      </c>
      <c r="P520">
        <v>322.45</v>
      </c>
      <c r="Q520">
        <v>768</v>
      </c>
      <c r="R520">
        <v>3</v>
      </c>
      <c r="S520">
        <v>165</v>
      </c>
    </row>
    <row r="521" spans="1:19" x14ac:dyDescent="0.3">
      <c r="A521">
        <v>520</v>
      </c>
      <c r="B521" t="s">
        <v>357</v>
      </c>
      <c r="C521">
        <v>2021</v>
      </c>
      <c r="D521" t="s">
        <v>96</v>
      </c>
      <c r="E521">
        <v>4</v>
      </c>
      <c r="F521" t="s">
        <v>34</v>
      </c>
      <c r="G521" t="s">
        <v>26</v>
      </c>
      <c r="H521">
        <v>50.23</v>
      </c>
      <c r="I521" t="s">
        <v>38</v>
      </c>
      <c r="J521">
        <v>16</v>
      </c>
      <c r="K521">
        <v>588</v>
      </c>
      <c r="L521">
        <v>91.06</v>
      </c>
      <c r="M521">
        <v>22.1</v>
      </c>
      <c r="N521">
        <v>2.2999999999999998</v>
      </c>
      <c r="O521">
        <v>7.39</v>
      </c>
      <c r="P521">
        <v>548.33000000000004</v>
      </c>
      <c r="Q521">
        <v>261</v>
      </c>
      <c r="R521">
        <v>3</v>
      </c>
      <c r="S521">
        <v>202</v>
      </c>
    </row>
    <row r="522" spans="1:19" x14ac:dyDescent="0.3">
      <c r="A522">
        <v>521</v>
      </c>
      <c r="B522" t="s">
        <v>358</v>
      </c>
      <c r="C522">
        <v>2021</v>
      </c>
      <c r="D522" t="s">
        <v>96</v>
      </c>
      <c r="E522">
        <v>4</v>
      </c>
      <c r="F522" t="s">
        <v>34</v>
      </c>
      <c r="G522" t="s">
        <v>42</v>
      </c>
      <c r="H522">
        <v>22.64</v>
      </c>
      <c r="I522" t="s">
        <v>47</v>
      </c>
      <c r="J522">
        <v>47</v>
      </c>
      <c r="K522">
        <v>518</v>
      </c>
      <c r="L522">
        <v>89.1</v>
      </c>
      <c r="M522">
        <v>14.22</v>
      </c>
      <c r="N522">
        <v>17.170000000000002</v>
      </c>
      <c r="O522">
        <v>3.5</v>
      </c>
      <c r="P522">
        <v>339.9</v>
      </c>
      <c r="Q522">
        <v>482</v>
      </c>
      <c r="R522">
        <v>1</v>
      </c>
      <c r="S522">
        <v>240</v>
      </c>
    </row>
    <row r="523" spans="1:19" x14ac:dyDescent="0.3">
      <c r="A523">
        <v>522</v>
      </c>
      <c r="B523" t="s">
        <v>359</v>
      </c>
      <c r="C523">
        <v>2021</v>
      </c>
      <c r="D523" t="s">
        <v>96</v>
      </c>
      <c r="E523">
        <v>4</v>
      </c>
      <c r="F523" t="s">
        <v>21</v>
      </c>
      <c r="G523" t="s">
        <v>22</v>
      </c>
      <c r="H523">
        <v>50.9</v>
      </c>
      <c r="I523" t="s">
        <v>27</v>
      </c>
      <c r="J523">
        <v>27</v>
      </c>
      <c r="K523">
        <v>212</v>
      </c>
      <c r="L523">
        <v>80.88</v>
      </c>
      <c r="M523">
        <v>21.45</v>
      </c>
      <c r="N523">
        <v>11.58</v>
      </c>
      <c r="O523">
        <v>8.8000000000000007</v>
      </c>
      <c r="P523">
        <v>107.21</v>
      </c>
      <c r="Q523">
        <v>942</v>
      </c>
      <c r="R523">
        <v>3</v>
      </c>
      <c r="S523">
        <v>174</v>
      </c>
    </row>
    <row r="524" spans="1:19" x14ac:dyDescent="0.3">
      <c r="A524">
        <v>523</v>
      </c>
      <c r="B524" t="s">
        <v>360</v>
      </c>
      <c r="C524">
        <v>2021</v>
      </c>
      <c r="D524" t="s">
        <v>96</v>
      </c>
      <c r="E524">
        <v>4</v>
      </c>
      <c r="F524" t="s">
        <v>53</v>
      </c>
      <c r="G524" t="s">
        <v>42</v>
      </c>
      <c r="H524">
        <v>33.31</v>
      </c>
      <c r="I524" t="s">
        <v>23</v>
      </c>
      <c r="J524">
        <v>11</v>
      </c>
      <c r="K524">
        <v>239</v>
      </c>
      <c r="L524">
        <v>86.26</v>
      </c>
      <c r="M524">
        <v>8.7799999999999994</v>
      </c>
      <c r="N524">
        <v>15.68</v>
      </c>
      <c r="O524">
        <v>12.05</v>
      </c>
      <c r="P524">
        <v>436.09</v>
      </c>
      <c r="Q524">
        <v>868</v>
      </c>
      <c r="R524">
        <v>5</v>
      </c>
      <c r="S524">
        <v>249</v>
      </c>
    </row>
    <row r="525" spans="1:19" x14ac:dyDescent="0.3">
      <c r="A525">
        <v>524</v>
      </c>
      <c r="B525" t="s">
        <v>360</v>
      </c>
      <c r="C525">
        <v>2021</v>
      </c>
      <c r="D525" t="s">
        <v>96</v>
      </c>
      <c r="E525">
        <v>4</v>
      </c>
      <c r="F525" t="s">
        <v>62</v>
      </c>
      <c r="G525" t="s">
        <v>42</v>
      </c>
      <c r="H525">
        <v>41.47</v>
      </c>
      <c r="I525" t="s">
        <v>38</v>
      </c>
      <c r="J525">
        <v>8</v>
      </c>
      <c r="K525">
        <v>458</v>
      </c>
      <c r="L525">
        <v>75.34</v>
      </c>
      <c r="M525">
        <v>19.02</v>
      </c>
      <c r="N525">
        <v>12.21</v>
      </c>
      <c r="O525">
        <v>11.93</v>
      </c>
      <c r="P525">
        <v>469.21</v>
      </c>
      <c r="Q525">
        <v>1025</v>
      </c>
      <c r="R525">
        <v>1</v>
      </c>
      <c r="S525">
        <v>186</v>
      </c>
    </row>
    <row r="526" spans="1:19" x14ac:dyDescent="0.3">
      <c r="A526">
        <v>525</v>
      </c>
      <c r="B526" t="s">
        <v>350</v>
      </c>
      <c r="C526">
        <v>2021</v>
      </c>
      <c r="D526" t="s">
        <v>96</v>
      </c>
      <c r="E526">
        <v>4</v>
      </c>
      <c r="F526" t="s">
        <v>37</v>
      </c>
      <c r="G526" t="s">
        <v>35</v>
      </c>
      <c r="H526">
        <v>34.99</v>
      </c>
      <c r="I526" t="s">
        <v>47</v>
      </c>
      <c r="J526">
        <v>43</v>
      </c>
      <c r="K526">
        <v>568</v>
      </c>
      <c r="L526">
        <v>81.72</v>
      </c>
      <c r="M526">
        <v>20.41</v>
      </c>
      <c r="N526">
        <v>14.19</v>
      </c>
      <c r="O526">
        <v>1.25</v>
      </c>
      <c r="P526">
        <v>229.2</v>
      </c>
      <c r="Q526">
        <v>574</v>
      </c>
      <c r="R526">
        <v>1</v>
      </c>
      <c r="S526">
        <v>116</v>
      </c>
    </row>
    <row r="527" spans="1:19" x14ac:dyDescent="0.3">
      <c r="A527">
        <v>526</v>
      </c>
      <c r="B527" t="s">
        <v>361</v>
      </c>
      <c r="C527">
        <v>2021</v>
      </c>
      <c r="D527" t="s">
        <v>96</v>
      </c>
      <c r="E527">
        <v>4</v>
      </c>
      <c r="F527" t="s">
        <v>29</v>
      </c>
      <c r="G527" t="s">
        <v>40</v>
      </c>
      <c r="H527">
        <v>30.41</v>
      </c>
      <c r="I527" t="s">
        <v>27</v>
      </c>
      <c r="J527">
        <v>12</v>
      </c>
      <c r="K527">
        <v>557</v>
      </c>
      <c r="L527">
        <v>93.44</v>
      </c>
      <c r="M527">
        <v>13.79</v>
      </c>
      <c r="N527">
        <v>15.76</v>
      </c>
      <c r="O527">
        <v>7.53</v>
      </c>
      <c r="P527">
        <v>595.96</v>
      </c>
      <c r="Q527">
        <v>130</v>
      </c>
      <c r="R527">
        <v>4</v>
      </c>
      <c r="S527">
        <v>85</v>
      </c>
    </row>
    <row r="528" spans="1:19" x14ac:dyDescent="0.3">
      <c r="A528">
        <v>527</v>
      </c>
      <c r="B528" t="s">
        <v>362</v>
      </c>
      <c r="C528">
        <v>2021</v>
      </c>
      <c r="D528" t="s">
        <v>96</v>
      </c>
      <c r="E528">
        <v>4</v>
      </c>
      <c r="F528" t="s">
        <v>29</v>
      </c>
      <c r="G528" t="s">
        <v>35</v>
      </c>
      <c r="H528">
        <v>44.46</v>
      </c>
      <c r="I528" t="s">
        <v>47</v>
      </c>
      <c r="J528">
        <v>4</v>
      </c>
      <c r="K528">
        <v>286</v>
      </c>
      <c r="L528">
        <v>77.599999999999994</v>
      </c>
      <c r="M528">
        <v>32.67</v>
      </c>
      <c r="N528">
        <v>9.64</v>
      </c>
      <c r="O528">
        <v>10.68</v>
      </c>
      <c r="P528">
        <v>303.49</v>
      </c>
      <c r="Q528">
        <v>299</v>
      </c>
      <c r="R528">
        <v>3</v>
      </c>
      <c r="S528">
        <v>65</v>
      </c>
    </row>
    <row r="529" spans="1:19" x14ac:dyDescent="0.3">
      <c r="A529">
        <v>528</v>
      </c>
      <c r="B529" t="s">
        <v>351</v>
      </c>
      <c r="C529">
        <v>2021</v>
      </c>
      <c r="D529" t="s">
        <v>96</v>
      </c>
      <c r="E529">
        <v>4</v>
      </c>
      <c r="F529" t="s">
        <v>34</v>
      </c>
      <c r="G529" t="s">
        <v>26</v>
      </c>
      <c r="H529">
        <v>47.09</v>
      </c>
      <c r="I529" t="s">
        <v>32</v>
      </c>
      <c r="J529">
        <v>47</v>
      </c>
      <c r="K529">
        <v>354</v>
      </c>
      <c r="L529">
        <v>87.35</v>
      </c>
      <c r="M529">
        <v>28.61</v>
      </c>
      <c r="N529">
        <v>2.7</v>
      </c>
      <c r="O529">
        <v>2.19</v>
      </c>
      <c r="P529">
        <v>272.91000000000003</v>
      </c>
      <c r="Q529">
        <v>957</v>
      </c>
      <c r="R529">
        <v>2</v>
      </c>
      <c r="S529">
        <v>236</v>
      </c>
    </row>
    <row r="530" spans="1:19" x14ac:dyDescent="0.3">
      <c r="A530">
        <v>529</v>
      </c>
      <c r="B530" t="s">
        <v>357</v>
      </c>
      <c r="C530">
        <v>2021</v>
      </c>
      <c r="D530" t="s">
        <v>96</v>
      </c>
      <c r="E530">
        <v>4</v>
      </c>
      <c r="F530" t="s">
        <v>37</v>
      </c>
      <c r="G530" t="s">
        <v>40</v>
      </c>
      <c r="H530">
        <v>36.96</v>
      </c>
      <c r="I530" t="s">
        <v>27</v>
      </c>
      <c r="J530">
        <v>41</v>
      </c>
      <c r="K530">
        <v>138</v>
      </c>
      <c r="L530">
        <v>79.959999999999994</v>
      </c>
      <c r="M530">
        <v>11.32</v>
      </c>
      <c r="N530">
        <v>11.41</v>
      </c>
      <c r="O530">
        <v>3.42</v>
      </c>
      <c r="P530">
        <v>249.81</v>
      </c>
      <c r="Q530">
        <v>220</v>
      </c>
      <c r="R530">
        <v>5</v>
      </c>
      <c r="S530">
        <v>153</v>
      </c>
    </row>
    <row r="531" spans="1:19" x14ac:dyDescent="0.3">
      <c r="A531">
        <v>530</v>
      </c>
      <c r="B531" t="s">
        <v>363</v>
      </c>
      <c r="C531">
        <v>2021</v>
      </c>
      <c r="D531" t="s">
        <v>96</v>
      </c>
      <c r="E531">
        <v>4</v>
      </c>
      <c r="F531" t="s">
        <v>25</v>
      </c>
      <c r="G531" t="s">
        <v>22</v>
      </c>
      <c r="H531">
        <v>7.26</v>
      </c>
      <c r="I531" t="s">
        <v>47</v>
      </c>
      <c r="J531">
        <v>6</v>
      </c>
      <c r="K531">
        <v>379</v>
      </c>
      <c r="L531">
        <v>94.29</v>
      </c>
      <c r="M531">
        <v>7.27</v>
      </c>
      <c r="N531">
        <v>9.0399999999999991</v>
      </c>
      <c r="O531">
        <v>8.68</v>
      </c>
      <c r="P531">
        <v>347.27</v>
      </c>
      <c r="Q531">
        <v>974</v>
      </c>
      <c r="R531">
        <v>3</v>
      </c>
      <c r="S531">
        <v>210</v>
      </c>
    </row>
    <row r="532" spans="1:19" x14ac:dyDescent="0.3">
      <c r="A532">
        <v>531</v>
      </c>
      <c r="B532" t="s">
        <v>356</v>
      </c>
      <c r="C532">
        <v>2021</v>
      </c>
      <c r="D532" t="s">
        <v>96</v>
      </c>
      <c r="E532">
        <v>4</v>
      </c>
      <c r="F532" t="s">
        <v>37</v>
      </c>
      <c r="G532" t="s">
        <v>40</v>
      </c>
      <c r="H532">
        <v>40.43</v>
      </c>
      <c r="I532" t="s">
        <v>23</v>
      </c>
      <c r="J532">
        <v>8</v>
      </c>
      <c r="K532">
        <v>394</v>
      </c>
      <c r="L532">
        <v>81.09</v>
      </c>
      <c r="M532">
        <v>26.43</v>
      </c>
      <c r="N532">
        <v>17.3</v>
      </c>
      <c r="O532">
        <v>10.68</v>
      </c>
      <c r="P532">
        <v>507.89</v>
      </c>
      <c r="Q532">
        <v>841</v>
      </c>
      <c r="R532">
        <v>1</v>
      </c>
      <c r="S532">
        <v>242</v>
      </c>
    </row>
    <row r="533" spans="1:19" x14ac:dyDescent="0.3">
      <c r="A533">
        <v>532</v>
      </c>
      <c r="B533" t="s">
        <v>360</v>
      </c>
      <c r="C533">
        <v>2021</v>
      </c>
      <c r="D533" t="s">
        <v>96</v>
      </c>
      <c r="E533">
        <v>4</v>
      </c>
      <c r="F533" t="s">
        <v>53</v>
      </c>
      <c r="G533" t="s">
        <v>42</v>
      </c>
      <c r="H533">
        <v>5.48</v>
      </c>
      <c r="I533" t="s">
        <v>32</v>
      </c>
      <c r="J533">
        <v>26</v>
      </c>
      <c r="K533">
        <v>169</v>
      </c>
      <c r="L533">
        <v>87.66</v>
      </c>
      <c r="M533">
        <v>22.36</v>
      </c>
      <c r="N533">
        <v>10.54</v>
      </c>
      <c r="O533">
        <v>12</v>
      </c>
      <c r="P533">
        <v>311.75</v>
      </c>
      <c r="Q533">
        <v>740</v>
      </c>
      <c r="R533">
        <v>4</v>
      </c>
      <c r="S533">
        <v>190</v>
      </c>
    </row>
    <row r="534" spans="1:19" x14ac:dyDescent="0.3">
      <c r="A534">
        <v>533</v>
      </c>
      <c r="B534" t="s">
        <v>364</v>
      </c>
      <c r="C534">
        <v>2021</v>
      </c>
      <c r="D534" t="s">
        <v>96</v>
      </c>
      <c r="E534">
        <v>4</v>
      </c>
      <c r="F534" t="s">
        <v>31</v>
      </c>
      <c r="G534" t="s">
        <v>22</v>
      </c>
      <c r="H534">
        <v>36.909999999999997</v>
      </c>
      <c r="I534" t="s">
        <v>38</v>
      </c>
      <c r="J534">
        <v>14</v>
      </c>
      <c r="K534">
        <v>247</v>
      </c>
      <c r="L534">
        <v>92.2</v>
      </c>
      <c r="M534">
        <v>30.5</v>
      </c>
      <c r="N534">
        <v>12.72</v>
      </c>
      <c r="O534">
        <v>2.85</v>
      </c>
      <c r="P534">
        <v>258.87</v>
      </c>
      <c r="Q534">
        <v>748</v>
      </c>
      <c r="R534">
        <v>2</v>
      </c>
      <c r="S534">
        <v>76</v>
      </c>
    </row>
    <row r="535" spans="1:19" x14ac:dyDescent="0.3">
      <c r="A535">
        <v>534</v>
      </c>
      <c r="B535" t="s">
        <v>362</v>
      </c>
      <c r="C535">
        <v>2021</v>
      </c>
      <c r="D535" t="s">
        <v>96</v>
      </c>
      <c r="E535">
        <v>4</v>
      </c>
      <c r="F535" t="s">
        <v>21</v>
      </c>
      <c r="G535" t="s">
        <v>42</v>
      </c>
      <c r="H535">
        <v>43.25</v>
      </c>
      <c r="I535" t="s">
        <v>27</v>
      </c>
      <c r="J535">
        <v>30</v>
      </c>
      <c r="K535">
        <v>285</v>
      </c>
      <c r="L535">
        <v>87.66</v>
      </c>
      <c r="M535">
        <v>5.95</v>
      </c>
      <c r="N535">
        <v>20.55</v>
      </c>
      <c r="O535">
        <v>7.84</v>
      </c>
      <c r="P535">
        <v>561.75</v>
      </c>
      <c r="Q535">
        <v>1063</v>
      </c>
      <c r="R535">
        <v>5</v>
      </c>
      <c r="S535">
        <v>81</v>
      </c>
    </row>
    <row r="536" spans="1:19" x14ac:dyDescent="0.3">
      <c r="A536">
        <v>535</v>
      </c>
      <c r="B536" t="s">
        <v>354</v>
      </c>
      <c r="C536">
        <v>2021</v>
      </c>
      <c r="D536" t="s">
        <v>96</v>
      </c>
      <c r="E536">
        <v>4</v>
      </c>
      <c r="F536" t="s">
        <v>25</v>
      </c>
      <c r="G536" t="s">
        <v>42</v>
      </c>
      <c r="H536">
        <v>39.83</v>
      </c>
      <c r="I536" t="s">
        <v>32</v>
      </c>
      <c r="J536">
        <v>1</v>
      </c>
      <c r="K536">
        <v>314</v>
      </c>
      <c r="L536">
        <v>88.76</v>
      </c>
      <c r="M536">
        <v>12.63</v>
      </c>
      <c r="N536">
        <v>17.57</v>
      </c>
      <c r="O536">
        <v>2.31</v>
      </c>
      <c r="P536">
        <v>391.56</v>
      </c>
      <c r="Q536">
        <v>362</v>
      </c>
      <c r="R536">
        <v>3</v>
      </c>
      <c r="S536">
        <v>200</v>
      </c>
    </row>
    <row r="537" spans="1:19" x14ac:dyDescent="0.3">
      <c r="A537">
        <v>536</v>
      </c>
      <c r="B537" t="s">
        <v>359</v>
      </c>
      <c r="C537">
        <v>2021</v>
      </c>
      <c r="D537" t="s">
        <v>96</v>
      </c>
      <c r="E537">
        <v>4</v>
      </c>
      <c r="F537" t="s">
        <v>21</v>
      </c>
      <c r="G537" t="s">
        <v>35</v>
      </c>
      <c r="H537">
        <v>22.48</v>
      </c>
      <c r="I537" t="s">
        <v>32</v>
      </c>
      <c r="J537">
        <v>25</v>
      </c>
      <c r="K537">
        <v>138</v>
      </c>
      <c r="L537">
        <v>94</v>
      </c>
      <c r="M537">
        <v>15.28</v>
      </c>
      <c r="N537">
        <v>7.8</v>
      </c>
      <c r="O537">
        <v>7.55</v>
      </c>
      <c r="P537">
        <v>128.9</v>
      </c>
      <c r="Q537">
        <v>915</v>
      </c>
      <c r="R537">
        <v>1</v>
      </c>
      <c r="S537">
        <v>193</v>
      </c>
    </row>
    <row r="538" spans="1:19" x14ac:dyDescent="0.3">
      <c r="A538">
        <v>537</v>
      </c>
      <c r="B538" t="s">
        <v>362</v>
      </c>
      <c r="C538">
        <v>2021</v>
      </c>
      <c r="D538" t="s">
        <v>96</v>
      </c>
      <c r="E538">
        <v>4</v>
      </c>
      <c r="F538" t="s">
        <v>25</v>
      </c>
      <c r="G538" t="s">
        <v>26</v>
      </c>
      <c r="H538">
        <v>30.78</v>
      </c>
      <c r="I538" t="s">
        <v>32</v>
      </c>
      <c r="J538">
        <v>40</v>
      </c>
      <c r="K538">
        <v>163</v>
      </c>
      <c r="L538">
        <v>77.5</v>
      </c>
      <c r="M538">
        <v>15.11</v>
      </c>
      <c r="N538">
        <v>11.55</v>
      </c>
      <c r="O538">
        <v>4.49</v>
      </c>
      <c r="P538">
        <v>542.24</v>
      </c>
      <c r="Q538">
        <v>717</v>
      </c>
      <c r="R538">
        <v>5</v>
      </c>
      <c r="S538">
        <v>116</v>
      </c>
    </row>
    <row r="539" spans="1:19" x14ac:dyDescent="0.3">
      <c r="A539">
        <v>538</v>
      </c>
      <c r="B539" t="s">
        <v>354</v>
      </c>
      <c r="C539">
        <v>2021</v>
      </c>
      <c r="D539" t="s">
        <v>96</v>
      </c>
      <c r="E539">
        <v>4</v>
      </c>
      <c r="F539" t="s">
        <v>29</v>
      </c>
      <c r="G539" t="s">
        <v>22</v>
      </c>
      <c r="H539">
        <v>49.91</v>
      </c>
      <c r="I539" t="s">
        <v>23</v>
      </c>
      <c r="J539">
        <v>38</v>
      </c>
      <c r="K539">
        <v>302</v>
      </c>
      <c r="L539">
        <v>76.83</v>
      </c>
      <c r="M539">
        <v>24.21</v>
      </c>
      <c r="N539">
        <v>11.36</v>
      </c>
      <c r="O539">
        <v>5.69</v>
      </c>
      <c r="P539">
        <v>129.32</v>
      </c>
      <c r="Q539">
        <v>817</v>
      </c>
      <c r="R539">
        <v>3</v>
      </c>
      <c r="S539">
        <v>61</v>
      </c>
    </row>
    <row r="540" spans="1:19" x14ac:dyDescent="0.3">
      <c r="A540">
        <v>539</v>
      </c>
      <c r="B540" t="s">
        <v>365</v>
      </c>
      <c r="C540">
        <v>2021</v>
      </c>
      <c r="D540" t="s">
        <v>96</v>
      </c>
      <c r="E540">
        <v>4</v>
      </c>
      <c r="F540" t="s">
        <v>34</v>
      </c>
      <c r="G540" t="s">
        <v>42</v>
      </c>
      <c r="H540">
        <v>38.61</v>
      </c>
      <c r="I540" t="s">
        <v>47</v>
      </c>
      <c r="J540">
        <v>30</v>
      </c>
      <c r="K540">
        <v>382</v>
      </c>
      <c r="L540">
        <v>92.6</v>
      </c>
      <c r="M540">
        <v>7.2</v>
      </c>
      <c r="N540">
        <v>15.95</v>
      </c>
      <c r="O540">
        <v>1.69</v>
      </c>
      <c r="P540">
        <v>470.64</v>
      </c>
      <c r="Q540">
        <v>965</v>
      </c>
      <c r="R540">
        <v>3</v>
      </c>
      <c r="S540">
        <v>177</v>
      </c>
    </row>
    <row r="541" spans="1:19" x14ac:dyDescent="0.3">
      <c r="A541">
        <v>540</v>
      </c>
      <c r="B541" t="s">
        <v>353</v>
      </c>
      <c r="C541">
        <v>2021</v>
      </c>
      <c r="D541" t="s">
        <v>96</v>
      </c>
      <c r="E541">
        <v>4</v>
      </c>
      <c r="F541" t="s">
        <v>25</v>
      </c>
      <c r="G541" t="s">
        <v>42</v>
      </c>
      <c r="H541">
        <v>22.35</v>
      </c>
      <c r="I541" t="s">
        <v>27</v>
      </c>
      <c r="J541">
        <v>37</v>
      </c>
      <c r="K541">
        <v>486</v>
      </c>
      <c r="L541">
        <v>87.96</v>
      </c>
      <c r="M541">
        <v>13.41</v>
      </c>
      <c r="N541">
        <v>21.74</v>
      </c>
      <c r="O541">
        <v>4.03</v>
      </c>
      <c r="P541">
        <v>486.84</v>
      </c>
      <c r="Q541">
        <v>956</v>
      </c>
      <c r="R541">
        <v>2</v>
      </c>
      <c r="S541">
        <v>110</v>
      </c>
    </row>
    <row r="542" spans="1:19" x14ac:dyDescent="0.3">
      <c r="A542">
        <v>541</v>
      </c>
      <c r="B542" t="s">
        <v>360</v>
      </c>
      <c r="C542">
        <v>2021</v>
      </c>
      <c r="D542" t="s">
        <v>96</v>
      </c>
      <c r="E542">
        <v>4</v>
      </c>
      <c r="F542" t="s">
        <v>62</v>
      </c>
      <c r="G542" t="s">
        <v>26</v>
      </c>
      <c r="H542">
        <v>54.81</v>
      </c>
      <c r="I542" t="s">
        <v>47</v>
      </c>
      <c r="J542">
        <v>11</v>
      </c>
      <c r="K542">
        <v>282</v>
      </c>
      <c r="L542">
        <v>77.510000000000005</v>
      </c>
      <c r="M542">
        <v>22.23</v>
      </c>
      <c r="N542">
        <v>18.86</v>
      </c>
      <c r="O542">
        <v>3.06</v>
      </c>
      <c r="P542">
        <v>459.9</v>
      </c>
      <c r="Q542">
        <v>866</v>
      </c>
      <c r="R542">
        <v>3</v>
      </c>
      <c r="S542">
        <v>142</v>
      </c>
    </row>
    <row r="543" spans="1:19" x14ac:dyDescent="0.3">
      <c r="A543">
        <v>542</v>
      </c>
      <c r="B543" t="s">
        <v>366</v>
      </c>
      <c r="C543">
        <v>2021</v>
      </c>
      <c r="D543" t="s">
        <v>96</v>
      </c>
      <c r="E543">
        <v>4</v>
      </c>
      <c r="F543" t="s">
        <v>62</v>
      </c>
      <c r="G543" t="s">
        <v>35</v>
      </c>
      <c r="H543">
        <v>40.44</v>
      </c>
      <c r="I543" t="s">
        <v>38</v>
      </c>
      <c r="J543">
        <v>47</v>
      </c>
      <c r="K543">
        <v>348</v>
      </c>
      <c r="L543">
        <v>75.61</v>
      </c>
      <c r="M543">
        <v>22.01</v>
      </c>
      <c r="N543">
        <v>16.39</v>
      </c>
      <c r="O543">
        <v>5.62</v>
      </c>
      <c r="P543">
        <v>452.97</v>
      </c>
      <c r="Q543">
        <v>641</v>
      </c>
      <c r="R543">
        <v>4</v>
      </c>
      <c r="S543">
        <v>181</v>
      </c>
    </row>
    <row r="544" spans="1:19" x14ac:dyDescent="0.3">
      <c r="A544">
        <v>543</v>
      </c>
      <c r="B544" t="s">
        <v>355</v>
      </c>
      <c r="C544">
        <v>2021</v>
      </c>
      <c r="D544" t="s">
        <v>96</v>
      </c>
      <c r="E544">
        <v>4</v>
      </c>
      <c r="F544" t="s">
        <v>21</v>
      </c>
      <c r="G544" t="s">
        <v>22</v>
      </c>
      <c r="H544">
        <v>34.99</v>
      </c>
      <c r="I544" t="s">
        <v>27</v>
      </c>
      <c r="J544">
        <v>25</v>
      </c>
      <c r="K544">
        <v>461</v>
      </c>
      <c r="L544">
        <v>93.99</v>
      </c>
      <c r="M544">
        <v>18.96</v>
      </c>
      <c r="N544">
        <v>14.65</v>
      </c>
      <c r="O544">
        <v>4.96</v>
      </c>
      <c r="P544">
        <v>170.19</v>
      </c>
      <c r="Q544">
        <v>501</v>
      </c>
      <c r="R544">
        <v>2</v>
      </c>
      <c r="S544">
        <v>240</v>
      </c>
    </row>
    <row r="545" spans="1:19" x14ac:dyDescent="0.3">
      <c r="A545">
        <v>544</v>
      </c>
      <c r="B545" t="s">
        <v>363</v>
      </c>
      <c r="C545">
        <v>2021</v>
      </c>
      <c r="D545" t="s">
        <v>96</v>
      </c>
      <c r="E545">
        <v>4</v>
      </c>
      <c r="F545" t="s">
        <v>34</v>
      </c>
      <c r="G545" t="s">
        <v>40</v>
      </c>
      <c r="H545">
        <v>35.450000000000003</v>
      </c>
      <c r="I545" t="s">
        <v>47</v>
      </c>
      <c r="J545">
        <v>9</v>
      </c>
      <c r="K545">
        <v>551</v>
      </c>
      <c r="L545">
        <v>80.05</v>
      </c>
      <c r="M545">
        <v>17.45</v>
      </c>
      <c r="N545">
        <v>21.99</v>
      </c>
      <c r="O545">
        <v>3.63</v>
      </c>
      <c r="P545">
        <v>280.25</v>
      </c>
      <c r="Q545">
        <v>603</v>
      </c>
      <c r="R545">
        <v>2</v>
      </c>
      <c r="S545">
        <v>102</v>
      </c>
    </row>
    <row r="546" spans="1:19" x14ac:dyDescent="0.3">
      <c r="A546">
        <v>545</v>
      </c>
      <c r="B546" t="s">
        <v>367</v>
      </c>
      <c r="C546">
        <v>2021</v>
      </c>
      <c r="D546" t="s">
        <v>96</v>
      </c>
      <c r="E546">
        <v>5</v>
      </c>
      <c r="F546" t="s">
        <v>37</v>
      </c>
      <c r="G546" t="s">
        <v>26</v>
      </c>
      <c r="H546">
        <v>15.14</v>
      </c>
      <c r="I546" t="s">
        <v>23</v>
      </c>
      <c r="J546">
        <v>7</v>
      </c>
      <c r="K546">
        <v>175</v>
      </c>
      <c r="L546">
        <v>89.03</v>
      </c>
      <c r="M546">
        <v>18.59</v>
      </c>
      <c r="N546">
        <v>11.21</v>
      </c>
      <c r="O546">
        <v>7.49</v>
      </c>
      <c r="P546">
        <v>398.39</v>
      </c>
      <c r="Q546">
        <v>655</v>
      </c>
      <c r="R546">
        <v>1</v>
      </c>
      <c r="S546">
        <v>160</v>
      </c>
    </row>
    <row r="547" spans="1:19" x14ac:dyDescent="0.3">
      <c r="A547">
        <v>546</v>
      </c>
      <c r="B547" t="s">
        <v>368</v>
      </c>
      <c r="C547">
        <v>2021</v>
      </c>
      <c r="D547" t="s">
        <v>96</v>
      </c>
      <c r="E547">
        <v>5</v>
      </c>
      <c r="F547" t="s">
        <v>62</v>
      </c>
      <c r="G547" t="s">
        <v>35</v>
      </c>
      <c r="H547">
        <v>39.49</v>
      </c>
      <c r="I547" t="s">
        <v>38</v>
      </c>
      <c r="J547">
        <v>12</v>
      </c>
      <c r="K547">
        <v>480</v>
      </c>
      <c r="L547">
        <v>78.290000000000006</v>
      </c>
      <c r="M547">
        <v>18.52</v>
      </c>
      <c r="N547">
        <v>11.12</v>
      </c>
      <c r="O547">
        <v>6.04</v>
      </c>
      <c r="P547">
        <v>110.14</v>
      </c>
      <c r="Q547">
        <v>609</v>
      </c>
      <c r="R547">
        <v>2</v>
      </c>
      <c r="S547">
        <v>239</v>
      </c>
    </row>
    <row r="548" spans="1:19" x14ac:dyDescent="0.3">
      <c r="A548">
        <v>547</v>
      </c>
      <c r="B548" t="s">
        <v>369</v>
      </c>
      <c r="C548">
        <v>2021</v>
      </c>
      <c r="D548" t="s">
        <v>96</v>
      </c>
      <c r="E548">
        <v>5</v>
      </c>
      <c r="F548" t="s">
        <v>62</v>
      </c>
      <c r="G548" t="s">
        <v>35</v>
      </c>
      <c r="H548">
        <v>5.88</v>
      </c>
      <c r="I548" t="s">
        <v>47</v>
      </c>
      <c r="J548">
        <v>33</v>
      </c>
      <c r="K548">
        <v>491</v>
      </c>
      <c r="L548">
        <v>94.7</v>
      </c>
      <c r="M548">
        <v>25.33</v>
      </c>
      <c r="N548">
        <v>11.41</v>
      </c>
      <c r="O548">
        <v>7.86</v>
      </c>
      <c r="P548">
        <v>489.71</v>
      </c>
      <c r="Q548">
        <v>858</v>
      </c>
      <c r="R548">
        <v>5</v>
      </c>
      <c r="S548">
        <v>132</v>
      </c>
    </row>
    <row r="549" spans="1:19" x14ac:dyDescent="0.3">
      <c r="A549">
        <v>548</v>
      </c>
      <c r="B549" t="s">
        <v>370</v>
      </c>
      <c r="C549">
        <v>2021</v>
      </c>
      <c r="D549" t="s">
        <v>96</v>
      </c>
      <c r="E549">
        <v>5</v>
      </c>
      <c r="F549" t="s">
        <v>62</v>
      </c>
      <c r="G549" t="s">
        <v>42</v>
      </c>
      <c r="H549">
        <v>38.74</v>
      </c>
      <c r="I549" t="s">
        <v>27</v>
      </c>
      <c r="J549">
        <v>46</v>
      </c>
      <c r="K549">
        <v>289</v>
      </c>
      <c r="L549">
        <v>82.88</v>
      </c>
      <c r="M549">
        <v>30.32</v>
      </c>
      <c r="N549">
        <v>16.52</v>
      </c>
      <c r="O549">
        <v>2.09</v>
      </c>
      <c r="P549">
        <v>466.03</v>
      </c>
      <c r="Q549">
        <v>276</v>
      </c>
      <c r="R549">
        <v>2</v>
      </c>
      <c r="S549">
        <v>225</v>
      </c>
    </row>
    <row r="550" spans="1:19" x14ac:dyDescent="0.3">
      <c r="A550">
        <v>549</v>
      </c>
      <c r="B550" t="s">
        <v>371</v>
      </c>
      <c r="C550">
        <v>2021</v>
      </c>
      <c r="D550" t="s">
        <v>96</v>
      </c>
      <c r="E550">
        <v>5</v>
      </c>
      <c r="F550" t="s">
        <v>31</v>
      </c>
      <c r="G550" t="s">
        <v>40</v>
      </c>
      <c r="H550">
        <v>46.17</v>
      </c>
      <c r="I550" t="s">
        <v>32</v>
      </c>
      <c r="J550">
        <v>29</v>
      </c>
      <c r="K550">
        <v>139</v>
      </c>
      <c r="L550">
        <v>80.47</v>
      </c>
      <c r="M550">
        <v>25.32</v>
      </c>
      <c r="N550">
        <v>14.03</v>
      </c>
      <c r="O550">
        <v>15.99</v>
      </c>
      <c r="P550">
        <v>252.03</v>
      </c>
      <c r="Q550">
        <v>103</v>
      </c>
      <c r="R550">
        <v>3</v>
      </c>
      <c r="S550">
        <v>154</v>
      </c>
    </row>
    <row r="551" spans="1:19" x14ac:dyDescent="0.3">
      <c r="A551">
        <v>550</v>
      </c>
      <c r="B551" t="s">
        <v>372</v>
      </c>
      <c r="C551">
        <v>2021</v>
      </c>
      <c r="D551" t="s">
        <v>96</v>
      </c>
      <c r="E551">
        <v>5</v>
      </c>
      <c r="F551" t="s">
        <v>25</v>
      </c>
      <c r="G551" t="s">
        <v>42</v>
      </c>
      <c r="H551">
        <v>51.61</v>
      </c>
      <c r="I551" t="s">
        <v>38</v>
      </c>
      <c r="J551">
        <v>8</v>
      </c>
      <c r="K551">
        <v>391</v>
      </c>
      <c r="L551">
        <v>76.94</v>
      </c>
      <c r="M551">
        <v>22.95</v>
      </c>
      <c r="N551">
        <v>7.89</v>
      </c>
      <c r="O551">
        <v>15.95</v>
      </c>
      <c r="P551">
        <v>578.08000000000004</v>
      </c>
      <c r="Q551">
        <v>133</v>
      </c>
      <c r="R551">
        <v>4</v>
      </c>
      <c r="S551">
        <v>152</v>
      </c>
    </row>
    <row r="552" spans="1:19" x14ac:dyDescent="0.3">
      <c r="A552">
        <v>551</v>
      </c>
      <c r="B552" t="s">
        <v>373</v>
      </c>
      <c r="C552">
        <v>2021</v>
      </c>
      <c r="D552" t="s">
        <v>96</v>
      </c>
      <c r="E552">
        <v>5</v>
      </c>
      <c r="F552" t="s">
        <v>37</v>
      </c>
      <c r="G552" t="s">
        <v>22</v>
      </c>
      <c r="H552">
        <v>30.16</v>
      </c>
      <c r="I552" t="s">
        <v>23</v>
      </c>
      <c r="J552">
        <v>13</v>
      </c>
      <c r="K552">
        <v>485</v>
      </c>
      <c r="L552">
        <v>80.86</v>
      </c>
      <c r="M552">
        <v>23.8</v>
      </c>
      <c r="N552">
        <v>14.64</v>
      </c>
      <c r="O552">
        <v>15.28</v>
      </c>
      <c r="P552">
        <v>174.69</v>
      </c>
      <c r="Q552">
        <v>1012</v>
      </c>
      <c r="R552">
        <v>4</v>
      </c>
      <c r="S552">
        <v>156</v>
      </c>
    </row>
    <row r="553" spans="1:19" x14ac:dyDescent="0.3">
      <c r="A553">
        <v>552</v>
      </c>
      <c r="B553" t="s">
        <v>371</v>
      </c>
      <c r="C553">
        <v>2021</v>
      </c>
      <c r="D553" t="s">
        <v>96</v>
      </c>
      <c r="E553">
        <v>5</v>
      </c>
      <c r="F553" t="s">
        <v>62</v>
      </c>
      <c r="G553" t="s">
        <v>22</v>
      </c>
      <c r="H553">
        <v>51.22</v>
      </c>
      <c r="I553" t="s">
        <v>27</v>
      </c>
      <c r="J553">
        <v>49</v>
      </c>
      <c r="K553">
        <v>175</v>
      </c>
      <c r="L553">
        <v>80.319999999999993</v>
      </c>
      <c r="M553">
        <v>34.020000000000003</v>
      </c>
      <c r="N553">
        <v>6.55</v>
      </c>
      <c r="O553">
        <v>9.34</v>
      </c>
      <c r="P553">
        <v>381.21</v>
      </c>
      <c r="Q553">
        <v>375</v>
      </c>
      <c r="R553">
        <v>1</v>
      </c>
      <c r="S553">
        <v>185</v>
      </c>
    </row>
    <row r="554" spans="1:19" x14ac:dyDescent="0.3">
      <c r="A554">
        <v>553</v>
      </c>
      <c r="B554" t="s">
        <v>374</v>
      </c>
      <c r="C554">
        <v>2021</v>
      </c>
      <c r="D554" t="s">
        <v>96</v>
      </c>
      <c r="E554">
        <v>5</v>
      </c>
      <c r="F554" t="s">
        <v>29</v>
      </c>
      <c r="G554" t="s">
        <v>22</v>
      </c>
      <c r="H554">
        <v>44.11</v>
      </c>
      <c r="I554" t="s">
        <v>27</v>
      </c>
      <c r="J554">
        <v>10</v>
      </c>
      <c r="K554">
        <v>218</v>
      </c>
      <c r="L554">
        <v>82.87</v>
      </c>
      <c r="M554">
        <v>26.57</v>
      </c>
      <c r="N554">
        <v>11.5</v>
      </c>
      <c r="O554">
        <v>9.0500000000000007</v>
      </c>
      <c r="P554">
        <v>584.97</v>
      </c>
      <c r="Q554">
        <v>306</v>
      </c>
      <c r="R554">
        <v>4</v>
      </c>
      <c r="S554">
        <v>92</v>
      </c>
    </row>
    <row r="555" spans="1:19" x14ac:dyDescent="0.3">
      <c r="A555">
        <v>554</v>
      </c>
      <c r="B555" t="s">
        <v>375</v>
      </c>
      <c r="C555">
        <v>2021</v>
      </c>
      <c r="D555" t="s">
        <v>96</v>
      </c>
      <c r="E555">
        <v>5</v>
      </c>
      <c r="F555" t="s">
        <v>34</v>
      </c>
      <c r="G555" t="s">
        <v>22</v>
      </c>
      <c r="H555">
        <v>10.35</v>
      </c>
      <c r="I555" t="s">
        <v>38</v>
      </c>
      <c r="J555">
        <v>27</v>
      </c>
      <c r="K555">
        <v>172</v>
      </c>
      <c r="L555">
        <v>81.010000000000005</v>
      </c>
      <c r="M555">
        <v>23.38</v>
      </c>
      <c r="N555">
        <v>10.36</v>
      </c>
      <c r="O555">
        <v>7.98</v>
      </c>
      <c r="P555">
        <v>491.06</v>
      </c>
      <c r="Q555">
        <v>901</v>
      </c>
      <c r="R555">
        <v>5</v>
      </c>
      <c r="S555">
        <v>51</v>
      </c>
    </row>
    <row r="556" spans="1:19" x14ac:dyDescent="0.3">
      <c r="A556">
        <v>555</v>
      </c>
      <c r="B556" t="s">
        <v>376</v>
      </c>
      <c r="C556">
        <v>2021</v>
      </c>
      <c r="D556" t="s">
        <v>96</v>
      </c>
      <c r="E556">
        <v>5</v>
      </c>
      <c r="F556" t="s">
        <v>53</v>
      </c>
      <c r="G556" t="s">
        <v>22</v>
      </c>
      <c r="H556">
        <v>42.79</v>
      </c>
      <c r="I556" t="s">
        <v>47</v>
      </c>
      <c r="J556">
        <v>39</v>
      </c>
      <c r="K556">
        <v>253</v>
      </c>
      <c r="L556">
        <v>84.87</v>
      </c>
      <c r="M556">
        <v>32.090000000000003</v>
      </c>
      <c r="N556">
        <v>19.579999999999998</v>
      </c>
      <c r="O556">
        <v>4.92</v>
      </c>
      <c r="P556">
        <v>521.30999999999995</v>
      </c>
      <c r="Q556">
        <v>136</v>
      </c>
      <c r="R556">
        <v>1</v>
      </c>
      <c r="S556">
        <v>218</v>
      </c>
    </row>
    <row r="557" spans="1:19" x14ac:dyDescent="0.3">
      <c r="A557">
        <v>556</v>
      </c>
      <c r="B557" t="s">
        <v>377</v>
      </c>
      <c r="C557">
        <v>2021</v>
      </c>
      <c r="D557" t="s">
        <v>96</v>
      </c>
      <c r="E557">
        <v>5</v>
      </c>
      <c r="F557" t="s">
        <v>21</v>
      </c>
      <c r="G557" t="s">
        <v>42</v>
      </c>
      <c r="H557">
        <v>43.09</v>
      </c>
      <c r="I557" t="s">
        <v>38</v>
      </c>
      <c r="J557">
        <v>1</v>
      </c>
      <c r="K557">
        <v>438</v>
      </c>
      <c r="L557">
        <v>80.69</v>
      </c>
      <c r="M557">
        <v>13.86</v>
      </c>
      <c r="N557">
        <v>19.39</v>
      </c>
      <c r="O557">
        <v>10.72</v>
      </c>
      <c r="P557">
        <v>258.74</v>
      </c>
      <c r="Q557">
        <v>144</v>
      </c>
      <c r="R557">
        <v>3</v>
      </c>
      <c r="S557">
        <v>71</v>
      </c>
    </row>
    <row r="558" spans="1:19" x14ac:dyDescent="0.3">
      <c r="A558">
        <v>557</v>
      </c>
      <c r="B558" t="s">
        <v>378</v>
      </c>
      <c r="C558">
        <v>2021</v>
      </c>
      <c r="D558" t="s">
        <v>96</v>
      </c>
      <c r="E558">
        <v>5</v>
      </c>
      <c r="F558" t="s">
        <v>34</v>
      </c>
      <c r="G558" t="s">
        <v>42</v>
      </c>
      <c r="H558">
        <v>17.18</v>
      </c>
      <c r="I558" t="s">
        <v>32</v>
      </c>
      <c r="J558">
        <v>43</v>
      </c>
      <c r="K558">
        <v>398</v>
      </c>
      <c r="L558">
        <v>85.3</v>
      </c>
      <c r="M558">
        <v>15.1</v>
      </c>
      <c r="N558">
        <v>9.0500000000000007</v>
      </c>
      <c r="O558">
        <v>7.95</v>
      </c>
      <c r="P558">
        <v>431.47</v>
      </c>
      <c r="Q558">
        <v>348</v>
      </c>
      <c r="R558">
        <v>5</v>
      </c>
      <c r="S558">
        <v>96</v>
      </c>
    </row>
    <row r="559" spans="1:19" x14ac:dyDescent="0.3">
      <c r="A559">
        <v>558</v>
      </c>
      <c r="B559" t="s">
        <v>369</v>
      </c>
      <c r="C559">
        <v>2021</v>
      </c>
      <c r="D559" t="s">
        <v>96</v>
      </c>
      <c r="E559">
        <v>5</v>
      </c>
      <c r="F559" t="s">
        <v>31</v>
      </c>
      <c r="G559" t="s">
        <v>26</v>
      </c>
      <c r="H559">
        <v>35.56</v>
      </c>
      <c r="I559" t="s">
        <v>27</v>
      </c>
      <c r="J559">
        <v>30</v>
      </c>
      <c r="K559">
        <v>562</v>
      </c>
      <c r="L559">
        <v>81.599999999999994</v>
      </c>
      <c r="M559">
        <v>18.11</v>
      </c>
      <c r="N559">
        <v>14.9</v>
      </c>
      <c r="O559">
        <v>12.18</v>
      </c>
      <c r="P559">
        <v>104.44</v>
      </c>
      <c r="Q559">
        <v>135</v>
      </c>
      <c r="R559">
        <v>1</v>
      </c>
      <c r="S559">
        <v>108</v>
      </c>
    </row>
    <row r="560" spans="1:19" x14ac:dyDescent="0.3">
      <c r="A560">
        <v>559</v>
      </c>
      <c r="B560" t="s">
        <v>370</v>
      </c>
      <c r="C560">
        <v>2021</v>
      </c>
      <c r="D560" t="s">
        <v>96</v>
      </c>
      <c r="E560">
        <v>5</v>
      </c>
      <c r="F560" t="s">
        <v>21</v>
      </c>
      <c r="G560" t="s">
        <v>35</v>
      </c>
      <c r="H560">
        <v>21.13</v>
      </c>
      <c r="I560" t="s">
        <v>47</v>
      </c>
      <c r="J560">
        <v>39</v>
      </c>
      <c r="K560">
        <v>107</v>
      </c>
      <c r="L560">
        <v>85.37</v>
      </c>
      <c r="M560">
        <v>34.08</v>
      </c>
      <c r="N560">
        <v>13.28</v>
      </c>
      <c r="O560">
        <v>12.92</v>
      </c>
      <c r="P560">
        <v>220.18</v>
      </c>
      <c r="Q560">
        <v>835</v>
      </c>
      <c r="R560">
        <v>1</v>
      </c>
      <c r="S560">
        <v>193</v>
      </c>
    </row>
    <row r="561" spans="1:19" x14ac:dyDescent="0.3">
      <c r="A561">
        <v>560</v>
      </c>
      <c r="B561" t="s">
        <v>379</v>
      </c>
      <c r="C561">
        <v>2021</v>
      </c>
      <c r="D561" t="s">
        <v>96</v>
      </c>
      <c r="E561">
        <v>5</v>
      </c>
      <c r="F561" t="s">
        <v>29</v>
      </c>
      <c r="G561" t="s">
        <v>40</v>
      </c>
      <c r="H561">
        <v>27.64</v>
      </c>
      <c r="I561" t="s">
        <v>27</v>
      </c>
      <c r="J561">
        <v>24</v>
      </c>
      <c r="K561">
        <v>345</v>
      </c>
      <c r="L561">
        <v>80.8</v>
      </c>
      <c r="M561">
        <v>9.2100000000000009</v>
      </c>
      <c r="N561">
        <v>3.61</v>
      </c>
      <c r="O561">
        <v>6.53</v>
      </c>
      <c r="P561">
        <v>405.55</v>
      </c>
      <c r="Q561">
        <v>215</v>
      </c>
      <c r="R561">
        <v>4</v>
      </c>
      <c r="S561">
        <v>180</v>
      </c>
    </row>
    <row r="562" spans="1:19" x14ac:dyDescent="0.3">
      <c r="A562">
        <v>561</v>
      </c>
      <c r="B562" t="s">
        <v>369</v>
      </c>
      <c r="C562">
        <v>2021</v>
      </c>
      <c r="D562" t="s">
        <v>96</v>
      </c>
      <c r="E562">
        <v>5</v>
      </c>
      <c r="F562" t="s">
        <v>34</v>
      </c>
      <c r="G562" t="s">
        <v>42</v>
      </c>
      <c r="H562">
        <v>25.69</v>
      </c>
      <c r="I562" t="s">
        <v>38</v>
      </c>
      <c r="J562">
        <v>17</v>
      </c>
      <c r="K562">
        <v>417</v>
      </c>
      <c r="L562">
        <v>93.59</v>
      </c>
      <c r="M562">
        <v>17.53</v>
      </c>
      <c r="N562">
        <v>2.29</v>
      </c>
      <c r="O562">
        <v>11.28</v>
      </c>
      <c r="P562">
        <v>355.46</v>
      </c>
      <c r="Q562">
        <v>450</v>
      </c>
      <c r="R562">
        <v>3</v>
      </c>
      <c r="S562">
        <v>75</v>
      </c>
    </row>
    <row r="563" spans="1:19" x14ac:dyDescent="0.3">
      <c r="A563">
        <v>562</v>
      </c>
      <c r="B563" t="s">
        <v>380</v>
      </c>
      <c r="C563">
        <v>2021</v>
      </c>
      <c r="D563" t="s">
        <v>96</v>
      </c>
      <c r="E563">
        <v>5</v>
      </c>
      <c r="F563" t="s">
        <v>62</v>
      </c>
      <c r="G563" t="s">
        <v>42</v>
      </c>
      <c r="H563">
        <v>22.76</v>
      </c>
      <c r="I563" t="s">
        <v>47</v>
      </c>
      <c r="J563">
        <v>12</v>
      </c>
      <c r="K563">
        <v>204</v>
      </c>
      <c r="L563">
        <v>75.5</v>
      </c>
      <c r="M563">
        <v>11.47</v>
      </c>
      <c r="N563">
        <v>17.940000000000001</v>
      </c>
      <c r="O563">
        <v>8.81</v>
      </c>
      <c r="P563">
        <v>257.08</v>
      </c>
      <c r="Q563">
        <v>382</v>
      </c>
      <c r="R563">
        <v>4</v>
      </c>
      <c r="S563">
        <v>92</v>
      </c>
    </row>
    <row r="564" spans="1:19" x14ac:dyDescent="0.3">
      <c r="A564">
        <v>563</v>
      </c>
      <c r="B564" t="s">
        <v>381</v>
      </c>
      <c r="C564">
        <v>2021</v>
      </c>
      <c r="D564" t="s">
        <v>96</v>
      </c>
      <c r="E564">
        <v>5</v>
      </c>
      <c r="F564" t="s">
        <v>21</v>
      </c>
      <c r="G564" t="s">
        <v>35</v>
      </c>
      <c r="H564">
        <v>20.58</v>
      </c>
      <c r="I564" t="s">
        <v>32</v>
      </c>
      <c r="J564">
        <v>14</v>
      </c>
      <c r="K564">
        <v>432</v>
      </c>
      <c r="L564">
        <v>93.97</v>
      </c>
      <c r="M564">
        <v>33.99</v>
      </c>
      <c r="N564">
        <v>2.69</v>
      </c>
      <c r="O564">
        <v>1.69</v>
      </c>
      <c r="P564">
        <v>146.51</v>
      </c>
      <c r="Q564">
        <v>614</v>
      </c>
      <c r="R564">
        <v>5</v>
      </c>
      <c r="S564">
        <v>142</v>
      </c>
    </row>
    <row r="565" spans="1:19" x14ac:dyDescent="0.3">
      <c r="A565">
        <v>564</v>
      </c>
      <c r="B565" t="s">
        <v>374</v>
      </c>
      <c r="C565">
        <v>2021</v>
      </c>
      <c r="D565" t="s">
        <v>96</v>
      </c>
      <c r="E565">
        <v>5</v>
      </c>
      <c r="F565" t="s">
        <v>31</v>
      </c>
      <c r="G565" t="s">
        <v>22</v>
      </c>
      <c r="H565">
        <v>23.83</v>
      </c>
      <c r="I565" t="s">
        <v>23</v>
      </c>
      <c r="J565">
        <v>32</v>
      </c>
      <c r="K565">
        <v>419</v>
      </c>
      <c r="L565">
        <v>77.7</v>
      </c>
      <c r="M565">
        <v>22.53</v>
      </c>
      <c r="N565">
        <v>21.14</v>
      </c>
      <c r="O565">
        <v>9.5</v>
      </c>
      <c r="P565">
        <v>360.84</v>
      </c>
      <c r="Q565">
        <v>897</v>
      </c>
      <c r="R565">
        <v>5</v>
      </c>
      <c r="S565">
        <v>122</v>
      </c>
    </row>
    <row r="566" spans="1:19" x14ac:dyDescent="0.3">
      <c r="A566">
        <v>565</v>
      </c>
      <c r="B566" t="s">
        <v>382</v>
      </c>
      <c r="C566">
        <v>2021</v>
      </c>
      <c r="D566" t="s">
        <v>96</v>
      </c>
      <c r="E566">
        <v>5</v>
      </c>
      <c r="F566" t="s">
        <v>29</v>
      </c>
      <c r="G566" t="s">
        <v>35</v>
      </c>
      <c r="H566">
        <v>5.08</v>
      </c>
      <c r="I566" t="s">
        <v>38</v>
      </c>
      <c r="J566">
        <v>37</v>
      </c>
      <c r="K566">
        <v>364</v>
      </c>
      <c r="L566">
        <v>76.540000000000006</v>
      </c>
      <c r="M566">
        <v>26.88</v>
      </c>
      <c r="N566">
        <v>6.85</v>
      </c>
      <c r="O566">
        <v>6.7</v>
      </c>
      <c r="P566">
        <v>475.77</v>
      </c>
      <c r="Q566">
        <v>240</v>
      </c>
      <c r="R566">
        <v>4</v>
      </c>
      <c r="S566">
        <v>232</v>
      </c>
    </row>
    <row r="567" spans="1:19" x14ac:dyDescent="0.3">
      <c r="A567">
        <v>566</v>
      </c>
      <c r="B567" t="s">
        <v>383</v>
      </c>
      <c r="C567">
        <v>2021</v>
      </c>
      <c r="D567" t="s">
        <v>96</v>
      </c>
      <c r="E567">
        <v>5</v>
      </c>
      <c r="F567" t="s">
        <v>62</v>
      </c>
      <c r="G567" t="s">
        <v>26</v>
      </c>
      <c r="H567">
        <v>40.770000000000003</v>
      </c>
      <c r="I567" t="s">
        <v>27</v>
      </c>
      <c r="J567">
        <v>6</v>
      </c>
      <c r="K567">
        <v>224</v>
      </c>
      <c r="L567">
        <v>85.32</v>
      </c>
      <c r="M567">
        <v>19.53</v>
      </c>
      <c r="N567">
        <v>7.7</v>
      </c>
      <c r="O567">
        <v>3.24</v>
      </c>
      <c r="P567">
        <v>402.76</v>
      </c>
      <c r="Q567">
        <v>598</v>
      </c>
      <c r="R567">
        <v>1</v>
      </c>
      <c r="S567">
        <v>113</v>
      </c>
    </row>
    <row r="568" spans="1:19" x14ac:dyDescent="0.3">
      <c r="A568">
        <v>567</v>
      </c>
      <c r="B568" t="s">
        <v>376</v>
      </c>
      <c r="C568">
        <v>2021</v>
      </c>
      <c r="D568" t="s">
        <v>96</v>
      </c>
      <c r="E568">
        <v>5</v>
      </c>
      <c r="F568" t="s">
        <v>31</v>
      </c>
      <c r="G568" t="s">
        <v>42</v>
      </c>
      <c r="H568">
        <v>9.27</v>
      </c>
      <c r="I568" t="s">
        <v>32</v>
      </c>
      <c r="J568">
        <v>9</v>
      </c>
      <c r="K568">
        <v>348</v>
      </c>
      <c r="L568">
        <v>88.59</v>
      </c>
      <c r="M568">
        <v>5.08</v>
      </c>
      <c r="N568">
        <v>5.79</v>
      </c>
      <c r="O568">
        <v>3.95</v>
      </c>
      <c r="P568">
        <v>285.88</v>
      </c>
      <c r="Q568">
        <v>504</v>
      </c>
      <c r="R568">
        <v>3</v>
      </c>
      <c r="S568">
        <v>72</v>
      </c>
    </row>
    <row r="569" spans="1:19" x14ac:dyDescent="0.3">
      <c r="A569">
        <v>568</v>
      </c>
      <c r="B569" t="s">
        <v>384</v>
      </c>
      <c r="C569">
        <v>2021</v>
      </c>
      <c r="D569" t="s">
        <v>96</v>
      </c>
      <c r="E569">
        <v>5</v>
      </c>
      <c r="F569" t="s">
        <v>62</v>
      </c>
      <c r="G569" t="s">
        <v>40</v>
      </c>
      <c r="H569">
        <v>41.81</v>
      </c>
      <c r="I569" t="s">
        <v>32</v>
      </c>
      <c r="J569">
        <v>13</v>
      </c>
      <c r="K569">
        <v>406</v>
      </c>
      <c r="L569">
        <v>78.81</v>
      </c>
      <c r="M569">
        <v>6.58</v>
      </c>
      <c r="N569">
        <v>12.63</v>
      </c>
      <c r="O569">
        <v>9.3699999999999992</v>
      </c>
      <c r="P569">
        <v>287.73</v>
      </c>
      <c r="Q569">
        <v>326</v>
      </c>
      <c r="R569">
        <v>5</v>
      </c>
      <c r="S569">
        <v>209</v>
      </c>
    </row>
    <row r="570" spans="1:19" x14ac:dyDescent="0.3">
      <c r="A570">
        <v>569</v>
      </c>
      <c r="B570" t="s">
        <v>376</v>
      </c>
      <c r="C570">
        <v>2021</v>
      </c>
      <c r="D570" t="s">
        <v>96</v>
      </c>
      <c r="E570">
        <v>5</v>
      </c>
      <c r="F570" t="s">
        <v>53</v>
      </c>
      <c r="G570" t="s">
        <v>22</v>
      </c>
      <c r="H570">
        <v>8.6300000000000008</v>
      </c>
      <c r="I570" t="s">
        <v>23</v>
      </c>
      <c r="J570">
        <v>6</v>
      </c>
      <c r="K570">
        <v>393</v>
      </c>
      <c r="L570">
        <v>86.55</v>
      </c>
      <c r="M570">
        <v>11.05</v>
      </c>
      <c r="N570">
        <v>10.02</v>
      </c>
      <c r="O570">
        <v>11.9</v>
      </c>
      <c r="P570">
        <v>218.63</v>
      </c>
      <c r="Q570">
        <v>1022</v>
      </c>
      <c r="R570">
        <v>2</v>
      </c>
      <c r="S570">
        <v>201</v>
      </c>
    </row>
    <row r="571" spans="1:19" x14ac:dyDescent="0.3">
      <c r="A571">
        <v>570</v>
      </c>
      <c r="B571" t="s">
        <v>374</v>
      </c>
      <c r="C571">
        <v>2021</v>
      </c>
      <c r="D571" t="s">
        <v>96</v>
      </c>
      <c r="E571">
        <v>5</v>
      </c>
      <c r="F571" t="s">
        <v>21</v>
      </c>
      <c r="G571" t="s">
        <v>22</v>
      </c>
      <c r="H571">
        <v>12.25</v>
      </c>
      <c r="I571" t="s">
        <v>38</v>
      </c>
      <c r="J571">
        <v>30</v>
      </c>
      <c r="K571">
        <v>381</v>
      </c>
      <c r="L571">
        <v>83.44</v>
      </c>
      <c r="M571">
        <v>7.81</v>
      </c>
      <c r="N571">
        <v>20.12</v>
      </c>
      <c r="O571">
        <v>9.76</v>
      </c>
      <c r="P571">
        <v>171.27</v>
      </c>
      <c r="Q571">
        <v>319</v>
      </c>
      <c r="R571">
        <v>5</v>
      </c>
      <c r="S571">
        <v>249</v>
      </c>
    </row>
    <row r="572" spans="1:19" x14ac:dyDescent="0.3">
      <c r="A572">
        <v>571</v>
      </c>
      <c r="B572" t="s">
        <v>373</v>
      </c>
      <c r="C572">
        <v>2021</v>
      </c>
      <c r="D572" t="s">
        <v>96</v>
      </c>
      <c r="E572">
        <v>5</v>
      </c>
      <c r="F572" t="s">
        <v>21</v>
      </c>
      <c r="G572" t="s">
        <v>40</v>
      </c>
      <c r="H572">
        <v>35.43</v>
      </c>
      <c r="I572" t="s">
        <v>27</v>
      </c>
      <c r="J572">
        <v>46</v>
      </c>
      <c r="K572">
        <v>367</v>
      </c>
      <c r="L572">
        <v>79.400000000000006</v>
      </c>
      <c r="M572">
        <v>27.47</v>
      </c>
      <c r="N572">
        <v>16.75</v>
      </c>
      <c r="O572">
        <v>13.44</v>
      </c>
      <c r="P572">
        <v>566.70000000000005</v>
      </c>
      <c r="Q572">
        <v>1088</v>
      </c>
      <c r="R572">
        <v>4</v>
      </c>
      <c r="S572">
        <v>129</v>
      </c>
    </row>
    <row r="573" spans="1:19" x14ac:dyDescent="0.3">
      <c r="A573">
        <v>572</v>
      </c>
      <c r="B573" t="s">
        <v>385</v>
      </c>
      <c r="C573">
        <v>2021</v>
      </c>
      <c r="D573" t="s">
        <v>96</v>
      </c>
      <c r="E573">
        <v>5</v>
      </c>
      <c r="F573" t="s">
        <v>62</v>
      </c>
      <c r="G573" t="s">
        <v>40</v>
      </c>
      <c r="H573">
        <v>27.17</v>
      </c>
      <c r="I573" t="s">
        <v>47</v>
      </c>
      <c r="J573">
        <v>10</v>
      </c>
      <c r="K573">
        <v>202</v>
      </c>
      <c r="L573">
        <v>94.01</v>
      </c>
      <c r="M573">
        <v>19.559999999999999</v>
      </c>
      <c r="N573">
        <v>21.33</v>
      </c>
      <c r="O573">
        <v>5.49</v>
      </c>
      <c r="P573">
        <v>293.45</v>
      </c>
      <c r="Q573">
        <v>713</v>
      </c>
      <c r="R573">
        <v>5</v>
      </c>
      <c r="S573">
        <v>217</v>
      </c>
    </row>
    <row r="574" spans="1:19" x14ac:dyDescent="0.3">
      <c r="A574">
        <v>573</v>
      </c>
      <c r="B574" t="s">
        <v>375</v>
      </c>
      <c r="C574">
        <v>2021</v>
      </c>
      <c r="D574" t="s">
        <v>96</v>
      </c>
      <c r="E574">
        <v>5</v>
      </c>
      <c r="F574" t="s">
        <v>21</v>
      </c>
      <c r="G574" t="s">
        <v>26</v>
      </c>
      <c r="H574">
        <v>16.88</v>
      </c>
      <c r="I574" t="s">
        <v>27</v>
      </c>
      <c r="J574">
        <v>28</v>
      </c>
      <c r="K574">
        <v>440</v>
      </c>
      <c r="L574">
        <v>87.01</v>
      </c>
      <c r="M574">
        <v>8.6199999999999992</v>
      </c>
      <c r="N574">
        <v>6.54</v>
      </c>
      <c r="O574">
        <v>13.17</v>
      </c>
      <c r="P574">
        <v>154.69</v>
      </c>
      <c r="Q574">
        <v>239</v>
      </c>
      <c r="R574">
        <v>2</v>
      </c>
      <c r="S574">
        <v>186</v>
      </c>
    </row>
    <row r="575" spans="1:19" x14ac:dyDescent="0.3">
      <c r="A575">
        <v>574</v>
      </c>
      <c r="B575" t="s">
        <v>386</v>
      </c>
      <c r="C575">
        <v>2021</v>
      </c>
      <c r="D575" t="s">
        <v>96</v>
      </c>
      <c r="E575">
        <v>5</v>
      </c>
      <c r="F575" t="s">
        <v>31</v>
      </c>
      <c r="G575" t="s">
        <v>40</v>
      </c>
      <c r="H575">
        <v>13.93</v>
      </c>
      <c r="I575" t="s">
        <v>27</v>
      </c>
      <c r="J575">
        <v>4</v>
      </c>
      <c r="K575">
        <v>285</v>
      </c>
      <c r="L575">
        <v>92.08</v>
      </c>
      <c r="M575">
        <v>22.44</v>
      </c>
      <c r="N575">
        <v>9.51</v>
      </c>
      <c r="O575">
        <v>1.89</v>
      </c>
      <c r="P575">
        <v>387.51</v>
      </c>
      <c r="Q575">
        <v>364</v>
      </c>
      <c r="R575">
        <v>4</v>
      </c>
      <c r="S575">
        <v>145</v>
      </c>
    </row>
    <row r="576" spans="1:19" x14ac:dyDescent="0.3">
      <c r="A576">
        <v>575</v>
      </c>
      <c r="B576" t="s">
        <v>370</v>
      </c>
      <c r="C576">
        <v>2021</v>
      </c>
      <c r="D576" t="s">
        <v>96</v>
      </c>
      <c r="E576">
        <v>5</v>
      </c>
      <c r="F576" t="s">
        <v>29</v>
      </c>
      <c r="G576" t="s">
        <v>26</v>
      </c>
      <c r="H576">
        <v>50.9</v>
      </c>
      <c r="I576" t="s">
        <v>32</v>
      </c>
      <c r="J576">
        <v>42</v>
      </c>
      <c r="K576">
        <v>556</v>
      </c>
      <c r="L576">
        <v>90</v>
      </c>
      <c r="M576">
        <v>23.51</v>
      </c>
      <c r="N576">
        <v>11.96</v>
      </c>
      <c r="O576">
        <v>2.8</v>
      </c>
      <c r="P576">
        <v>228.92</v>
      </c>
      <c r="Q576">
        <v>659</v>
      </c>
      <c r="R576">
        <v>5</v>
      </c>
      <c r="S576">
        <v>245</v>
      </c>
    </row>
    <row r="577" spans="1:19" x14ac:dyDescent="0.3">
      <c r="A577">
        <v>576</v>
      </c>
      <c r="B577" t="s">
        <v>387</v>
      </c>
      <c r="C577">
        <v>2021</v>
      </c>
      <c r="D577" t="s">
        <v>96</v>
      </c>
      <c r="E577">
        <v>5</v>
      </c>
      <c r="F577" t="s">
        <v>62</v>
      </c>
      <c r="G577" t="s">
        <v>40</v>
      </c>
      <c r="H577">
        <v>29.99</v>
      </c>
      <c r="I577" t="s">
        <v>47</v>
      </c>
      <c r="J577">
        <v>16</v>
      </c>
      <c r="K577">
        <v>124</v>
      </c>
      <c r="L577">
        <v>93.87</v>
      </c>
      <c r="M577">
        <v>8.9600000000000009</v>
      </c>
      <c r="N577">
        <v>2.76</v>
      </c>
      <c r="O577">
        <v>6.62</v>
      </c>
      <c r="P577">
        <v>346.46</v>
      </c>
      <c r="Q577">
        <v>474</v>
      </c>
      <c r="R577">
        <v>1</v>
      </c>
      <c r="S577">
        <v>177</v>
      </c>
    </row>
    <row r="578" spans="1:19" x14ac:dyDescent="0.3">
      <c r="A578">
        <v>577</v>
      </c>
      <c r="B578" t="s">
        <v>380</v>
      </c>
      <c r="C578">
        <v>2021</v>
      </c>
      <c r="D578" t="s">
        <v>96</v>
      </c>
      <c r="E578">
        <v>5</v>
      </c>
      <c r="F578" t="s">
        <v>29</v>
      </c>
      <c r="G578" t="s">
        <v>40</v>
      </c>
      <c r="H578">
        <v>15.35</v>
      </c>
      <c r="I578" t="s">
        <v>47</v>
      </c>
      <c r="J578">
        <v>20</v>
      </c>
      <c r="K578">
        <v>325</v>
      </c>
      <c r="L578">
        <v>75.97</v>
      </c>
      <c r="M578">
        <v>8.67</v>
      </c>
      <c r="N578">
        <v>4.62</v>
      </c>
      <c r="O578">
        <v>13.42</v>
      </c>
      <c r="P578">
        <v>523.29999999999995</v>
      </c>
      <c r="Q578">
        <v>533</v>
      </c>
      <c r="R578">
        <v>2</v>
      </c>
      <c r="S578">
        <v>123</v>
      </c>
    </row>
    <row r="579" spans="1:19" x14ac:dyDescent="0.3">
      <c r="A579">
        <v>578</v>
      </c>
      <c r="B579" t="s">
        <v>388</v>
      </c>
      <c r="C579">
        <v>2021</v>
      </c>
      <c r="D579" t="s">
        <v>96</v>
      </c>
      <c r="E579">
        <v>5</v>
      </c>
      <c r="F579" t="s">
        <v>31</v>
      </c>
      <c r="G579" t="s">
        <v>35</v>
      </c>
      <c r="H579">
        <v>26.44</v>
      </c>
      <c r="I579" t="s">
        <v>27</v>
      </c>
      <c r="J579">
        <v>35</v>
      </c>
      <c r="K579">
        <v>287</v>
      </c>
      <c r="L579">
        <v>80.790000000000006</v>
      </c>
      <c r="M579">
        <v>21.2</v>
      </c>
      <c r="N579">
        <v>2.0299999999999998</v>
      </c>
      <c r="O579">
        <v>9.17</v>
      </c>
      <c r="P579">
        <v>398.73</v>
      </c>
      <c r="Q579">
        <v>352</v>
      </c>
      <c r="R579">
        <v>5</v>
      </c>
      <c r="S579">
        <v>111</v>
      </c>
    </row>
    <row r="580" spans="1:19" x14ac:dyDescent="0.3">
      <c r="A580">
        <v>579</v>
      </c>
      <c r="B580" t="s">
        <v>389</v>
      </c>
      <c r="C580">
        <v>2021</v>
      </c>
      <c r="D580" t="s">
        <v>96</v>
      </c>
      <c r="E580">
        <v>6</v>
      </c>
      <c r="F580" t="s">
        <v>62</v>
      </c>
      <c r="G580" t="s">
        <v>42</v>
      </c>
      <c r="H580">
        <v>37.44</v>
      </c>
      <c r="I580" t="s">
        <v>27</v>
      </c>
      <c r="J580">
        <v>12</v>
      </c>
      <c r="K580">
        <v>487</v>
      </c>
      <c r="L580">
        <v>86</v>
      </c>
      <c r="M580">
        <v>17.45</v>
      </c>
      <c r="N580">
        <v>2.58</v>
      </c>
      <c r="O580">
        <v>2.64</v>
      </c>
      <c r="P580">
        <v>303.29000000000002</v>
      </c>
      <c r="Q580">
        <v>856</v>
      </c>
      <c r="R580">
        <v>2</v>
      </c>
      <c r="S580">
        <v>234</v>
      </c>
    </row>
    <row r="581" spans="1:19" x14ac:dyDescent="0.3">
      <c r="A581">
        <v>580</v>
      </c>
      <c r="B581" t="s">
        <v>390</v>
      </c>
      <c r="C581">
        <v>2021</v>
      </c>
      <c r="D581" t="s">
        <v>96</v>
      </c>
      <c r="E581">
        <v>6</v>
      </c>
      <c r="F581" t="s">
        <v>29</v>
      </c>
      <c r="G581" t="s">
        <v>42</v>
      </c>
      <c r="H581">
        <v>45.98</v>
      </c>
      <c r="I581" t="s">
        <v>23</v>
      </c>
      <c r="J581">
        <v>42</v>
      </c>
      <c r="K581">
        <v>146</v>
      </c>
      <c r="L581">
        <v>89.22</v>
      </c>
      <c r="M581">
        <v>26.76</v>
      </c>
      <c r="N581">
        <v>8.3699999999999992</v>
      </c>
      <c r="O581">
        <v>8.9</v>
      </c>
      <c r="P581">
        <v>549.65</v>
      </c>
      <c r="Q581">
        <v>363</v>
      </c>
      <c r="R581">
        <v>1</v>
      </c>
      <c r="S581">
        <v>165</v>
      </c>
    </row>
    <row r="582" spans="1:19" x14ac:dyDescent="0.3">
      <c r="A582">
        <v>581</v>
      </c>
      <c r="B582" t="s">
        <v>390</v>
      </c>
      <c r="C582">
        <v>2021</v>
      </c>
      <c r="D582" t="s">
        <v>96</v>
      </c>
      <c r="E582">
        <v>6</v>
      </c>
      <c r="F582" t="s">
        <v>34</v>
      </c>
      <c r="G582" t="s">
        <v>35</v>
      </c>
      <c r="H582">
        <v>7.26</v>
      </c>
      <c r="I582" t="s">
        <v>23</v>
      </c>
      <c r="J582">
        <v>25</v>
      </c>
      <c r="K582">
        <v>245</v>
      </c>
      <c r="L582">
        <v>78.08</v>
      </c>
      <c r="M582">
        <v>18.73</v>
      </c>
      <c r="N582">
        <v>12.61</v>
      </c>
      <c r="O582">
        <v>7.85</v>
      </c>
      <c r="P582">
        <v>529.44000000000005</v>
      </c>
      <c r="Q582">
        <v>501</v>
      </c>
      <c r="R582">
        <v>4</v>
      </c>
      <c r="S582">
        <v>195</v>
      </c>
    </row>
    <row r="583" spans="1:19" x14ac:dyDescent="0.3">
      <c r="A583">
        <v>582</v>
      </c>
      <c r="B583" t="s">
        <v>391</v>
      </c>
      <c r="C583">
        <v>2021</v>
      </c>
      <c r="D583" t="s">
        <v>96</v>
      </c>
      <c r="E583">
        <v>6</v>
      </c>
      <c r="F583" t="s">
        <v>29</v>
      </c>
      <c r="G583" t="s">
        <v>26</v>
      </c>
      <c r="H583">
        <v>32.159999999999997</v>
      </c>
      <c r="I583" t="s">
        <v>23</v>
      </c>
      <c r="J583">
        <v>37</v>
      </c>
      <c r="K583">
        <v>126</v>
      </c>
      <c r="L583">
        <v>75.14</v>
      </c>
      <c r="M583">
        <v>10.82</v>
      </c>
      <c r="N583">
        <v>21.97</v>
      </c>
      <c r="O583">
        <v>10.58</v>
      </c>
      <c r="P583">
        <v>243.56</v>
      </c>
      <c r="Q583">
        <v>948</v>
      </c>
      <c r="R583">
        <v>4</v>
      </c>
      <c r="S583">
        <v>117</v>
      </c>
    </row>
    <row r="584" spans="1:19" x14ac:dyDescent="0.3">
      <c r="A584">
        <v>583</v>
      </c>
      <c r="B584" t="s">
        <v>392</v>
      </c>
      <c r="C584">
        <v>2021</v>
      </c>
      <c r="D584" t="s">
        <v>96</v>
      </c>
      <c r="E584">
        <v>6</v>
      </c>
      <c r="F584" t="s">
        <v>37</v>
      </c>
      <c r="G584" t="s">
        <v>22</v>
      </c>
      <c r="H584">
        <v>5.41</v>
      </c>
      <c r="I584" t="s">
        <v>23</v>
      </c>
      <c r="J584">
        <v>14</v>
      </c>
      <c r="K584">
        <v>148</v>
      </c>
      <c r="L584">
        <v>78.55</v>
      </c>
      <c r="M584">
        <v>28.21</v>
      </c>
      <c r="N584">
        <v>6.1</v>
      </c>
      <c r="O584">
        <v>15.8</v>
      </c>
      <c r="P584">
        <v>537.89</v>
      </c>
      <c r="Q584">
        <v>793</v>
      </c>
      <c r="R584">
        <v>4</v>
      </c>
      <c r="S584">
        <v>187</v>
      </c>
    </row>
    <row r="585" spans="1:19" x14ac:dyDescent="0.3">
      <c r="A585">
        <v>584</v>
      </c>
      <c r="B585" t="s">
        <v>393</v>
      </c>
      <c r="C585">
        <v>2021</v>
      </c>
      <c r="D585" t="s">
        <v>96</v>
      </c>
      <c r="E585">
        <v>6</v>
      </c>
      <c r="F585" t="s">
        <v>62</v>
      </c>
      <c r="G585" t="s">
        <v>42</v>
      </c>
      <c r="H585">
        <v>12.95</v>
      </c>
      <c r="I585" t="s">
        <v>47</v>
      </c>
      <c r="J585">
        <v>39</v>
      </c>
      <c r="K585">
        <v>104</v>
      </c>
      <c r="L585">
        <v>76.17</v>
      </c>
      <c r="M585">
        <v>24.48</v>
      </c>
      <c r="N585">
        <v>4.37</v>
      </c>
      <c r="O585">
        <v>11.62</v>
      </c>
      <c r="P585">
        <v>304.43</v>
      </c>
      <c r="Q585">
        <v>1095</v>
      </c>
      <c r="R585">
        <v>3</v>
      </c>
      <c r="S585">
        <v>178</v>
      </c>
    </row>
    <row r="586" spans="1:19" x14ac:dyDescent="0.3">
      <c r="A586">
        <v>585</v>
      </c>
      <c r="B586" t="s">
        <v>394</v>
      </c>
      <c r="C586">
        <v>2021</v>
      </c>
      <c r="D586" t="s">
        <v>96</v>
      </c>
      <c r="E586">
        <v>6</v>
      </c>
      <c r="F586" t="s">
        <v>21</v>
      </c>
      <c r="G586" t="s">
        <v>26</v>
      </c>
      <c r="H586">
        <v>10.65</v>
      </c>
      <c r="I586" t="s">
        <v>47</v>
      </c>
      <c r="J586">
        <v>38</v>
      </c>
      <c r="K586">
        <v>218</v>
      </c>
      <c r="L586">
        <v>86.26</v>
      </c>
      <c r="M586">
        <v>30.9</v>
      </c>
      <c r="N586">
        <v>13.44</v>
      </c>
      <c r="O586">
        <v>2.4500000000000002</v>
      </c>
      <c r="P586">
        <v>288.39999999999998</v>
      </c>
      <c r="Q586">
        <v>495</v>
      </c>
      <c r="R586">
        <v>2</v>
      </c>
      <c r="S586">
        <v>106</v>
      </c>
    </row>
    <row r="587" spans="1:19" x14ac:dyDescent="0.3">
      <c r="A587">
        <v>586</v>
      </c>
      <c r="B587" t="s">
        <v>395</v>
      </c>
      <c r="C587">
        <v>2021</v>
      </c>
      <c r="D587" t="s">
        <v>96</v>
      </c>
      <c r="E587">
        <v>6</v>
      </c>
      <c r="F587" t="s">
        <v>31</v>
      </c>
      <c r="G587" t="s">
        <v>42</v>
      </c>
      <c r="H587">
        <v>16.260000000000002</v>
      </c>
      <c r="I587" t="s">
        <v>23</v>
      </c>
      <c r="J587">
        <v>23</v>
      </c>
      <c r="K587">
        <v>547</v>
      </c>
      <c r="L587">
        <v>88.68</v>
      </c>
      <c r="M587">
        <v>30.49</v>
      </c>
      <c r="N587">
        <v>8.98</v>
      </c>
      <c r="O587">
        <v>2.82</v>
      </c>
      <c r="P587">
        <v>402.83</v>
      </c>
      <c r="Q587">
        <v>1096</v>
      </c>
      <c r="R587">
        <v>1</v>
      </c>
      <c r="S587">
        <v>115</v>
      </c>
    </row>
    <row r="588" spans="1:19" x14ac:dyDescent="0.3">
      <c r="A588">
        <v>587</v>
      </c>
      <c r="B588" t="s">
        <v>396</v>
      </c>
      <c r="C588">
        <v>2021</v>
      </c>
      <c r="D588" t="s">
        <v>96</v>
      </c>
      <c r="E588">
        <v>6</v>
      </c>
      <c r="F588" t="s">
        <v>37</v>
      </c>
      <c r="G588" t="s">
        <v>22</v>
      </c>
      <c r="H588">
        <v>20.32</v>
      </c>
      <c r="I588" t="s">
        <v>23</v>
      </c>
      <c r="J588">
        <v>19</v>
      </c>
      <c r="K588">
        <v>371</v>
      </c>
      <c r="L588">
        <v>94.89</v>
      </c>
      <c r="M588">
        <v>29.58</v>
      </c>
      <c r="N588">
        <v>9.93</v>
      </c>
      <c r="O588">
        <v>1.93</v>
      </c>
      <c r="P588">
        <v>437.95</v>
      </c>
      <c r="Q588">
        <v>116</v>
      </c>
      <c r="R588">
        <v>4</v>
      </c>
      <c r="S588">
        <v>159</v>
      </c>
    </row>
    <row r="589" spans="1:19" x14ac:dyDescent="0.3">
      <c r="A589">
        <v>588</v>
      </c>
      <c r="B589" t="s">
        <v>397</v>
      </c>
      <c r="C589">
        <v>2021</v>
      </c>
      <c r="D589" t="s">
        <v>96</v>
      </c>
      <c r="E589">
        <v>6</v>
      </c>
      <c r="F589" t="s">
        <v>25</v>
      </c>
      <c r="G589" t="s">
        <v>22</v>
      </c>
      <c r="H589">
        <v>18.510000000000002</v>
      </c>
      <c r="I589" t="s">
        <v>47</v>
      </c>
      <c r="J589">
        <v>37</v>
      </c>
      <c r="K589">
        <v>293</v>
      </c>
      <c r="L589">
        <v>82.48</v>
      </c>
      <c r="M589">
        <v>25.4</v>
      </c>
      <c r="N589">
        <v>10.42</v>
      </c>
      <c r="O589">
        <v>6.25</v>
      </c>
      <c r="P589">
        <v>268.91000000000003</v>
      </c>
      <c r="Q589">
        <v>660</v>
      </c>
      <c r="R589">
        <v>3</v>
      </c>
      <c r="S589">
        <v>209</v>
      </c>
    </row>
    <row r="590" spans="1:19" x14ac:dyDescent="0.3">
      <c r="A590">
        <v>589</v>
      </c>
      <c r="B590" t="s">
        <v>398</v>
      </c>
      <c r="C590">
        <v>2021</v>
      </c>
      <c r="D590" t="s">
        <v>96</v>
      </c>
      <c r="E590">
        <v>6</v>
      </c>
      <c r="F590" t="s">
        <v>37</v>
      </c>
      <c r="G590" t="s">
        <v>35</v>
      </c>
      <c r="H590">
        <v>6.95</v>
      </c>
      <c r="I590" t="s">
        <v>32</v>
      </c>
      <c r="J590">
        <v>50</v>
      </c>
      <c r="K590">
        <v>586</v>
      </c>
      <c r="L590">
        <v>87.96</v>
      </c>
      <c r="M590">
        <v>23.06</v>
      </c>
      <c r="N590">
        <v>4.71</v>
      </c>
      <c r="O590">
        <v>7.4</v>
      </c>
      <c r="P590">
        <v>355.57</v>
      </c>
      <c r="Q590">
        <v>573</v>
      </c>
      <c r="R590">
        <v>5</v>
      </c>
      <c r="S590">
        <v>240</v>
      </c>
    </row>
    <row r="591" spans="1:19" x14ac:dyDescent="0.3">
      <c r="A591">
        <v>590</v>
      </c>
      <c r="B591" t="s">
        <v>392</v>
      </c>
      <c r="C591">
        <v>2021</v>
      </c>
      <c r="D591" t="s">
        <v>96</v>
      </c>
      <c r="E591">
        <v>6</v>
      </c>
      <c r="F591" t="s">
        <v>29</v>
      </c>
      <c r="G591" t="s">
        <v>22</v>
      </c>
      <c r="H591">
        <v>45.25</v>
      </c>
      <c r="I591" t="s">
        <v>27</v>
      </c>
      <c r="J591">
        <v>49</v>
      </c>
      <c r="K591">
        <v>208</v>
      </c>
      <c r="L591">
        <v>89.53</v>
      </c>
      <c r="M591">
        <v>27.86</v>
      </c>
      <c r="N591">
        <v>14.47</v>
      </c>
      <c r="O591">
        <v>15.69</v>
      </c>
      <c r="P591">
        <v>296.07</v>
      </c>
      <c r="Q591">
        <v>1013</v>
      </c>
      <c r="R591">
        <v>3</v>
      </c>
      <c r="S591">
        <v>60</v>
      </c>
    </row>
    <row r="592" spans="1:19" x14ac:dyDescent="0.3">
      <c r="A592">
        <v>591</v>
      </c>
      <c r="B592" t="s">
        <v>399</v>
      </c>
      <c r="C592">
        <v>2021</v>
      </c>
      <c r="D592" t="s">
        <v>96</v>
      </c>
      <c r="E592">
        <v>6</v>
      </c>
      <c r="F592" t="s">
        <v>29</v>
      </c>
      <c r="G592" t="s">
        <v>35</v>
      </c>
      <c r="H592">
        <v>54.91</v>
      </c>
      <c r="I592" t="s">
        <v>23</v>
      </c>
      <c r="J592">
        <v>20</v>
      </c>
      <c r="K592">
        <v>366</v>
      </c>
      <c r="L592">
        <v>89.46</v>
      </c>
      <c r="M592">
        <v>18.989999999999998</v>
      </c>
      <c r="N592">
        <v>16.579999999999998</v>
      </c>
      <c r="O592">
        <v>5.68</v>
      </c>
      <c r="P592">
        <v>262.16000000000003</v>
      </c>
      <c r="Q592">
        <v>654</v>
      </c>
      <c r="R592">
        <v>3</v>
      </c>
      <c r="S592">
        <v>142</v>
      </c>
    </row>
    <row r="593" spans="1:19" x14ac:dyDescent="0.3">
      <c r="A593">
        <v>592</v>
      </c>
      <c r="B593" t="s">
        <v>400</v>
      </c>
      <c r="C593">
        <v>2021</v>
      </c>
      <c r="D593" t="s">
        <v>96</v>
      </c>
      <c r="E593">
        <v>6</v>
      </c>
      <c r="F593" t="s">
        <v>29</v>
      </c>
      <c r="G593" t="s">
        <v>42</v>
      </c>
      <c r="H593">
        <v>24.35</v>
      </c>
      <c r="I593" t="s">
        <v>32</v>
      </c>
      <c r="J593">
        <v>20</v>
      </c>
      <c r="K593">
        <v>339</v>
      </c>
      <c r="L593">
        <v>80.540000000000006</v>
      </c>
      <c r="M593">
        <v>27.82</v>
      </c>
      <c r="N593">
        <v>15.39</v>
      </c>
      <c r="O593">
        <v>13.9</v>
      </c>
      <c r="P593">
        <v>244.4</v>
      </c>
      <c r="Q593">
        <v>174</v>
      </c>
      <c r="R593">
        <v>3</v>
      </c>
      <c r="S593">
        <v>52</v>
      </c>
    </row>
    <row r="594" spans="1:19" x14ac:dyDescent="0.3">
      <c r="A594">
        <v>593</v>
      </c>
      <c r="B594" t="s">
        <v>393</v>
      </c>
      <c r="C594">
        <v>2021</v>
      </c>
      <c r="D594" t="s">
        <v>96</v>
      </c>
      <c r="E594">
        <v>6</v>
      </c>
      <c r="F594" t="s">
        <v>53</v>
      </c>
      <c r="G594" t="s">
        <v>26</v>
      </c>
      <c r="H594">
        <v>46.22</v>
      </c>
      <c r="I594" t="s">
        <v>38</v>
      </c>
      <c r="J594">
        <v>2</v>
      </c>
      <c r="K594">
        <v>234</v>
      </c>
      <c r="L594">
        <v>94.24</v>
      </c>
      <c r="M594">
        <v>20.49</v>
      </c>
      <c r="N594">
        <v>2.95</v>
      </c>
      <c r="O594">
        <v>8.35</v>
      </c>
      <c r="P594">
        <v>553.49</v>
      </c>
      <c r="Q594">
        <v>606</v>
      </c>
      <c r="R594">
        <v>4</v>
      </c>
      <c r="S594">
        <v>56</v>
      </c>
    </row>
    <row r="595" spans="1:19" x14ac:dyDescent="0.3">
      <c r="A595">
        <v>594</v>
      </c>
      <c r="B595" t="s">
        <v>393</v>
      </c>
      <c r="C595">
        <v>2021</v>
      </c>
      <c r="D595" t="s">
        <v>96</v>
      </c>
      <c r="E595">
        <v>6</v>
      </c>
      <c r="F595" t="s">
        <v>37</v>
      </c>
      <c r="G595" t="s">
        <v>22</v>
      </c>
      <c r="H595">
        <v>42.98</v>
      </c>
      <c r="I595" t="s">
        <v>27</v>
      </c>
      <c r="J595">
        <v>49</v>
      </c>
      <c r="K595">
        <v>229</v>
      </c>
      <c r="L595">
        <v>83.63</v>
      </c>
      <c r="M595">
        <v>27.49</v>
      </c>
      <c r="N595">
        <v>4.4000000000000004</v>
      </c>
      <c r="O595">
        <v>4.8099999999999996</v>
      </c>
      <c r="P595">
        <v>130.1</v>
      </c>
      <c r="Q595">
        <v>675</v>
      </c>
      <c r="R595">
        <v>3</v>
      </c>
      <c r="S595">
        <v>169</v>
      </c>
    </row>
    <row r="596" spans="1:19" x14ac:dyDescent="0.3">
      <c r="A596">
        <v>595</v>
      </c>
      <c r="B596" t="s">
        <v>401</v>
      </c>
      <c r="C596">
        <v>2021</v>
      </c>
      <c r="D596" t="s">
        <v>96</v>
      </c>
      <c r="E596">
        <v>6</v>
      </c>
      <c r="F596" t="s">
        <v>37</v>
      </c>
      <c r="G596" t="s">
        <v>35</v>
      </c>
      <c r="H596">
        <v>18.09</v>
      </c>
      <c r="I596" t="s">
        <v>27</v>
      </c>
      <c r="J596">
        <v>45</v>
      </c>
      <c r="K596">
        <v>455</v>
      </c>
      <c r="L596">
        <v>89.56</v>
      </c>
      <c r="M596">
        <v>9.59</v>
      </c>
      <c r="N596">
        <v>17.100000000000001</v>
      </c>
      <c r="O596">
        <v>9.98</v>
      </c>
      <c r="P596">
        <v>416.34</v>
      </c>
      <c r="Q596">
        <v>800</v>
      </c>
      <c r="R596">
        <v>2</v>
      </c>
      <c r="S596">
        <v>174</v>
      </c>
    </row>
    <row r="597" spans="1:19" x14ac:dyDescent="0.3">
      <c r="A597">
        <v>596</v>
      </c>
      <c r="B597" t="s">
        <v>393</v>
      </c>
      <c r="C597">
        <v>2021</v>
      </c>
      <c r="D597" t="s">
        <v>96</v>
      </c>
      <c r="E597">
        <v>6</v>
      </c>
      <c r="F597" t="s">
        <v>34</v>
      </c>
      <c r="G597" t="s">
        <v>35</v>
      </c>
      <c r="H597">
        <v>46.11</v>
      </c>
      <c r="I597" t="s">
        <v>32</v>
      </c>
      <c r="J597">
        <v>1</v>
      </c>
      <c r="K597">
        <v>499</v>
      </c>
      <c r="L597">
        <v>80.19</v>
      </c>
      <c r="M597">
        <v>7.71</v>
      </c>
      <c r="N597">
        <v>11.24</v>
      </c>
      <c r="O597">
        <v>2.63</v>
      </c>
      <c r="P597">
        <v>264.8</v>
      </c>
      <c r="Q597">
        <v>231</v>
      </c>
      <c r="R597">
        <v>5</v>
      </c>
      <c r="S597">
        <v>177</v>
      </c>
    </row>
    <row r="598" spans="1:19" x14ac:dyDescent="0.3">
      <c r="A598">
        <v>597</v>
      </c>
      <c r="B598" t="s">
        <v>392</v>
      </c>
      <c r="C598">
        <v>2021</v>
      </c>
      <c r="D598" t="s">
        <v>96</v>
      </c>
      <c r="E598">
        <v>6</v>
      </c>
      <c r="F598" t="s">
        <v>25</v>
      </c>
      <c r="G598" t="s">
        <v>35</v>
      </c>
      <c r="H598">
        <v>49.09</v>
      </c>
      <c r="I598" t="s">
        <v>47</v>
      </c>
      <c r="J598">
        <v>47</v>
      </c>
      <c r="K598">
        <v>182</v>
      </c>
      <c r="L598">
        <v>78.66</v>
      </c>
      <c r="M598">
        <v>27.41</v>
      </c>
      <c r="N598">
        <v>4.62</v>
      </c>
      <c r="O598">
        <v>3.06</v>
      </c>
      <c r="P598">
        <v>142.85</v>
      </c>
      <c r="Q598">
        <v>942</v>
      </c>
      <c r="R598">
        <v>2</v>
      </c>
      <c r="S598">
        <v>237</v>
      </c>
    </row>
    <row r="599" spans="1:19" x14ac:dyDescent="0.3">
      <c r="A599">
        <v>598</v>
      </c>
      <c r="B599" t="s">
        <v>402</v>
      </c>
      <c r="C599">
        <v>2021</v>
      </c>
      <c r="D599" t="s">
        <v>96</v>
      </c>
      <c r="E599">
        <v>6</v>
      </c>
      <c r="F599" t="s">
        <v>25</v>
      </c>
      <c r="G599" t="s">
        <v>35</v>
      </c>
      <c r="H599">
        <v>10.74</v>
      </c>
      <c r="I599" t="s">
        <v>32</v>
      </c>
      <c r="J599">
        <v>22</v>
      </c>
      <c r="K599">
        <v>550</v>
      </c>
      <c r="L599">
        <v>88.34</v>
      </c>
      <c r="M599">
        <v>21.2</v>
      </c>
      <c r="N599">
        <v>13.79</v>
      </c>
      <c r="O599">
        <v>7.46</v>
      </c>
      <c r="P599">
        <v>333.59</v>
      </c>
      <c r="Q599">
        <v>376</v>
      </c>
      <c r="R599">
        <v>3</v>
      </c>
      <c r="S599">
        <v>145</v>
      </c>
    </row>
    <row r="600" spans="1:19" x14ac:dyDescent="0.3">
      <c r="A600">
        <v>599</v>
      </c>
      <c r="B600" t="s">
        <v>399</v>
      </c>
      <c r="C600">
        <v>2021</v>
      </c>
      <c r="D600" t="s">
        <v>96</v>
      </c>
      <c r="E600">
        <v>6</v>
      </c>
      <c r="F600" t="s">
        <v>29</v>
      </c>
      <c r="G600" t="s">
        <v>35</v>
      </c>
      <c r="H600">
        <v>47.54</v>
      </c>
      <c r="I600" t="s">
        <v>47</v>
      </c>
      <c r="J600">
        <v>41</v>
      </c>
      <c r="K600">
        <v>283</v>
      </c>
      <c r="L600">
        <v>90.94</v>
      </c>
      <c r="M600">
        <v>22.06</v>
      </c>
      <c r="N600">
        <v>7.07</v>
      </c>
      <c r="O600">
        <v>15.79</v>
      </c>
      <c r="P600">
        <v>458.55</v>
      </c>
      <c r="Q600">
        <v>638</v>
      </c>
      <c r="R600">
        <v>4</v>
      </c>
      <c r="S600">
        <v>75</v>
      </c>
    </row>
    <row r="601" spans="1:19" x14ac:dyDescent="0.3">
      <c r="A601">
        <v>600</v>
      </c>
      <c r="B601" t="s">
        <v>397</v>
      </c>
      <c r="C601">
        <v>2021</v>
      </c>
      <c r="D601" t="s">
        <v>96</v>
      </c>
      <c r="E601">
        <v>6</v>
      </c>
      <c r="F601" t="s">
        <v>21</v>
      </c>
      <c r="G601" t="s">
        <v>22</v>
      </c>
      <c r="H601">
        <v>24.95</v>
      </c>
      <c r="I601" t="s">
        <v>23</v>
      </c>
      <c r="J601">
        <v>42</v>
      </c>
      <c r="K601">
        <v>366</v>
      </c>
      <c r="L601">
        <v>88.89</v>
      </c>
      <c r="M601">
        <v>20.149999999999999</v>
      </c>
      <c r="N601">
        <v>7.92</v>
      </c>
      <c r="O601">
        <v>8.57</v>
      </c>
      <c r="P601">
        <v>406.4</v>
      </c>
      <c r="Q601">
        <v>1049</v>
      </c>
      <c r="R601">
        <v>5</v>
      </c>
      <c r="S601">
        <v>83</v>
      </c>
    </row>
    <row r="602" spans="1:19" x14ac:dyDescent="0.3">
      <c r="A602">
        <v>601</v>
      </c>
      <c r="B602" t="s">
        <v>402</v>
      </c>
      <c r="C602">
        <v>2021</v>
      </c>
      <c r="D602" t="s">
        <v>96</v>
      </c>
      <c r="E602">
        <v>6</v>
      </c>
      <c r="F602" t="s">
        <v>53</v>
      </c>
      <c r="G602" t="s">
        <v>42</v>
      </c>
      <c r="H602">
        <v>43.91</v>
      </c>
      <c r="I602" t="s">
        <v>27</v>
      </c>
      <c r="J602">
        <v>9</v>
      </c>
      <c r="K602">
        <v>451</v>
      </c>
      <c r="L602">
        <v>93.12</v>
      </c>
      <c r="M602">
        <v>12.17</v>
      </c>
      <c r="N602">
        <v>21.74</v>
      </c>
      <c r="O602">
        <v>13.47</v>
      </c>
      <c r="P602">
        <v>149.88999999999999</v>
      </c>
      <c r="Q602">
        <v>656</v>
      </c>
      <c r="R602">
        <v>1</v>
      </c>
      <c r="S602">
        <v>101</v>
      </c>
    </row>
    <row r="603" spans="1:19" x14ac:dyDescent="0.3">
      <c r="A603">
        <v>602</v>
      </c>
      <c r="B603" t="s">
        <v>402</v>
      </c>
      <c r="C603">
        <v>2021</v>
      </c>
      <c r="D603" t="s">
        <v>96</v>
      </c>
      <c r="E603">
        <v>6</v>
      </c>
      <c r="F603" t="s">
        <v>34</v>
      </c>
      <c r="G603" t="s">
        <v>22</v>
      </c>
      <c r="H603">
        <v>53.59</v>
      </c>
      <c r="I603" t="s">
        <v>38</v>
      </c>
      <c r="J603">
        <v>20</v>
      </c>
      <c r="K603">
        <v>557</v>
      </c>
      <c r="L603">
        <v>79.989999999999995</v>
      </c>
      <c r="M603">
        <v>21.79</v>
      </c>
      <c r="N603">
        <v>11.22</v>
      </c>
      <c r="O603">
        <v>7.66</v>
      </c>
      <c r="P603">
        <v>487.61</v>
      </c>
      <c r="Q603">
        <v>943</v>
      </c>
      <c r="R603">
        <v>4</v>
      </c>
      <c r="S603">
        <v>152</v>
      </c>
    </row>
    <row r="604" spans="1:19" x14ac:dyDescent="0.3">
      <c r="A604">
        <v>603</v>
      </c>
      <c r="B604" t="s">
        <v>391</v>
      </c>
      <c r="C604">
        <v>2021</v>
      </c>
      <c r="D604" t="s">
        <v>96</v>
      </c>
      <c r="E604">
        <v>6</v>
      </c>
      <c r="F604" t="s">
        <v>37</v>
      </c>
      <c r="G604" t="s">
        <v>26</v>
      </c>
      <c r="H604">
        <v>39.590000000000003</v>
      </c>
      <c r="I604" t="s">
        <v>32</v>
      </c>
      <c r="J604">
        <v>10</v>
      </c>
      <c r="K604">
        <v>324</v>
      </c>
      <c r="L604">
        <v>87.88</v>
      </c>
      <c r="M604">
        <v>16.38</v>
      </c>
      <c r="N604">
        <v>7.58</v>
      </c>
      <c r="O604">
        <v>5.61</v>
      </c>
      <c r="P604">
        <v>505.68</v>
      </c>
      <c r="Q604">
        <v>671</v>
      </c>
      <c r="R604">
        <v>3</v>
      </c>
      <c r="S604">
        <v>59</v>
      </c>
    </row>
    <row r="605" spans="1:19" x14ac:dyDescent="0.3">
      <c r="A605">
        <v>604</v>
      </c>
      <c r="B605" t="s">
        <v>403</v>
      </c>
      <c r="C605">
        <v>2021</v>
      </c>
      <c r="D605" t="s">
        <v>96</v>
      </c>
      <c r="E605">
        <v>6</v>
      </c>
      <c r="F605" t="s">
        <v>29</v>
      </c>
      <c r="G605" t="s">
        <v>35</v>
      </c>
      <c r="H605">
        <v>37.229999999999997</v>
      </c>
      <c r="I605" t="s">
        <v>23</v>
      </c>
      <c r="J605">
        <v>30</v>
      </c>
      <c r="K605">
        <v>292</v>
      </c>
      <c r="L605">
        <v>90.89</v>
      </c>
      <c r="M605">
        <v>12.57</v>
      </c>
      <c r="N605">
        <v>4.04</v>
      </c>
      <c r="O605">
        <v>15.65</v>
      </c>
      <c r="P605">
        <v>226.96</v>
      </c>
      <c r="Q605">
        <v>993</v>
      </c>
      <c r="R605">
        <v>4</v>
      </c>
      <c r="S605">
        <v>114</v>
      </c>
    </row>
    <row r="606" spans="1:19" x14ac:dyDescent="0.3">
      <c r="A606">
        <v>605</v>
      </c>
      <c r="B606" t="s">
        <v>404</v>
      </c>
      <c r="C606">
        <v>2021</v>
      </c>
      <c r="D606" t="s">
        <v>96</v>
      </c>
      <c r="E606">
        <v>6</v>
      </c>
      <c r="F606" t="s">
        <v>62</v>
      </c>
      <c r="G606" t="s">
        <v>42</v>
      </c>
      <c r="H606">
        <v>5.14</v>
      </c>
      <c r="I606" t="s">
        <v>23</v>
      </c>
      <c r="J606">
        <v>34</v>
      </c>
      <c r="K606">
        <v>492</v>
      </c>
      <c r="L606">
        <v>76.790000000000006</v>
      </c>
      <c r="M606">
        <v>16.91</v>
      </c>
      <c r="N606">
        <v>9.73</v>
      </c>
      <c r="O606">
        <v>15.23</v>
      </c>
      <c r="P606">
        <v>542.21</v>
      </c>
      <c r="Q606">
        <v>746</v>
      </c>
      <c r="R606">
        <v>5</v>
      </c>
      <c r="S606">
        <v>165</v>
      </c>
    </row>
    <row r="607" spans="1:19" x14ac:dyDescent="0.3">
      <c r="A607">
        <v>606</v>
      </c>
      <c r="B607" t="s">
        <v>396</v>
      </c>
      <c r="C607">
        <v>2021</v>
      </c>
      <c r="D607" t="s">
        <v>96</v>
      </c>
      <c r="E607">
        <v>6</v>
      </c>
      <c r="F607" t="s">
        <v>31</v>
      </c>
      <c r="G607" t="s">
        <v>35</v>
      </c>
      <c r="H607">
        <v>32.19</v>
      </c>
      <c r="I607" t="s">
        <v>32</v>
      </c>
      <c r="J607">
        <v>39</v>
      </c>
      <c r="K607">
        <v>226</v>
      </c>
      <c r="L607">
        <v>77.06</v>
      </c>
      <c r="M607">
        <v>15.2</v>
      </c>
      <c r="N607">
        <v>16.420000000000002</v>
      </c>
      <c r="O607">
        <v>2.1</v>
      </c>
      <c r="P607">
        <v>556.28</v>
      </c>
      <c r="Q607">
        <v>191</v>
      </c>
      <c r="R607">
        <v>3</v>
      </c>
      <c r="S607">
        <v>191</v>
      </c>
    </row>
    <row r="608" spans="1:19" x14ac:dyDescent="0.3">
      <c r="A608">
        <v>607</v>
      </c>
      <c r="B608" t="s">
        <v>396</v>
      </c>
      <c r="C608">
        <v>2021</v>
      </c>
      <c r="D608" t="s">
        <v>96</v>
      </c>
      <c r="E608">
        <v>6</v>
      </c>
      <c r="F608" t="s">
        <v>31</v>
      </c>
      <c r="G608" t="s">
        <v>35</v>
      </c>
      <c r="H608">
        <v>16.989999999999998</v>
      </c>
      <c r="I608" t="s">
        <v>23</v>
      </c>
      <c r="J608">
        <v>20</v>
      </c>
      <c r="K608">
        <v>455</v>
      </c>
      <c r="L608">
        <v>92.66</v>
      </c>
      <c r="M608">
        <v>11.81</v>
      </c>
      <c r="N608">
        <v>3.4</v>
      </c>
      <c r="O608">
        <v>9.4600000000000009</v>
      </c>
      <c r="P608">
        <v>281.62</v>
      </c>
      <c r="Q608">
        <v>1015</v>
      </c>
      <c r="R608">
        <v>3</v>
      </c>
      <c r="S608">
        <v>168</v>
      </c>
    </row>
    <row r="609" spans="1:19" x14ac:dyDescent="0.3">
      <c r="A609">
        <v>608</v>
      </c>
      <c r="B609" t="s">
        <v>396</v>
      </c>
      <c r="C609">
        <v>2021</v>
      </c>
      <c r="D609" t="s">
        <v>96</v>
      </c>
      <c r="E609">
        <v>6</v>
      </c>
      <c r="F609" t="s">
        <v>21</v>
      </c>
      <c r="G609" t="s">
        <v>22</v>
      </c>
      <c r="H609">
        <v>11.64</v>
      </c>
      <c r="I609" t="s">
        <v>23</v>
      </c>
      <c r="J609">
        <v>35</v>
      </c>
      <c r="K609">
        <v>354</v>
      </c>
      <c r="L609">
        <v>76.599999999999994</v>
      </c>
      <c r="M609">
        <v>5.59</v>
      </c>
      <c r="N609">
        <v>9.85</v>
      </c>
      <c r="O609">
        <v>2.5299999999999998</v>
      </c>
      <c r="P609">
        <v>546.29</v>
      </c>
      <c r="Q609">
        <v>1041</v>
      </c>
      <c r="R609">
        <v>3</v>
      </c>
      <c r="S609">
        <v>244</v>
      </c>
    </row>
    <row r="610" spans="1:19" x14ac:dyDescent="0.3">
      <c r="A610">
        <v>609</v>
      </c>
      <c r="B610" t="s">
        <v>405</v>
      </c>
      <c r="C610">
        <v>2021</v>
      </c>
      <c r="D610" t="s">
        <v>96</v>
      </c>
      <c r="E610">
        <v>6</v>
      </c>
      <c r="F610" t="s">
        <v>21</v>
      </c>
      <c r="G610" t="s">
        <v>42</v>
      </c>
      <c r="H610">
        <v>11.52</v>
      </c>
      <c r="I610" t="s">
        <v>47</v>
      </c>
      <c r="J610">
        <v>3</v>
      </c>
      <c r="K610">
        <v>419</v>
      </c>
      <c r="L610">
        <v>91.83</v>
      </c>
      <c r="M610">
        <v>12.76</v>
      </c>
      <c r="N610">
        <v>18.14</v>
      </c>
      <c r="O610">
        <v>5.3</v>
      </c>
      <c r="P610">
        <v>227.41</v>
      </c>
      <c r="Q610">
        <v>176</v>
      </c>
      <c r="R610">
        <v>3</v>
      </c>
      <c r="S610">
        <v>198</v>
      </c>
    </row>
    <row r="611" spans="1:19" x14ac:dyDescent="0.3">
      <c r="A611">
        <v>610</v>
      </c>
      <c r="B611" t="s">
        <v>406</v>
      </c>
      <c r="C611">
        <v>2021</v>
      </c>
      <c r="D611" t="s">
        <v>96</v>
      </c>
      <c r="E611">
        <v>6</v>
      </c>
      <c r="F611" t="s">
        <v>29</v>
      </c>
      <c r="G611" t="s">
        <v>40</v>
      </c>
      <c r="H611">
        <v>22.37</v>
      </c>
      <c r="I611" t="s">
        <v>23</v>
      </c>
      <c r="J611">
        <v>38</v>
      </c>
      <c r="K611">
        <v>587</v>
      </c>
      <c r="L611">
        <v>91.41</v>
      </c>
      <c r="M611">
        <v>13.71</v>
      </c>
      <c r="N611">
        <v>7.45</v>
      </c>
      <c r="O611">
        <v>14.49</v>
      </c>
      <c r="P611">
        <v>124.32</v>
      </c>
      <c r="Q611">
        <v>557</v>
      </c>
      <c r="R611">
        <v>3</v>
      </c>
      <c r="S611">
        <v>121</v>
      </c>
    </row>
    <row r="612" spans="1:19" x14ac:dyDescent="0.3">
      <c r="A612">
        <v>611</v>
      </c>
      <c r="B612" t="s">
        <v>407</v>
      </c>
      <c r="C612">
        <v>2021</v>
      </c>
      <c r="D612" t="s">
        <v>96</v>
      </c>
      <c r="E612">
        <v>6</v>
      </c>
      <c r="F612" t="s">
        <v>53</v>
      </c>
      <c r="G612" t="s">
        <v>26</v>
      </c>
      <c r="H612">
        <v>11</v>
      </c>
      <c r="I612" t="s">
        <v>27</v>
      </c>
      <c r="J612">
        <v>24</v>
      </c>
      <c r="K612">
        <v>383</v>
      </c>
      <c r="L612">
        <v>86.72</v>
      </c>
      <c r="M612">
        <v>5.17</v>
      </c>
      <c r="N612">
        <v>13.41</v>
      </c>
      <c r="O612">
        <v>4.18</v>
      </c>
      <c r="P612">
        <v>314.47000000000003</v>
      </c>
      <c r="Q612">
        <v>156</v>
      </c>
      <c r="R612">
        <v>4</v>
      </c>
      <c r="S612">
        <v>227</v>
      </c>
    </row>
    <row r="613" spans="1:19" x14ac:dyDescent="0.3">
      <c r="A613">
        <v>612</v>
      </c>
      <c r="B613" t="s">
        <v>402</v>
      </c>
      <c r="C613">
        <v>2021</v>
      </c>
      <c r="D613" t="s">
        <v>96</v>
      </c>
      <c r="E613">
        <v>6</v>
      </c>
      <c r="F613" t="s">
        <v>34</v>
      </c>
      <c r="G613" t="s">
        <v>35</v>
      </c>
      <c r="H613">
        <v>43.8</v>
      </c>
      <c r="I613" t="s">
        <v>32</v>
      </c>
      <c r="J613">
        <v>32</v>
      </c>
      <c r="K613">
        <v>493</v>
      </c>
      <c r="L613">
        <v>85.95</v>
      </c>
      <c r="M613">
        <v>23.65</v>
      </c>
      <c r="N613">
        <v>2.69</v>
      </c>
      <c r="O613">
        <v>6.54</v>
      </c>
      <c r="P613">
        <v>361.89</v>
      </c>
      <c r="Q613">
        <v>500</v>
      </c>
      <c r="R613">
        <v>5</v>
      </c>
      <c r="S613">
        <v>241</v>
      </c>
    </row>
    <row r="614" spans="1:19" x14ac:dyDescent="0.3">
      <c r="A614">
        <v>613</v>
      </c>
      <c r="B614" t="s">
        <v>408</v>
      </c>
      <c r="C614">
        <v>2021</v>
      </c>
      <c r="D614" t="s">
        <v>161</v>
      </c>
      <c r="E614">
        <v>7</v>
      </c>
      <c r="F614" t="s">
        <v>31</v>
      </c>
      <c r="G614" t="s">
        <v>22</v>
      </c>
      <c r="H614">
        <v>13.87</v>
      </c>
      <c r="I614" t="s">
        <v>23</v>
      </c>
      <c r="J614">
        <v>20</v>
      </c>
      <c r="K614">
        <v>476</v>
      </c>
      <c r="L614">
        <v>82.77</v>
      </c>
      <c r="M614">
        <v>9.0500000000000007</v>
      </c>
      <c r="N614">
        <v>15.89</v>
      </c>
      <c r="O614">
        <v>12.59</v>
      </c>
      <c r="P614">
        <v>525.16</v>
      </c>
      <c r="Q614">
        <v>922</v>
      </c>
      <c r="R614">
        <v>2</v>
      </c>
      <c r="S614">
        <v>240</v>
      </c>
    </row>
    <row r="615" spans="1:19" x14ac:dyDescent="0.3">
      <c r="A615">
        <v>614</v>
      </c>
      <c r="B615" t="s">
        <v>409</v>
      </c>
      <c r="C615">
        <v>2021</v>
      </c>
      <c r="D615" t="s">
        <v>161</v>
      </c>
      <c r="E615">
        <v>7</v>
      </c>
      <c r="F615" t="s">
        <v>37</v>
      </c>
      <c r="G615" t="s">
        <v>42</v>
      </c>
      <c r="H615">
        <v>49.12</v>
      </c>
      <c r="I615" t="s">
        <v>38</v>
      </c>
      <c r="J615">
        <v>35</v>
      </c>
      <c r="K615">
        <v>216</v>
      </c>
      <c r="L615">
        <v>79.459999999999994</v>
      </c>
      <c r="M615">
        <v>29.18</v>
      </c>
      <c r="N615">
        <v>16.72</v>
      </c>
      <c r="O615">
        <v>7.83</v>
      </c>
      <c r="P615">
        <v>303.85000000000002</v>
      </c>
      <c r="Q615">
        <v>292</v>
      </c>
      <c r="R615">
        <v>3</v>
      </c>
      <c r="S615">
        <v>150</v>
      </c>
    </row>
    <row r="616" spans="1:19" x14ac:dyDescent="0.3">
      <c r="A616">
        <v>615</v>
      </c>
      <c r="B616" t="s">
        <v>410</v>
      </c>
      <c r="C616">
        <v>2021</v>
      </c>
      <c r="D616" t="s">
        <v>161</v>
      </c>
      <c r="E616">
        <v>7</v>
      </c>
      <c r="F616" t="s">
        <v>53</v>
      </c>
      <c r="G616" t="s">
        <v>42</v>
      </c>
      <c r="H616">
        <v>12.9</v>
      </c>
      <c r="I616" t="s">
        <v>32</v>
      </c>
      <c r="J616">
        <v>33</v>
      </c>
      <c r="K616">
        <v>107</v>
      </c>
      <c r="L616">
        <v>93.7</v>
      </c>
      <c r="M616">
        <v>15.33</v>
      </c>
      <c r="N616">
        <v>21.54</v>
      </c>
      <c r="O616">
        <v>10.63</v>
      </c>
      <c r="P616">
        <v>576.73</v>
      </c>
      <c r="Q616">
        <v>968</v>
      </c>
      <c r="R616">
        <v>1</v>
      </c>
      <c r="S616">
        <v>110</v>
      </c>
    </row>
    <row r="617" spans="1:19" x14ac:dyDescent="0.3">
      <c r="A617">
        <v>616</v>
      </c>
      <c r="B617" t="s">
        <v>411</v>
      </c>
      <c r="C617">
        <v>2021</v>
      </c>
      <c r="D617" t="s">
        <v>161</v>
      </c>
      <c r="E617">
        <v>7</v>
      </c>
      <c r="F617" t="s">
        <v>34</v>
      </c>
      <c r="G617" t="s">
        <v>42</v>
      </c>
      <c r="H617">
        <v>39</v>
      </c>
      <c r="I617" t="s">
        <v>27</v>
      </c>
      <c r="J617">
        <v>22</v>
      </c>
      <c r="K617">
        <v>207</v>
      </c>
      <c r="L617">
        <v>84.46</v>
      </c>
      <c r="M617">
        <v>19.11</v>
      </c>
      <c r="N617">
        <v>11.5</v>
      </c>
      <c r="O617">
        <v>9.86</v>
      </c>
      <c r="P617">
        <v>433.34</v>
      </c>
      <c r="Q617">
        <v>290</v>
      </c>
      <c r="R617">
        <v>1</v>
      </c>
      <c r="S617">
        <v>197</v>
      </c>
    </row>
    <row r="618" spans="1:19" x14ac:dyDescent="0.3">
      <c r="A618">
        <v>617</v>
      </c>
      <c r="B618" t="s">
        <v>412</v>
      </c>
      <c r="C618">
        <v>2021</v>
      </c>
      <c r="D618" t="s">
        <v>161</v>
      </c>
      <c r="E618">
        <v>7</v>
      </c>
      <c r="F618" t="s">
        <v>21</v>
      </c>
      <c r="G618" t="s">
        <v>40</v>
      </c>
      <c r="H618">
        <v>13.15</v>
      </c>
      <c r="I618" t="s">
        <v>27</v>
      </c>
      <c r="J618">
        <v>8</v>
      </c>
      <c r="K618">
        <v>397</v>
      </c>
      <c r="L618">
        <v>93.59</v>
      </c>
      <c r="M618">
        <v>19.32</v>
      </c>
      <c r="N618">
        <v>20.18</v>
      </c>
      <c r="O618">
        <v>2.04</v>
      </c>
      <c r="P618">
        <v>418.86</v>
      </c>
      <c r="Q618">
        <v>291</v>
      </c>
      <c r="R618">
        <v>4</v>
      </c>
      <c r="S618">
        <v>137</v>
      </c>
    </row>
    <row r="619" spans="1:19" x14ac:dyDescent="0.3">
      <c r="A619">
        <v>618</v>
      </c>
      <c r="B619" t="s">
        <v>409</v>
      </c>
      <c r="C619">
        <v>2021</v>
      </c>
      <c r="D619" t="s">
        <v>161</v>
      </c>
      <c r="E619">
        <v>7</v>
      </c>
      <c r="F619" t="s">
        <v>21</v>
      </c>
      <c r="G619" t="s">
        <v>40</v>
      </c>
      <c r="H619">
        <v>47.8</v>
      </c>
      <c r="I619" t="s">
        <v>23</v>
      </c>
      <c r="J619">
        <v>48</v>
      </c>
      <c r="K619">
        <v>108</v>
      </c>
      <c r="L619">
        <v>79.33</v>
      </c>
      <c r="M619">
        <v>8.23</v>
      </c>
      <c r="N619">
        <v>9.51</v>
      </c>
      <c r="O619">
        <v>4.95</v>
      </c>
      <c r="P619">
        <v>190.72</v>
      </c>
      <c r="Q619">
        <v>1085</v>
      </c>
      <c r="R619">
        <v>3</v>
      </c>
      <c r="S619">
        <v>149</v>
      </c>
    </row>
    <row r="620" spans="1:19" x14ac:dyDescent="0.3">
      <c r="A620">
        <v>619</v>
      </c>
      <c r="B620" t="s">
        <v>413</v>
      </c>
      <c r="C620">
        <v>2021</v>
      </c>
      <c r="D620" t="s">
        <v>161</v>
      </c>
      <c r="E620">
        <v>7</v>
      </c>
      <c r="F620" t="s">
        <v>21</v>
      </c>
      <c r="G620" t="s">
        <v>22</v>
      </c>
      <c r="H620">
        <v>24.43</v>
      </c>
      <c r="I620" t="s">
        <v>23</v>
      </c>
      <c r="J620">
        <v>14</v>
      </c>
      <c r="K620">
        <v>126</v>
      </c>
      <c r="L620">
        <v>94.54</v>
      </c>
      <c r="M620">
        <v>8.41</v>
      </c>
      <c r="N620">
        <v>14.63</v>
      </c>
      <c r="O620">
        <v>8.23</v>
      </c>
      <c r="P620">
        <v>154.99</v>
      </c>
      <c r="Q620">
        <v>327</v>
      </c>
      <c r="R620">
        <v>4</v>
      </c>
      <c r="S620">
        <v>172</v>
      </c>
    </row>
    <row r="621" spans="1:19" x14ac:dyDescent="0.3">
      <c r="A621">
        <v>620</v>
      </c>
      <c r="B621" t="s">
        <v>414</v>
      </c>
      <c r="C621">
        <v>2021</v>
      </c>
      <c r="D621" t="s">
        <v>161</v>
      </c>
      <c r="E621">
        <v>7</v>
      </c>
      <c r="F621" t="s">
        <v>29</v>
      </c>
      <c r="G621" t="s">
        <v>26</v>
      </c>
      <c r="H621">
        <v>53.19</v>
      </c>
      <c r="I621" t="s">
        <v>38</v>
      </c>
      <c r="J621">
        <v>2</v>
      </c>
      <c r="K621">
        <v>183</v>
      </c>
      <c r="L621">
        <v>80.94</v>
      </c>
      <c r="M621">
        <v>22.7</v>
      </c>
      <c r="N621">
        <v>11.99</v>
      </c>
      <c r="O621">
        <v>9.84</v>
      </c>
      <c r="P621">
        <v>362.89</v>
      </c>
      <c r="Q621">
        <v>307</v>
      </c>
      <c r="R621">
        <v>2</v>
      </c>
      <c r="S621">
        <v>65</v>
      </c>
    </row>
    <row r="622" spans="1:19" x14ac:dyDescent="0.3">
      <c r="A622">
        <v>621</v>
      </c>
      <c r="B622" t="s">
        <v>415</v>
      </c>
      <c r="C622">
        <v>2021</v>
      </c>
      <c r="D622" t="s">
        <v>161</v>
      </c>
      <c r="E622">
        <v>7</v>
      </c>
      <c r="F622" t="s">
        <v>21</v>
      </c>
      <c r="G622" t="s">
        <v>42</v>
      </c>
      <c r="H622">
        <v>42.07</v>
      </c>
      <c r="I622" t="s">
        <v>38</v>
      </c>
      <c r="J622">
        <v>50</v>
      </c>
      <c r="K622">
        <v>261</v>
      </c>
      <c r="L622">
        <v>89.62</v>
      </c>
      <c r="M622">
        <v>15.89</v>
      </c>
      <c r="N622">
        <v>8.49</v>
      </c>
      <c r="O622">
        <v>10.93</v>
      </c>
      <c r="P622">
        <v>227.78</v>
      </c>
      <c r="Q622">
        <v>778</v>
      </c>
      <c r="R622">
        <v>2</v>
      </c>
      <c r="S622">
        <v>152</v>
      </c>
    </row>
    <row r="623" spans="1:19" x14ac:dyDescent="0.3">
      <c r="A623">
        <v>622</v>
      </c>
      <c r="B623" t="s">
        <v>416</v>
      </c>
      <c r="C623">
        <v>2021</v>
      </c>
      <c r="D623" t="s">
        <v>161</v>
      </c>
      <c r="E623">
        <v>7</v>
      </c>
      <c r="F623" t="s">
        <v>21</v>
      </c>
      <c r="G623" t="s">
        <v>22</v>
      </c>
      <c r="H623">
        <v>28.71</v>
      </c>
      <c r="I623" t="s">
        <v>27</v>
      </c>
      <c r="J623">
        <v>26</v>
      </c>
      <c r="K623">
        <v>246</v>
      </c>
      <c r="L623">
        <v>84.41</v>
      </c>
      <c r="M623">
        <v>9.51</v>
      </c>
      <c r="N623">
        <v>17.690000000000001</v>
      </c>
      <c r="O623">
        <v>5.81</v>
      </c>
      <c r="P623">
        <v>478.82</v>
      </c>
      <c r="Q623">
        <v>687</v>
      </c>
      <c r="R623">
        <v>2</v>
      </c>
      <c r="S623">
        <v>218</v>
      </c>
    </row>
    <row r="624" spans="1:19" x14ac:dyDescent="0.3">
      <c r="A624">
        <v>623</v>
      </c>
      <c r="B624" t="s">
        <v>410</v>
      </c>
      <c r="C624">
        <v>2021</v>
      </c>
      <c r="D624" t="s">
        <v>161</v>
      </c>
      <c r="E624">
        <v>7</v>
      </c>
      <c r="F624" t="s">
        <v>62</v>
      </c>
      <c r="G624" t="s">
        <v>35</v>
      </c>
      <c r="H624">
        <v>32.57</v>
      </c>
      <c r="I624" t="s">
        <v>23</v>
      </c>
      <c r="J624">
        <v>21</v>
      </c>
      <c r="K624">
        <v>313</v>
      </c>
      <c r="L624">
        <v>88.06</v>
      </c>
      <c r="M624">
        <v>10.09</v>
      </c>
      <c r="N624">
        <v>17.41</v>
      </c>
      <c r="O624">
        <v>1.53</v>
      </c>
      <c r="P624">
        <v>143.76</v>
      </c>
      <c r="Q624">
        <v>125</v>
      </c>
      <c r="R624">
        <v>2</v>
      </c>
      <c r="S624">
        <v>231</v>
      </c>
    </row>
    <row r="625" spans="1:19" x14ac:dyDescent="0.3">
      <c r="A625">
        <v>624</v>
      </c>
      <c r="B625" t="s">
        <v>417</v>
      </c>
      <c r="C625">
        <v>2021</v>
      </c>
      <c r="D625" t="s">
        <v>161</v>
      </c>
      <c r="E625">
        <v>7</v>
      </c>
      <c r="F625" t="s">
        <v>37</v>
      </c>
      <c r="G625" t="s">
        <v>22</v>
      </c>
      <c r="H625">
        <v>41.45</v>
      </c>
      <c r="I625" t="s">
        <v>32</v>
      </c>
      <c r="J625">
        <v>2</v>
      </c>
      <c r="K625">
        <v>555</v>
      </c>
      <c r="L625">
        <v>75.59</v>
      </c>
      <c r="M625">
        <v>19.649999999999999</v>
      </c>
      <c r="N625">
        <v>4</v>
      </c>
      <c r="O625">
        <v>3.18</v>
      </c>
      <c r="P625">
        <v>298.14999999999998</v>
      </c>
      <c r="Q625">
        <v>926</v>
      </c>
      <c r="R625">
        <v>2</v>
      </c>
      <c r="S625">
        <v>216</v>
      </c>
    </row>
    <row r="626" spans="1:19" x14ac:dyDescent="0.3">
      <c r="A626">
        <v>625</v>
      </c>
      <c r="B626" t="s">
        <v>411</v>
      </c>
      <c r="C626">
        <v>2021</v>
      </c>
      <c r="D626" t="s">
        <v>161</v>
      </c>
      <c r="E626">
        <v>7</v>
      </c>
      <c r="F626" t="s">
        <v>29</v>
      </c>
      <c r="G626" t="s">
        <v>42</v>
      </c>
      <c r="H626">
        <v>37.06</v>
      </c>
      <c r="I626" t="s">
        <v>23</v>
      </c>
      <c r="J626">
        <v>40</v>
      </c>
      <c r="K626">
        <v>530</v>
      </c>
      <c r="L626">
        <v>79.540000000000006</v>
      </c>
      <c r="M626">
        <v>19.489999999999998</v>
      </c>
      <c r="N626">
        <v>2.14</v>
      </c>
      <c r="O626">
        <v>3.82</v>
      </c>
      <c r="P626">
        <v>439.37</v>
      </c>
      <c r="Q626">
        <v>276</v>
      </c>
      <c r="R626">
        <v>1</v>
      </c>
      <c r="S626">
        <v>81</v>
      </c>
    </row>
    <row r="627" spans="1:19" x14ac:dyDescent="0.3">
      <c r="A627">
        <v>626</v>
      </c>
      <c r="B627" t="s">
        <v>411</v>
      </c>
      <c r="C627">
        <v>2021</v>
      </c>
      <c r="D627" t="s">
        <v>161</v>
      </c>
      <c r="E627">
        <v>7</v>
      </c>
      <c r="F627" t="s">
        <v>62</v>
      </c>
      <c r="G627" t="s">
        <v>42</v>
      </c>
      <c r="H627">
        <v>52.41</v>
      </c>
      <c r="I627" t="s">
        <v>27</v>
      </c>
      <c r="J627">
        <v>6</v>
      </c>
      <c r="K627">
        <v>210</v>
      </c>
      <c r="L627">
        <v>93.84</v>
      </c>
      <c r="M627">
        <v>19.02</v>
      </c>
      <c r="N627">
        <v>9.9</v>
      </c>
      <c r="O627">
        <v>15.84</v>
      </c>
      <c r="P627">
        <v>384.46</v>
      </c>
      <c r="Q627">
        <v>1039</v>
      </c>
      <c r="R627">
        <v>2</v>
      </c>
      <c r="S627">
        <v>163</v>
      </c>
    </row>
    <row r="628" spans="1:19" x14ac:dyDescent="0.3">
      <c r="A628">
        <v>627</v>
      </c>
      <c r="B628" t="s">
        <v>409</v>
      </c>
      <c r="C628">
        <v>2021</v>
      </c>
      <c r="D628" t="s">
        <v>161</v>
      </c>
      <c r="E628">
        <v>7</v>
      </c>
      <c r="F628" t="s">
        <v>25</v>
      </c>
      <c r="G628" t="s">
        <v>26</v>
      </c>
      <c r="H628">
        <v>22.09</v>
      </c>
      <c r="I628" t="s">
        <v>38</v>
      </c>
      <c r="J628">
        <v>12</v>
      </c>
      <c r="K628">
        <v>376</v>
      </c>
      <c r="L628">
        <v>79.38</v>
      </c>
      <c r="M628">
        <v>25.65</v>
      </c>
      <c r="N628">
        <v>20.57</v>
      </c>
      <c r="O628">
        <v>14.08</v>
      </c>
      <c r="P628">
        <v>573.94000000000005</v>
      </c>
      <c r="Q628">
        <v>1050</v>
      </c>
      <c r="R628">
        <v>3</v>
      </c>
      <c r="S628">
        <v>170</v>
      </c>
    </row>
    <row r="629" spans="1:19" x14ac:dyDescent="0.3">
      <c r="A629">
        <v>628</v>
      </c>
      <c r="B629" t="s">
        <v>418</v>
      </c>
      <c r="C629">
        <v>2021</v>
      </c>
      <c r="D629" t="s">
        <v>161</v>
      </c>
      <c r="E629">
        <v>7</v>
      </c>
      <c r="F629" t="s">
        <v>21</v>
      </c>
      <c r="G629" t="s">
        <v>26</v>
      </c>
      <c r="H629">
        <v>14.14</v>
      </c>
      <c r="I629" t="s">
        <v>27</v>
      </c>
      <c r="J629">
        <v>10</v>
      </c>
      <c r="K629">
        <v>108</v>
      </c>
      <c r="L629">
        <v>84.78</v>
      </c>
      <c r="M629">
        <v>32.47</v>
      </c>
      <c r="N629">
        <v>21.55</v>
      </c>
      <c r="O629">
        <v>14.1</v>
      </c>
      <c r="P629">
        <v>138.59</v>
      </c>
      <c r="Q629">
        <v>728</v>
      </c>
      <c r="R629">
        <v>3</v>
      </c>
      <c r="S629">
        <v>63</v>
      </c>
    </row>
    <row r="630" spans="1:19" x14ac:dyDescent="0.3">
      <c r="A630">
        <v>629</v>
      </c>
      <c r="B630" t="s">
        <v>409</v>
      </c>
      <c r="C630">
        <v>2021</v>
      </c>
      <c r="D630" t="s">
        <v>161</v>
      </c>
      <c r="E630">
        <v>7</v>
      </c>
      <c r="F630" t="s">
        <v>34</v>
      </c>
      <c r="G630" t="s">
        <v>42</v>
      </c>
      <c r="H630">
        <v>43.77</v>
      </c>
      <c r="I630" t="s">
        <v>32</v>
      </c>
      <c r="J630">
        <v>29</v>
      </c>
      <c r="K630">
        <v>456</v>
      </c>
      <c r="L630">
        <v>82.95</v>
      </c>
      <c r="M630">
        <v>8.1300000000000008</v>
      </c>
      <c r="N630">
        <v>20.72</v>
      </c>
      <c r="O630">
        <v>5.71</v>
      </c>
      <c r="P630">
        <v>368.9</v>
      </c>
      <c r="Q630">
        <v>162</v>
      </c>
      <c r="R630">
        <v>1</v>
      </c>
      <c r="S630">
        <v>128</v>
      </c>
    </row>
    <row r="631" spans="1:19" x14ac:dyDescent="0.3">
      <c r="A631">
        <v>630</v>
      </c>
      <c r="B631" t="s">
        <v>419</v>
      </c>
      <c r="C631">
        <v>2021</v>
      </c>
      <c r="D631" t="s">
        <v>161</v>
      </c>
      <c r="E631">
        <v>7</v>
      </c>
      <c r="F631" t="s">
        <v>25</v>
      </c>
      <c r="G631" t="s">
        <v>26</v>
      </c>
      <c r="H631">
        <v>26.46</v>
      </c>
      <c r="I631" t="s">
        <v>27</v>
      </c>
      <c r="J631">
        <v>27</v>
      </c>
      <c r="K631">
        <v>344</v>
      </c>
      <c r="L631">
        <v>79.41</v>
      </c>
      <c r="M631">
        <v>9.06</v>
      </c>
      <c r="N631">
        <v>15.37</v>
      </c>
      <c r="O631">
        <v>1.1299999999999999</v>
      </c>
      <c r="P631">
        <v>434.5</v>
      </c>
      <c r="Q631">
        <v>130</v>
      </c>
      <c r="R631">
        <v>2</v>
      </c>
      <c r="S631">
        <v>203</v>
      </c>
    </row>
    <row r="632" spans="1:19" x14ac:dyDescent="0.3">
      <c r="A632">
        <v>631</v>
      </c>
      <c r="B632" t="s">
        <v>411</v>
      </c>
      <c r="C632">
        <v>2021</v>
      </c>
      <c r="D632" t="s">
        <v>161</v>
      </c>
      <c r="E632">
        <v>7</v>
      </c>
      <c r="F632" t="s">
        <v>34</v>
      </c>
      <c r="G632" t="s">
        <v>22</v>
      </c>
      <c r="H632">
        <v>12.5</v>
      </c>
      <c r="I632" t="s">
        <v>27</v>
      </c>
      <c r="J632">
        <v>15</v>
      </c>
      <c r="K632">
        <v>222</v>
      </c>
      <c r="L632">
        <v>91.24</v>
      </c>
      <c r="M632">
        <v>6.67</v>
      </c>
      <c r="N632">
        <v>15.84</v>
      </c>
      <c r="O632">
        <v>7.59</v>
      </c>
      <c r="P632">
        <v>243.47</v>
      </c>
      <c r="Q632">
        <v>640</v>
      </c>
      <c r="R632">
        <v>2</v>
      </c>
      <c r="S632">
        <v>135</v>
      </c>
    </row>
    <row r="633" spans="1:19" x14ac:dyDescent="0.3">
      <c r="A633">
        <v>632</v>
      </c>
      <c r="B633" t="s">
        <v>420</v>
      </c>
      <c r="C633">
        <v>2021</v>
      </c>
      <c r="D633" t="s">
        <v>161</v>
      </c>
      <c r="E633">
        <v>7</v>
      </c>
      <c r="F633" t="s">
        <v>31</v>
      </c>
      <c r="G633" t="s">
        <v>40</v>
      </c>
      <c r="H633">
        <v>42.07</v>
      </c>
      <c r="I633" t="s">
        <v>23</v>
      </c>
      <c r="J633">
        <v>31</v>
      </c>
      <c r="K633">
        <v>371</v>
      </c>
      <c r="L633">
        <v>87.85</v>
      </c>
      <c r="M633">
        <v>31.74</v>
      </c>
      <c r="N633">
        <v>10.76</v>
      </c>
      <c r="O633">
        <v>2.54</v>
      </c>
      <c r="P633">
        <v>146.08000000000001</v>
      </c>
      <c r="Q633">
        <v>426</v>
      </c>
      <c r="R633">
        <v>2</v>
      </c>
      <c r="S633">
        <v>159</v>
      </c>
    </row>
    <row r="634" spans="1:19" x14ac:dyDescent="0.3">
      <c r="A634">
        <v>633</v>
      </c>
      <c r="B634" t="s">
        <v>421</v>
      </c>
      <c r="C634">
        <v>2021</v>
      </c>
      <c r="D634" t="s">
        <v>161</v>
      </c>
      <c r="E634">
        <v>7</v>
      </c>
      <c r="F634" t="s">
        <v>21</v>
      </c>
      <c r="G634" t="s">
        <v>42</v>
      </c>
      <c r="H634">
        <v>31.01</v>
      </c>
      <c r="I634" t="s">
        <v>23</v>
      </c>
      <c r="J634">
        <v>35</v>
      </c>
      <c r="K634">
        <v>415</v>
      </c>
      <c r="L634">
        <v>84.25</v>
      </c>
      <c r="M634">
        <v>10.72</v>
      </c>
      <c r="N634">
        <v>16.77</v>
      </c>
      <c r="O634">
        <v>14.9</v>
      </c>
      <c r="P634">
        <v>183.66</v>
      </c>
      <c r="Q634">
        <v>784</v>
      </c>
      <c r="R634">
        <v>3</v>
      </c>
      <c r="S634">
        <v>92</v>
      </c>
    </row>
    <row r="635" spans="1:19" x14ac:dyDescent="0.3">
      <c r="A635">
        <v>634</v>
      </c>
      <c r="B635" t="s">
        <v>422</v>
      </c>
      <c r="C635">
        <v>2021</v>
      </c>
      <c r="D635" t="s">
        <v>161</v>
      </c>
      <c r="E635">
        <v>7</v>
      </c>
      <c r="F635" t="s">
        <v>29</v>
      </c>
      <c r="G635" t="s">
        <v>26</v>
      </c>
      <c r="H635">
        <v>12.61</v>
      </c>
      <c r="I635" t="s">
        <v>47</v>
      </c>
      <c r="J635">
        <v>50</v>
      </c>
      <c r="K635">
        <v>479</v>
      </c>
      <c r="L635">
        <v>79.47</v>
      </c>
      <c r="M635">
        <v>27</v>
      </c>
      <c r="N635">
        <v>5.0999999999999996</v>
      </c>
      <c r="O635">
        <v>12</v>
      </c>
      <c r="P635">
        <v>152.41999999999999</v>
      </c>
      <c r="Q635">
        <v>1014</v>
      </c>
      <c r="R635">
        <v>3</v>
      </c>
      <c r="S635">
        <v>83</v>
      </c>
    </row>
    <row r="636" spans="1:19" x14ac:dyDescent="0.3">
      <c r="A636">
        <v>635</v>
      </c>
      <c r="B636" t="s">
        <v>416</v>
      </c>
      <c r="C636">
        <v>2021</v>
      </c>
      <c r="D636" t="s">
        <v>161</v>
      </c>
      <c r="E636">
        <v>7</v>
      </c>
      <c r="F636" t="s">
        <v>29</v>
      </c>
      <c r="G636" t="s">
        <v>40</v>
      </c>
      <c r="H636">
        <v>11.86</v>
      </c>
      <c r="I636" t="s">
        <v>38</v>
      </c>
      <c r="J636">
        <v>32</v>
      </c>
      <c r="K636">
        <v>294</v>
      </c>
      <c r="L636">
        <v>94.66</v>
      </c>
      <c r="M636">
        <v>21.26</v>
      </c>
      <c r="N636">
        <v>13.49</v>
      </c>
      <c r="O636">
        <v>10.130000000000001</v>
      </c>
      <c r="P636">
        <v>492.81</v>
      </c>
      <c r="Q636">
        <v>778</v>
      </c>
      <c r="R636">
        <v>1</v>
      </c>
      <c r="S636">
        <v>247</v>
      </c>
    </row>
    <row r="637" spans="1:19" x14ac:dyDescent="0.3">
      <c r="A637">
        <v>636</v>
      </c>
      <c r="B637" t="s">
        <v>416</v>
      </c>
      <c r="C637">
        <v>2021</v>
      </c>
      <c r="D637" t="s">
        <v>161</v>
      </c>
      <c r="E637">
        <v>7</v>
      </c>
      <c r="F637" t="s">
        <v>34</v>
      </c>
      <c r="G637" t="s">
        <v>42</v>
      </c>
      <c r="H637">
        <v>13.37</v>
      </c>
      <c r="I637" t="s">
        <v>27</v>
      </c>
      <c r="J637">
        <v>5</v>
      </c>
      <c r="K637">
        <v>462</v>
      </c>
      <c r="L637">
        <v>79.2</v>
      </c>
      <c r="M637">
        <v>34.479999999999997</v>
      </c>
      <c r="N637">
        <v>18.55</v>
      </c>
      <c r="O637">
        <v>1.55</v>
      </c>
      <c r="P637">
        <v>535.66</v>
      </c>
      <c r="Q637">
        <v>356</v>
      </c>
      <c r="R637">
        <v>1</v>
      </c>
      <c r="S637">
        <v>223</v>
      </c>
    </row>
    <row r="638" spans="1:19" x14ac:dyDescent="0.3">
      <c r="A638">
        <v>637</v>
      </c>
      <c r="B638" t="s">
        <v>423</v>
      </c>
      <c r="C638">
        <v>2021</v>
      </c>
      <c r="D638" t="s">
        <v>161</v>
      </c>
      <c r="E638">
        <v>7</v>
      </c>
      <c r="F638" t="s">
        <v>37</v>
      </c>
      <c r="G638" t="s">
        <v>42</v>
      </c>
      <c r="H638">
        <v>14.07</v>
      </c>
      <c r="I638" t="s">
        <v>38</v>
      </c>
      <c r="J638">
        <v>19</v>
      </c>
      <c r="K638">
        <v>519</v>
      </c>
      <c r="L638">
        <v>91.2</v>
      </c>
      <c r="M638">
        <v>10.85</v>
      </c>
      <c r="N638">
        <v>14.71</v>
      </c>
      <c r="O638">
        <v>12.71</v>
      </c>
      <c r="P638">
        <v>237.97</v>
      </c>
      <c r="Q638">
        <v>198</v>
      </c>
      <c r="R638">
        <v>5</v>
      </c>
      <c r="S638">
        <v>204</v>
      </c>
    </row>
    <row r="639" spans="1:19" x14ac:dyDescent="0.3">
      <c r="A639">
        <v>638</v>
      </c>
      <c r="B639" t="s">
        <v>424</v>
      </c>
      <c r="C639">
        <v>2021</v>
      </c>
      <c r="D639" t="s">
        <v>161</v>
      </c>
      <c r="E639">
        <v>7</v>
      </c>
      <c r="F639" t="s">
        <v>31</v>
      </c>
      <c r="G639" t="s">
        <v>22</v>
      </c>
      <c r="H639">
        <v>15.89</v>
      </c>
      <c r="I639" t="s">
        <v>47</v>
      </c>
      <c r="J639">
        <v>6</v>
      </c>
      <c r="K639">
        <v>269</v>
      </c>
      <c r="L639">
        <v>94.6</v>
      </c>
      <c r="M639">
        <v>31.48</v>
      </c>
      <c r="N639">
        <v>4.97</v>
      </c>
      <c r="O639">
        <v>14.84</v>
      </c>
      <c r="P639">
        <v>574.16</v>
      </c>
      <c r="Q639">
        <v>914</v>
      </c>
      <c r="R639">
        <v>4</v>
      </c>
      <c r="S639">
        <v>177</v>
      </c>
    </row>
    <row r="640" spans="1:19" x14ac:dyDescent="0.3">
      <c r="A640">
        <v>639</v>
      </c>
      <c r="B640" t="s">
        <v>425</v>
      </c>
      <c r="C640">
        <v>2021</v>
      </c>
      <c r="D640" t="s">
        <v>161</v>
      </c>
      <c r="E640">
        <v>7</v>
      </c>
      <c r="F640" t="s">
        <v>31</v>
      </c>
      <c r="G640" t="s">
        <v>22</v>
      </c>
      <c r="H640">
        <v>21.26</v>
      </c>
      <c r="I640" t="s">
        <v>27</v>
      </c>
      <c r="J640">
        <v>45</v>
      </c>
      <c r="K640">
        <v>476</v>
      </c>
      <c r="L640">
        <v>93.52</v>
      </c>
      <c r="M640">
        <v>18.309999999999999</v>
      </c>
      <c r="N640">
        <v>9.65</v>
      </c>
      <c r="O640">
        <v>8.4499999999999993</v>
      </c>
      <c r="P640">
        <v>412.89</v>
      </c>
      <c r="Q640">
        <v>1045</v>
      </c>
      <c r="R640">
        <v>5</v>
      </c>
      <c r="S640">
        <v>225</v>
      </c>
    </row>
    <row r="641" spans="1:19" x14ac:dyDescent="0.3">
      <c r="A641">
        <v>640</v>
      </c>
      <c r="B641" t="s">
        <v>417</v>
      </c>
      <c r="C641">
        <v>2021</v>
      </c>
      <c r="D641" t="s">
        <v>161</v>
      </c>
      <c r="E641">
        <v>7</v>
      </c>
      <c r="F641" t="s">
        <v>21</v>
      </c>
      <c r="G641" t="s">
        <v>35</v>
      </c>
      <c r="H641">
        <v>32.08</v>
      </c>
      <c r="I641" t="s">
        <v>27</v>
      </c>
      <c r="J641">
        <v>5</v>
      </c>
      <c r="K641">
        <v>564</v>
      </c>
      <c r="L641">
        <v>77.459999999999994</v>
      </c>
      <c r="M641">
        <v>8.9600000000000009</v>
      </c>
      <c r="N641">
        <v>14.8</v>
      </c>
      <c r="O641">
        <v>7.36</v>
      </c>
      <c r="P641">
        <v>277.45999999999998</v>
      </c>
      <c r="Q641">
        <v>617</v>
      </c>
      <c r="R641">
        <v>1</v>
      </c>
      <c r="S641">
        <v>202</v>
      </c>
    </row>
    <row r="642" spans="1:19" x14ac:dyDescent="0.3">
      <c r="A642">
        <v>641</v>
      </c>
      <c r="B642" t="s">
        <v>426</v>
      </c>
      <c r="C642">
        <v>2021</v>
      </c>
      <c r="D642" t="s">
        <v>161</v>
      </c>
      <c r="E642">
        <v>7</v>
      </c>
      <c r="F642" t="s">
        <v>21</v>
      </c>
      <c r="G642" t="s">
        <v>42</v>
      </c>
      <c r="H642">
        <v>18.23</v>
      </c>
      <c r="I642" t="s">
        <v>47</v>
      </c>
      <c r="J642">
        <v>40</v>
      </c>
      <c r="K642">
        <v>467</v>
      </c>
      <c r="L642">
        <v>93.38</v>
      </c>
      <c r="M642">
        <v>7.59</v>
      </c>
      <c r="N642">
        <v>21.52</v>
      </c>
      <c r="O642">
        <v>3.9</v>
      </c>
      <c r="P642">
        <v>322.99</v>
      </c>
      <c r="Q642">
        <v>532</v>
      </c>
      <c r="R642">
        <v>2</v>
      </c>
      <c r="S642">
        <v>93</v>
      </c>
    </row>
    <row r="643" spans="1:19" x14ac:dyDescent="0.3">
      <c r="A643">
        <v>642</v>
      </c>
      <c r="B643" t="s">
        <v>409</v>
      </c>
      <c r="C643">
        <v>2021</v>
      </c>
      <c r="D643" t="s">
        <v>161</v>
      </c>
      <c r="E643">
        <v>7</v>
      </c>
      <c r="F643" t="s">
        <v>31</v>
      </c>
      <c r="G643" t="s">
        <v>22</v>
      </c>
      <c r="H643">
        <v>32.25</v>
      </c>
      <c r="I643" t="s">
        <v>32</v>
      </c>
      <c r="J643">
        <v>41</v>
      </c>
      <c r="K643">
        <v>140</v>
      </c>
      <c r="L643">
        <v>93.7</v>
      </c>
      <c r="M643">
        <v>20.37</v>
      </c>
      <c r="N643">
        <v>5.56</v>
      </c>
      <c r="O643">
        <v>4.8499999999999996</v>
      </c>
      <c r="P643">
        <v>364.76</v>
      </c>
      <c r="Q643">
        <v>509</v>
      </c>
      <c r="R643">
        <v>4</v>
      </c>
      <c r="S643">
        <v>127</v>
      </c>
    </row>
    <row r="644" spans="1:19" x14ac:dyDescent="0.3">
      <c r="A644">
        <v>643</v>
      </c>
      <c r="B644" t="s">
        <v>427</v>
      </c>
      <c r="C644">
        <v>2021</v>
      </c>
      <c r="D644" t="s">
        <v>161</v>
      </c>
      <c r="E644">
        <v>7</v>
      </c>
      <c r="F644" t="s">
        <v>21</v>
      </c>
      <c r="G644" t="s">
        <v>22</v>
      </c>
      <c r="H644">
        <v>25.15</v>
      </c>
      <c r="I644" t="s">
        <v>23</v>
      </c>
      <c r="J644">
        <v>7</v>
      </c>
      <c r="K644">
        <v>402</v>
      </c>
      <c r="L644">
        <v>81.38</v>
      </c>
      <c r="M644">
        <v>23.24</v>
      </c>
      <c r="N644">
        <v>17.059999999999999</v>
      </c>
      <c r="O644">
        <v>11.5</v>
      </c>
      <c r="P644">
        <v>589.16999999999996</v>
      </c>
      <c r="Q644">
        <v>409</v>
      </c>
      <c r="R644">
        <v>3</v>
      </c>
      <c r="S644">
        <v>214</v>
      </c>
    </row>
    <row r="645" spans="1:19" x14ac:dyDescent="0.3">
      <c r="A645">
        <v>644</v>
      </c>
      <c r="B645" t="s">
        <v>410</v>
      </c>
      <c r="C645">
        <v>2021</v>
      </c>
      <c r="D645" t="s">
        <v>161</v>
      </c>
      <c r="E645">
        <v>7</v>
      </c>
      <c r="F645" t="s">
        <v>34</v>
      </c>
      <c r="G645" t="s">
        <v>42</v>
      </c>
      <c r="H645">
        <v>53.05</v>
      </c>
      <c r="I645" t="s">
        <v>47</v>
      </c>
      <c r="J645">
        <v>7</v>
      </c>
      <c r="K645">
        <v>280</v>
      </c>
      <c r="L645">
        <v>78.83</v>
      </c>
      <c r="M645">
        <v>20.95</v>
      </c>
      <c r="N645">
        <v>21.78</v>
      </c>
      <c r="O645">
        <v>1.03</v>
      </c>
      <c r="P645">
        <v>291.89999999999998</v>
      </c>
      <c r="Q645">
        <v>1094</v>
      </c>
      <c r="R645">
        <v>4</v>
      </c>
      <c r="S645">
        <v>175</v>
      </c>
    </row>
    <row r="646" spans="1:19" x14ac:dyDescent="0.3">
      <c r="A646">
        <v>645</v>
      </c>
      <c r="B646" t="s">
        <v>412</v>
      </c>
      <c r="C646">
        <v>2021</v>
      </c>
      <c r="D646" t="s">
        <v>161</v>
      </c>
      <c r="E646">
        <v>7</v>
      </c>
      <c r="F646" t="s">
        <v>29</v>
      </c>
      <c r="G646" t="s">
        <v>22</v>
      </c>
      <c r="H646">
        <v>20.81</v>
      </c>
      <c r="I646" t="s">
        <v>38</v>
      </c>
      <c r="J646">
        <v>15</v>
      </c>
      <c r="K646">
        <v>500</v>
      </c>
      <c r="L646">
        <v>80.22</v>
      </c>
      <c r="M646">
        <v>26.23</v>
      </c>
      <c r="N646">
        <v>4.4000000000000004</v>
      </c>
      <c r="O646">
        <v>3.46</v>
      </c>
      <c r="P646">
        <v>137.01</v>
      </c>
      <c r="Q646">
        <v>895</v>
      </c>
      <c r="R646">
        <v>2</v>
      </c>
      <c r="S646">
        <v>64</v>
      </c>
    </row>
    <row r="647" spans="1:19" x14ac:dyDescent="0.3">
      <c r="A647">
        <v>646</v>
      </c>
      <c r="B647" t="s">
        <v>414</v>
      </c>
      <c r="C647">
        <v>2021</v>
      </c>
      <c r="D647" t="s">
        <v>161</v>
      </c>
      <c r="E647">
        <v>7</v>
      </c>
      <c r="F647" t="s">
        <v>21</v>
      </c>
      <c r="G647" t="s">
        <v>35</v>
      </c>
      <c r="H647">
        <v>44.06</v>
      </c>
      <c r="I647" t="s">
        <v>38</v>
      </c>
      <c r="J647">
        <v>44</v>
      </c>
      <c r="K647">
        <v>104</v>
      </c>
      <c r="L647">
        <v>78.150000000000006</v>
      </c>
      <c r="M647">
        <v>8.43</v>
      </c>
      <c r="N647">
        <v>7.21</v>
      </c>
      <c r="O647">
        <v>7.26</v>
      </c>
      <c r="P647">
        <v>431.2</v>
      </c>
      <c r="Q647">
        <v>809</v>
      </c>
      <c r="R647">
        <v>5</v>
      </c>
      <c r="S647">
        <v>83</v>
      </c>
    </row>
    <row r="648" spans="1:19" x14ac:dyDescent="0.3">
      <c r="A648">
        <v>647</v>
      </c>
      <c r="B648" t="s">
        <v>428</v>
      </c>
      <c r="C648">
        <v>2021</v>
      </c>
      <c r="D648" t="s">
        <v>161</v>
      </c>
      <c r="E648">
        <v>8</v>
      </c>
      <c r="F648" t="s">
        <v>25</v>
      </c>
      <c r="G648" t="s">
        <v>22</v>
      </c>
      <c r="H648">
        <v>40.89</v>
      </c>
      <c r="I648" t="s">
        <v>27</v>
      </c>
      <c r="J648">
        <v>42</v>
      </c>
      <c r="K648">
        <v>416</v>
      </c>
      <c r="L648">
        <v>86.25</v>
      </c>
      <c r="M648">
        <v>11.79</v>
      </c>
      <c r="N648">
        <v>13.47</v>
      </c>
      <c r="O648">
        <v>6.82</v>
      </c>
      <c r="P648">
        <v>446.44</v>
      </c>
      <c r="Q648">
        <v>1038</v>
      </c>
      <c r="R648">
        <v>2</v>
      </c>
      <c r="S648">
        <v>191</v>
      </c>
    </row>
    <row r="649" spans="1:19" x14ac:dyDescent="0.3">
      <c r="A649">
        <v>648</v>
      </c>
      <c r="B649" t="s">
        <v>429</v>
      </c>
      <c r="C649">
        <v>2021</v>
      </c>
      <c r="D649" t="s">
        <v>161</v>
      </c>
      <c r="E649">
        <v>8</v>
      </c>
      <c r="F649" t="s">
        <v>53</v>
      </c>
      <c r="G649" t="s">
        <v>40</v>
      </c>
      <c r="H649">
        <v>14.02</v>
      </c>
      <c r="I649" t="s">
        <v>47</v>
      </c>
      <c r="J649">
        <v>41</v>
      </c>
      <c r="K649">
        <v>441</v>
      </c>
      <c r="L649">
        <v>85.1</v>
      </c>
      <c r="M649">
        <v>7.22</v>
      </c>
      <c r="N649">
        <v>9.7799999999999994</v>
      </c>
      <c r="O649">
        <v>10.220000000000001</v>
      </c>
      <c r="P649">
        <v>271.58999999999997</v>
      </c>
      <c r="Q649">
        <v>499</v>
      </c>
      <c r="R649">
        <v>5</v>
      </c>
      <c r="S649">
        <v>192</v>
      </c>
    </row>
    <row r="650" spans="1:19" x14ac:dyDescent="0.3">
      <c r="A650">
        <v>649</v>
      </c>
      <c r="B650" t="s">
        <v>430</v>
      </c>
      <c r="C650">
        <v>2021</v>
      </c>
      <c r="D650" t="s">
        <v>161</v>
      </c>
      <c r="E650">
        <v>8</v>
      </c>
      <c r="F650" t="s">
        <v>37</v>
      </c>
      <c r="G650" t="s">
        <v>40</v>
      </c>
      <c r="H650">
        <v>22.45</v>
      </c>
      <c r="I650" t="s">
        <v>32</v>
      </c>
      <c r="J650">
        <v>15</v>
      </c>
      <c r="K650">
        <v>370</v>
      </c>
      <c r="L650">
        <v>88.84</v>
      </c>
      <c r="M650">
        <v>28.55</v>
      </c>
      <c r="N650">
        <v>13.1</v>
      </c>
      <c r="O650">
        <v>2.81</v>
      </c>
      <c r="P650">
        <v>346.59</v>
      </c>
      <c r="Q650">
        <v>1046</v>
      </c>
      <c r="R650">
        <v>1</v>
      </c>
      <c r="S650">
        <v>189</v>
      </c>
    </row>
    <row r="651" spans="1:19" x14ac:dyDescent="0.3">
      <c r="A651">
        <v>650</v>
      </c>
      <c r="B651" t="s">
        <v>431</v>
      </c>
      <c r="C651">
        <v>2021</v>
      </c>
      <c r="D651" t="s">
        <v>161</v>
      </c>
      <c r="E651">
        <v>8</v>
      </c>
      <c r="F651" t="s">
        <v>34</v>
      </c>
      <c r="G651" t="s">
        <v>22</v>
      </c>
      <c r="H651">
        <v>48.83</v>
      </c>
      <c r="I651" t="s">
        <v>38</v>
      </c>
      <c r="J651">
        <v>32</v>
      </c>
      <c r="K651">
        <v>441</v>
      </c>
      <c r="L651">
        <v>86.37</v>
      </c>
      <c r="M651">
        <v>6.51</v>
      </c>
      <c r="N651">
        <v>5.72</v>
      </c>
      <c r="O651">
        <v>9.4499999999999993</v>
      </c>
      <c r="P651">
        <v>169.14</v>
      </c>
      <c r="Q651">
        <v>808</v>
      </c>
      <c r="R651">
        <v>2</v>
      </c>
      <c r="S651">
        <v>83</v>
      </c>
    </row>
    <row r="652" spans="1:19" x14ac:dyDescent="0.3">
      <c r="A652">
        <v>651</v>
      </c>
      <c r="B652" t="s">
        <v>432</v>
      </c>
      <c r="C652">
        <v>2021</v>
      </c>
      <c r="D652" t="s">
        <v>161</v>
      </c>
      <c r="E652">
        <v>8</v>
      </c>
      <c r="F652" t="s">
        <v>34</v>
      </c>
      <c r="G652" t="s">
        <v>42</v>
      </c>
      <c r="H652">
        <v>48.85</v>
      </c>
      <c r="I652" t="s">
        <v>27</v>
      </c>
      <c r="J652">
        <v>43</v>
      </c>
      <c r="K652">
        <v>482</v>
      </c>
      <c r="L652">
        <v>78.62</v>
      </c>
      <c r="M652">
        <v>23.83</v>
      </c>
      <c r="N652">
        <v>8.76</v>
      </c>
      <c r="O652">
        <v>8.16</v>
      </c>
      <c r="P652">
        <v>161.69</v>
      </c>
      <c r="Q652">
        <v>1009</v>
      </c>
      <c r="R652">
        <v>5</v>
      </c>
      <c r="S652">
        <v>117</v>
      </c>
    </row>
    <row r="653" spans="1:19" x14ac:dyDescent="0.3">
      <c r="A653">
        <v>652</v>
      </c>
      <c r="B653" t="s">
        <v>429</v>
      </c>
      <c r="C653">
        <v>2021</v>
      </c>
      <c r="D653" t="s">
        <v>161</v>
      </c>
      <c r="E653">
        <v>8</v>
      </c>
      <c r="F653" t="s">
        <v>31</v>
      </c>
      <c r="G653" t="s">
        <v>35</v>
      </c>
      <c r="H653">
        <v>9.92</v>
      </c>
      <c r="I653" t="s">
        <v>38</v>
      </c>
      <c r="J653">
        <v>11</v>
      </c>
      <c r="K653">
        <v>360</v>
      </c>
      <c r="L653">
        <v>78.48</v>
      </c>
      <c r="M653">
        <v>23.58</v>
      </c>
      <c r="N653">
        <v>16.14</v>
      </c>
      <c r="O653">
        <v>8.2899999999999991</v>
      </c>
      <c r="P653">
        <v>307.66000000000003</v>
      </c>
      <c r="Q653">
        <v>393</v>
      </c>
      <c r="R653">
        <v>5</v>
      </c>
      <c r="S653">
        <v>79</v>
      </c>
    </row>
    <row r="654" spans="1:19" x14ac:dyDescent="0.3">
      <c r="A654">
        <v>653</v>
      </c>
      <c r="B654" t="s">
        <v>432</v>
      </c>
      <c r="C654">
        <v>2021</v>
      </c>
      <c r="D654" t="s">
        <v>161</v>
      </c>
      <c r="E654">
        <v>8</v>
      </c>
      <c r="F654" t="s">
        <v>53</v>
      </c>
      <c r="G654" t="s">
        <v>26</v>
      </c>
      <c r="H654">
        <v>27.63</v>
      </c>
      <c r="I654" t="s">
        <v>32</v>
      </c>
      <c r="J654">
        <v>3</v>
      </c>
      <c r="K654">
        <v>148</v>
      </c>
      <c r="L654">
        <v>76.66</v>
      </c>
      <c r="M654">
        <v>34.36</v>
      </c>
      <c r="N654">
        <v>5.71</v>
      </c>
      <c r="O654">
        <v>4.8</v>
      </c>
      <c r="P654">
        <v>538.99</v>
      </c>
      <c r="Q654">
        <v>332</v>
      </c>
      <c r="R654">
        <v>2</v>
      </c>
      <c r="S654">
        <v>178</v>
      </c>
    </row>
    <row r="655" spans="1:19" x14ac:dyDescent="0.3">
      <c r="A655">
        <v>654</v>
      </c>
      <c r="B655" t="s">
        <v>429</v>
      </c>
      <c r="C655">
        <v>2021</v>
      </c>
      <c r="D655" t="s">
        <v>161</v>
      </c>
      <c r="E655">
        <v>8</v>
      </c>
      <c r="F655" t="s">
        <v>29</v>
      </c>
      <c r="G655" t="s">
        <v>35</v>
      </c>
      <c r="H655">
        <v>54.92</v>
      </c>
      <c r="I655" t="s">
        <v>23</v>
      </c>
      <c r="J655">
        <v>18</v>
      </c>
      <c r="K655">
        <v>275</v>
      </c>
      <c r="L655">
        <v>91.03</v>
      </c>
      <c r="M655">
        <v>24.91</v>
      </c>
      <c r="N655">
        <v>20.87</v>
      </c>
      <c r="O655">
        <v>9.0399999999999991</v>
      </c>
      <c r="P655">
        <v>381.32</v>
      </c>
      <c r="Q655">
        <v>709</v>
      </c>
      <c r="R655">
        <v>2</v>
      </c>
      <c r="S655">
        <v>158</v>
      </c>
    </row>
    <row r="656" spans="1:19" x14ac:dyDescent="0.3">
      <c r="A656">
        <v>655</v>
      </c>
      <c r="B656" t="s">
        <v>428</v>
      </c>
      <c r="C656">
        <v>2021</v>
      </c>
      <c r="D656" t="s">
        <v>161</v>
      </c>
      <c r="E656">
        <v>8</v>
      </c>
      <c r="F656" t="s">
        <v>25</v>
      </c>
      <c r="G656" t="s">
        <v>42</v>
      </c>
      <c r="H656">
        <v>42.08</v>
      </c>
      <c r="I656" t="s">
        <v>47</v>
      </c>
      <c r="J656">
        <v>1</v>
      </c>
      <c r="K656">
        <v>570</v>
      </c>
      <c r="L656">
        <v>88.3</v>
      </c>
      <c r="M656">
        <v>19.93</v>
      </c>
      <c r="N656">
        <v>6.97</v>
      </c>
      <c r="O656">
        <v>6.15</v>
      </c>
      <c r="P656">
        <v>246.19</v>
      </c>
      <c r="Q656">
        <v>136</v>
      </c>
      <c r="R656">
        <v>2</v>
      </c>
      <c r="S656">
        <v>80</v>
      </c>
    </row>
    <row r="657" spans="1:19" x14ac:dyDescent="0.3">
      <c r="A657">
        <v>656</v>
      </c>
      <c r="B657" t="s">
        <v>433</v>
      </c>
      <c r="C657">
        <v>2021</v>
      </c>
      <c r="D657" t="s">
        <v>161</v>
      </c>
      <c r="E657">
        <v>8</v>
      </c>
      <c r="F657" t="s">
        <v>29</v>
      </c>
      <c r="G657" t="s">
        <v>42</v>
      </c>
      <c r="H657">
        <v>40.46</v>
      </c>
      <c r="I657" t="s">
        <v>27</v>
      </c>
      <c r="J657">
        <v>2</v>
      </c>
      <c r="K657">
        <v>414</v>
      </c>
      <c r="L657">
        <v>89.42</v>
      </c>
      <c r="M657">
        <v>23.98</v>
      </c>
      <c r="N657">
        <v>15.93</v>
      </c>
      <c r="O657">
        <v>9.69</v>
      </c>
      <c r="P657">
        <v>301.22000000000003</v>
      </c>
      <c r="Q657">
        <v>421</v>
      </c>
      <c r="R657">
        <v>2</v>
      </c>
      <c r="S657">
        <v>131</v>
      </c>
    </row>
    <row r="658" spans="1:19" x14ac:dyDescent="0.3">
      <c r="A658">
        <v>657</v>
      </c>
      <c r="B658" t="s">
        <v>434</v>
      </c>
      <c r="C658">
        <v>2021</v>
      </c>
      <c r="D658" t="s">
        <v>161</v>
      </c>
      <c r="E658">
        <v>8</v>
      </c>
      <c r="F658" t="s">
        <v>37</v>
      </c>
      <c r="G658" t="s">
        <v>40</v>
      </c>
      <c r="H658">
        <v>28</v>
      </c>
      <c r="I658" t="s">
        <v>27</v>
      </c>
      <c r="J658">
        <v>30</v>
      </c>
      <c r="K658">
        <v>189</v>
      </c>
      <c r="L658">
        <v>89.12</v>
      </c>
      <c r="M658">
        <v>20.32</v>
      </c>
      <c r="N658">
        <v>15.18</v>
      </c>
      <c r="O658">
        <v>11</v>
      </c>
      <c r="P658">
        <v>126.58</v>
      </c>
      <c r="Q658">
        <v>930</v>
      </c>
      <c r="R658">
        <v>5</v>
      </c>
      <c r="S658">
        <v>64</v>
      </c>
    </row>
    <row r="659" spans="1:19" x14ac:dyDescent="0.3">
      <c r="A659">
        <v>658</v>
      </c>
      <c r="B659" t="s">
        <v>435</v>
      </c>
      <c r="C659">
        <v>2021</v>
      </c>
      <c r="D659" t="s">
        <v>161</v>
      </c>
      <c r="E659">
        <v>8</v>
      </c>
      <c r="F659" t="s">
        <v>34</v>
      </c>
      <c r="G659" t="s">
        <v>35</v>
      </c>
      <c r="H659">
        <v>41.31</v>
      </c>
      <c r="I659" t="s">
        <v>38</v>
      </c>
      <c r="J659">
        <v>50</v>
      </c>
      <c r="K659">
        <v>326</v>
      </c>
      <c r="L659">
        <v>89.36</v>
      </c>
      <c r="M659">
        <v>25.08</v>
      </c>
      <c r="N659">
        <v>6.75</v>
      </c>
      <c r="O659">
        <v>14.8</v>
      </c>
      <c r="P659">
        <v>349.11</v>
      </c>
      <c r="Q659">
        <v>185</v>
      </c>
      <c r="R659">
        <v>2</v>
      </c>
      <c r="S659">
        <v>232</v>
      </c>
    </row>
    <row r="660" spans="1:19" x14ac:dyDescent="0.3">
      <c r="A660">
        <v>659</v>
      </c>
      <c r="B660" t="s">
        <v>431</v>
      </c>
      <c r="C660">
        <v>2021</v>
      </c>
      <c r="D660" t="s">
        <v>161</v>
      </c>
      <c r="E660">
        <v>8</v>
      </c>
      <c r="F660" t="s">
        <v>31</v>
      </c>
      <c r="G660" t="s">
        <v>22</v>
      </c>
      <c r="H660">
        <v>31.08</v>
      </c>
      <c r="I660" t="s">
        <v>47</v>
      </c>
      <c r="J660">
        <v>37</v>
      </c>
      <c r="K660">
        <v>246</v>
      </c>
      <c r="L660">
        <v>85.68</v>
      </c>
      <c r="M660">
        <v>29.57</v>
      </c>
      <c r="N660">
        <v>20.02</v>
      </c>
      <c r="O660">
        <v>9.99</v>
      </c>
      <c r="P660">
        <v>332.21</v>
      </c>
      <c r="Q660">
        <v>395</v>
      </c>
      <c r="R660">
        <v>1</v>
      </c>
      <c r="S660">
        <v>65</v>
      </c>
    </row>
    <row r="661" spans="1:19" x14ac:dyDescent="0.3">
      <c r="A661">
        <v>660</v>
      </c>
      <c r="B661" t="s">
        <v>434</v>
      </c>
      <c r="C661">
        <v>2021</v>
      </c>
      <c r="D661" t="s">
        <v>161</v>
      </c>
      <c r="E661">
        <v>8</v>
      </c>
      <c r="F661" t="s">
        <v>62</v>
      </c>
      <c r="G661" t="s">
        <v>22</v>
      </c>
      <c r="H661">
        <v>27.45</v>
      </c>
      <c r="I661" t="s">
        <v>23</v>
      </c>
      <c r="J661">
        <v>31</v>
      </c>
      <c r="K661">
        <v>430</v>
      </c>
      <c r="L661">
        <v>85.91</v>
      </c>
      <c r="M661">
        <v>6.88</v>
      </c>
      <c r="N661">
        <v>18.440000000000001</v>
      </c>
      <c r="O661">
        <v>7.88</v>
      </c>
      <c r="P661">
        <v>528.58000000000004</v>
      </c>
      <c r="Q661">
        <v>621</v>
      </c>
      <c r="R661">
        <v>3</v>
      </c>
      <c r="S661">
        <v>173</v>
      </c>
    </row>
    <row r="662" spans="1:19" x14ac:dyDescent="0.3">
      <c r="A662">
        <v>661</v>
      </c>
      <c r="B662" t="s">
        <v>434</v>
      </c>
      <c r="C662">
        <v>2021</v>
      </c>
      <c r="D662" t="s">
        <v>161</v>
      </c>
      <c r="E662">
        <v>8</v>
      </c>
      <c r="F662" t="s">
        <v>62</v>
      </c>
      <c r="G662" t="s">
        <v>42</v>
      </c>
      <c r="H662">
        <v>25.6</v>
      </c>
      <c r="I662" t="s">
        <v>32</v>
      </c>
      <c r="J662">
        <v>11</v>
      </c>
      <c r="K662">
        <v>469</v>
      </c>
      <c r="L662">
        <v>83.77</v>
      </c>
      <c r="M662">
        <v>5.44</v>
      </c>
      <c r="N662">
        <v>2.41</v>
      </c>
      <c r="O662">
        <v>13.97</v>
      </c>
      <c r="P662">
        <v>593.79</v>
      </c>
      <c r="Q662">
        <v>981</v>
      </c>
      <c r="R662">
        <v>5</v>
      </c>
      <c r="S662">
        <v>241</v>
      </c>
    </row>
    <row r="663" spans="1:19" x14ac:dyDescent="0.3">
      <c r="A663">
        <v>662</v>
      </c>
      <c r="B663" t="s">
        <v>436</v>
      </c>
      <c r="C663">
        <v>2021</v>
      </c>
      <c r="D663" t="s">
        <v>161</v>
      </c>
      <c r="E663">
        <v>8</v>
      </c>
      <c r="F663" t="s">
        <v>21</v>
      </c>
      <c r="G663" t="s">
        <v>22</v>
      </c>
      <c r="H663">
        <v>53.94</v>
      </c>
      <c r="I663" t="s">
        <v>32</v>
      </c>
      <c r="J663">
        <v>40</v>
      </c>
      <c r="K663">
        <v>124</v>
      </c>
      <c r="L663">
        <v>93.46</v>
      </c>
      <c r="M663">
        <v>16.43</v>
      </c>
      <c r="N663">
        <v>3.36</v>
      </c>
      <c r="O663">
        <v>10.15</v>
      </c>
      <c r="P663">
        <v>126.55</v>
      </c>
      <c r="Q663">
        <v>358</v>
      </c>
      <c r="R663">
        <v>1</v>
      </c>
      <c r="S663">
        <v>121</v>
      </c>
    </row>
    <row r="664" spans="1:19" x14ac:dyDescent="0.3">
      <c r="A664">
        <v>663</v>
      </c>
      <c r="B664" t="s">
        <v>433</v>
      </c>
      <c r="C664">
        <v>2021</v>
      </c>
      <c r="D664" t="s">
        <v>161</v>
      </c>
      <c r="E664">
        <v>8</v>
      </c>
      <c r="F664" t="s">
        <v>62</v>
      </c>
      <c r="G664" t="s">
        <v>40</v>
      </c>
      <c r="H664">
        <v>10.15</v>
      </c>
      <c r="I664" t="s">
        <v>47</v>
      </c>
      <c r="J664">
        <v>44</v>
      </c>
      <c r="K664">
        <v>442</v>
      </c>
      <c r="L664">
        <v>87.07</v>
      </c>
      <c r="M664">
        <v>16.37</v>
      </c>
      <c r="N664">
        <v>12.99</v>
      </c>
      <c r="O664">
        <v>4.9400000000000004</v>
      </c>
      <c r="P664">
        <v>190.2</v>
      </c>
      <c r="Q664">
        <v>254</v>
      </c>
      <c r="R664">
        <v>4</v>
      </c>
      <c r="S664">
        <v>179</v>
      </c>
    </row>
    <row r="665" spans="1:19" x14ac:dyDescent="0.3">
      <c r="A665">
        <v>664</v>
      </c>
      <c r="B665" t="s">
        <v>437</v>
      </c>
      <c r="C665">
        <v>2021</v>
      </c>
      <c r="D665" t="s">
        <v>161</v>
      </c>
      <c r="E665">
        <v>8</v>
      </c>
      <c r="F665" t="s">
        <v>34</v>
      </c>
      <c r="G665" t="s">
        <v>42</v>
      </c>
      <c r="H665">
        <v>28.44</v>
      </c>
      <c r="I665" t="s">
        <v>27</v>
      </c>
      <c r="J665">
        <v>33</v>
      </c>
      <c r="K665">
        <v>491</v>
      </c>
      <c r="L665">
        <v>80.91</v>
      </c>
      <c r="M665">
        <v>34.520000000000003</v>
      </c>
      <c r="N665">
        <v>16.36</v>
      </c>
      <c r="O665">
        <v>13.49</v>
      </c>
      <c r="P665">
        <v>480.45</v>
      </c>
      <c r="Q665">
        <v>1063</v>
      </c>
      <c r="R665">
        <v>5</v>
      </c>
      <c r="S665">
        <v>118</v>
      </c>
    </row>
    <row r="666" spans="1:19" x14ac:dyDescent="0.3">
      <c r="A666">
        <v>665</v>
      </c>
      <c r="B666" t="s">
        <v>438</v>
      </c>
      <c r="C666">
        <v>2021</v>
      </c>
      <c r="D666" t="s">
        <v>161</v>
      </c>
      <c r="E666">
        <v>8</v>
      </c>
      <c r="F666" t="s">
        <v>31</v>
      </c>
      <c r="G666" t="s">
        <v>26</v>
      </c>
      <c r="H666">
        <v>7.55</v>
      </c>
      <c r="I666" t="s">
        <v>23</v>
      </c>
      <c r="J666">
        <v>21</v>
      </c>
      <c r="K666">
        <v>483</v>
      </c>
      <c r="L666">
        <v>84.45</v>
      </c>
      <c r="M666">
        <v>19.8</v>
      </c>
      <c r="N666">
        <v>18.2</v>
      </c>
      <c r="O666">
        <v>9.11</v>
      </c>
      <c r="P666">
        <v>198.45</v>
      </c>
      <c r="Q666">
        <v>465</v>
      </c>
      <c r="R666">
        <v>4</v>
      </c>
      <c r="S666">
        <v>142</v>
      </c>
    </row>
    <row r="667" spans="1:19" x14ac:dyDescent="0.3">
      <c r="A667">
        <v>666</v>
      </c>
      <c r="B667" t="s">
        <v>431</v>
      </c>
      <c r="C667">
        <v>2021</v>
      </c>
      <c r="D667" t="s">
        <v>161</v>
      </c>
      <c r="E667">
        <v>8</v>
      </c>
      <c r="F667" t="s">
        <v>34</v>
      </c>
      <c r="G667" t="s">
        <v>22</v>
      </c>
      <c r="H667">
        <v>33.76</v>
      </c>
      <c r="I667" t="s">
        <v>47</v>
      </c>
      <c r="J667">
        <v>28</v>
      </c>
      <c r="K667">
        <v>459</v>
      </c>
      <c r="L667">
        <v>91.22</v>
      </c>
      <c r="M667">
        <v>8.59</v>
      </c>
      <c r="N667">
        <v>5.52</v>
      </c>
      <c r="O667">
        <v>4.42</v>
      </c>
      <c r="P667">
        <v>366.51</v>
      </c>
      <c r="Q667">
        <v>472</v>
      </c>
      <c r="R667">
        <v>3</v>
      </c>
      <c r="S667">
        <v>97</v>
      </c>
    </row>
    <row r="668" spans="1:19" x14ac:dyDescent="0.3">
      <c r="A668">
        <v>667</v>
      </c>
      <c r="B668" t="s">
        <v>439</v>
      </c>
      <c r="C668">
        <v>2021</v>
      </c>
      <c r="D668" t="s">
        <v>161</v>
      </c>
      <c r="E668">
        <v>8</v>
      </c>
      <c r="F668" t="s">
        <v>21</v>
      </c>
      <c r="G668" t="s">
        <v>40</v>
      </c>
      <c r="H668">
        <v>8.08</v>
      </c>
      <c r="I668" t="s">
        <v>47</v>
      </c>
      <c r="J668">
        <v>11</v>
      </c>
      <c r="K668">
        <v>269</v>
      </c>
      <c r="L668">
        <v>75.63</v>
      </c>
      <c r="M668">
        <v>26.55</v>
      </c>
      <c r="N668">
        <v>19.84</v>
      </c>
      <c r="O668">
        <v>14.32</v>
      </c>
      <c r="P668">
        <v>222.58</v>
      </c>
      <c r="Q668">
        <v>723</v>
      </c>
      <c r="R668">
        <v>4</v>
      </c>
      <c r="S668">
        <v>244</v>
      </c>
    </row>
    <row r="669" spans="1:19" x14ac:dyDescent="0.3">
      <c r="A669">
        <v>668</v>
      </c>
      <c r="B669" t="s">
        <v>437</v>
      </c>
      <c r="C669">
        <v>2021</v>
      </c>
      <c r="D669" t="s">
        <v>161</v>
      </c>
      <c r="E669">
        <v>8</v>
      </c>
      <c r="F669" t="s">
        <v>62</v>
      </c>
      <c r="G669" t="s">
        <v>26</v>
      </c>
      <c r="H669">
        <v>45.85</v>
      </c>
      <c r="I669" t="s">
        <v>23</v>
      </c>
      <c r="J669">
        <v>42</v>
      </c>
      <c r="K669">
        <v>279</v>
      </c>
      <c r="L669">
        <v>90.95</v>
      </c>
      <c r="M669">
        <v>23.6</v>
      </c>
      <c r="N669">
        <v>8.06</v>
      </c>
      <c r="O669">
        <v>15.51</v>
      </c>
      <c r="P669">
        <v>332.95</v>
      </c>
      <c r="Q669">
        <v>278</v>
      </c>
      <c r="R669">
        <v>2</v>
      </c>
      <c r="S669">
        <v>87</v>
      </c>
    </row>
    <row r="670" spans="1:19" x14ac:dyDescent="0.3">
      <c r="A670">
        <v>669</v>
      </c>
      <c r="B670" t="s">
        <v>437</v>
      </c>
      <c r="C670">
        <v>2021</v>
      </c>
      <c r="D670" t="s">
        <v>161</v>
      </c>
      <c r="E670">
        <v>8</v>
      </c>
      <c r="F670" t="s">
        <v>62</v>
      </c>
      <c r="G670" t="s">
        <v>22</v>
      </c>
      <c r="H670">
        <v>21.07</v>
      </c>
      <c r="I670" t="s">
        <v>32</v>
      </c>
      <c r="J670">
        <v>39</v>
      </c>
      <c r="K670">
        <v>486</v>
      </c>
      <c r="L670">
        <v>84.92</v>
      </c>
      <c r="M670">
        <v>20.190000000000001</v>
      </c>
      <c r="N670">
        <v>13.74</v>
      </c>
      <c r="O670">
        <v>8.06</v>
      </c>
      <c r="P670">
        <v>140.4</v>
      </c>
      <c r="Q670">
        <v>156</v>
      </c>
      <c r="R670">
        <v>4</v>
      </c>
      <c r="S670">
        <v>147</v>
      </c>
    </row>
    <row r="671" spans="1:19" x14ac:dyDescent="0.3">
      <c r="A671">
        <v>670</v>
      </c>
      <c r="B671" t="s">
        <v>434</v>
      </c>
      <c r="C671">
        <v>2021</v>
      </c>
      <c r="D671" t="s">
        <v>161</v>
      </c>
      <c r="E671">
        <v>8</v>
      </c>
      <c r="F671" t="s">
        <v>37</v>
      </c>
      <c r="G671" t="s">
        <v>35</v>
      </c>
      <c r="H671">
        <v>31.72</v>
      </c>
      <c r="I671" t="s">
        <v>38</v>
      </c>
      <c r="J671">
        <v>6</v>
      </c>
      <c r="K671">
        <v>200</v>
      </c>
      <c r="L671">
        <v>75.150000000000006</v>
      </c>
      <c r="M671">
        <v>9.1999999999999993</v>
      </c>
      <c r="N671">
        <v>11.16</v>
      </c>
      <c r="O671">
        <v>10.64</v>
      </c>
      <c r="P671">
        <v>460.39</v>
      </c>
      <c r="Q671">
        <v>822</v>
      </c>
      <c r="R671">
        <v>1</v>
      </c>
      <c r="S671">
        <v>126</v>
      </c>
    </row>
    <row r="672" spans="1:19" x14ac:dyDescent="0.3">
      <c r="A672">
        <v>671</v>
      </c>
      <c r="B672" t="s">
        <v>430</v>
      </c>
      <c r="C672">
        <v>2021</v>
      </c>
      <c r="D672" t="s">
        <v>161</v>
      </c>
      <c r="E672">
        <v>8</v>
      </c>
      <c r="F672" t="s">
        <v>53</v>
      </c>
      <c r="G672" t="s">
        <v>22</v>
      </c>
      <c r="H672">
        <v>15.58</v>
      </c>
      <c r="I672" t="s">
        <v>23</v>
      </c>
      <c r="J672">
        <v>8</v>
      </c>
      <c r="K672">
        <v>369</v>
      </c>
      <c r="L672">
        <v>92.02</v>
      </c>
      <c r="M672">
        <v>11.05</v>
      </c>
      <c r="N672">
        <v>4.72</v>
      </c>
      <c r="O672">
        <v>4.01</v>
      </c>
      <c r="P672">
        <v>319.37</v>
      </c>
      <c r="Q672">
        <v>393</v>
      </c>
      <c r="R672">
        <v>1</v>
      </c>
      <c r="S672">
        <v>183</v>
      </c>
    </row>
    <row r="673" spans="1:19" x14ac:dyDescent="0.3">
      <c r="A673">
        <v>672</v>
      </c>
      <c r="B673" t="s">
        <v>440</v>
      </c>
      <c r="C673">
        <v>2021</v>
      </c>
      <c r="D673" t="s">
        <v>161</v>
      </c>
      <c r="E673">
        <v>8</v>
      </c>
      <c r="F673" t="s">
        <v>62</v>
      </c>
      <c r="G673" t="s">
        <v>26</v>
      </c>
      <c r="H673">
        <v>42.59</v>
      </c>
      <c r="I673" t="s">
        <v>47</v>
      </c>
      <c r="J673">
        <v>2</v>
      </c>
      <c r="K673">
        <v>592</v>
      </c>
      <c r="L673">
        <v>88.33</v>
      </c>
      <c r="M673">
        <v>22.16</v>
      </c>
      <c r="N673">
        <v>3.06</v>
      </c>
      <c r="O673">
        <v>1.95</v>
      </c>
      <c r="P673">
        <v>365.44</v>
      </c>
      <c r="Q673">
        <v>1035</v>
      </c>
      <c r="R673">
        <v>5</v>
      </c>
      <c r="S673">
        <v>195</v>
      </c>
    </row>
    <row r="674" spans="1:19" x14ac:dyDescent="0.3">
      <c r="A674">
        <v>673</v>
      </c>
      <c r="B674" t="s">
        <v>433</v>
      </c>
      <c r="C674">
        <v>2021</v>
      </c>
      <c r="D674" t="s">
        <v>161</v>
      </c>
      <c r="E674">
        <v>8</v>
      </c>
      <c r="F674" t="s">
        <v>53</v>
      </c>
      <c r="G674" t="s">
        <v>22</v>
      </c>
      <c r="H674">
        <v>13.44</v>
      </c>
      <c r="I674" t="s">
        <v>27</v>
      </c>
      <c r="J674">
        <v>2</v>
      </c>
      <c r="K674">
        <v>421</v>
      </c>
      <c r="L674">
        <v>93.29</v>
      </c>
      <c r="M674">
        <v>31.46</v>
      </c>
      <c r="N674">
        <v>9.9499999999999993</v>
      </c>
      <c r="O674">
        <v>10.81</v>
      </c>
      <c r="P674">
        <v>264.47000000000003</v>
      </c>
      <c r="Q674">
        <v>130</v>
      </c>
      <c r="R674">
        <v>1</v>
      </c>
      <c r="S674">
        <v>191</v>
      </c>
    </row>
    <row r="675" spans="1:19" x14ac:dyDescent="0.3">
      <c r="A675">
        <v>674</v>
      </c>
      <c r="B675" t="s">
        <v>436</v>
      </c>
      <c r="C675">
        <v>2021</v>
      </c>
      <c r="D675" t="s">
        <v>161</v>
      </c>
      <c r="E675">
        <v>8</v>
      </c>
      <c r="F675" t="s">
        <v>31</v>
      </c>
      <c r="G675" t="s">
        <v>42</v>
      </c>
      <c r="H675">
        <v>20.89</v>
      </c>
      <c r="I675" t="s">
        <v>23</v>
      </c>
      <c r="J675">
        <v>27</v>
      </c>
      <c r="K675">
        <v>545</v>
      </c>
      <c r="L675">
        <v>81.66</v>
      </c>
      <c r="M675">
        <v>29.21</v>
      </c>
      <c r="N675">
        <v>3.22</v>
      </c>
      <c r="O675">
        <v>1.02</v>
      </c>
      <c r="P675">
        <v>481.77</v>
      </c>
      <c r="Q675">
        <v>389</v>
      </c>
      <c r="R675">
        <v>1</v>
      </c>
      <c r="S675">
        <v>108</v>
      </c>
    </row>
    <row r="676" spans="1:19" x14ac:dyDescent="0.3">
      <c r="A676">
        <v>675</v>
      </c>
      <c r="B676" t="s">
        <v>441</v>
      </c>
      <c r="C676">
        <v>2021</v>
      </c>
      <c r="D676" t="s">
        <v>161</v>
      </c>
      <c r="E676">
        <v>8</v>
      </c>
      <c r="F676" t="s">
        <v>53</v>
      </c>
      <c r="G676" t="s">
        <v>22</v>
      </c>
      <c r="H676">
        <v>44.78</v>
      </c>
      <c r="I676" t="s">
        <v>38</v>
      </c>
      <c r="J676">
        <v>11</v>
      </c>
      <c r="K676">
        <v>516</v>
      </c>
      <c r="L676">
        <v>80.87</v>
      </c>
      <c r="M676">
        <v>11.38</v>
      </c>
      <c r="N676">
        <v>19.79</v>
      </c>
      <c r="O676">
        <v>1.66</v>
      </c>
      <c r="P676">
        <v>332.03</v>
      </c>
      <c r="Q676">
        <v>659</v>
      </c>
      <c r="R676">
        <v>2</v>
      </c>
      <c r="S676">
        <v>169</v>
      </c>
    </row>
    <row r="677" spans="1:19" x14ac:dyDescent="0.3">
      <c r="A677">
        <v>676</v>
      </c>
      <c r="B677" t="s">
        <v>442</v>
      </c>
      <c r="C677">
        <v>2021</v>
      </c>
      <c r="D677" t="s">
        <v>161</v>
      </c>
      <c r="E677">
        <v>8</v>
      </c>
      <c r="F677" t="s">
        <v>34</v>
      </c>
      <c r="G677" t="s">
        <v>22</v>
      </c>
      <c r="H677">
        <v>14.87</v>
      </c>
      <c r="I677" t="s">
        <v>38</v>
      </c>
      <c r="J677">
        <v>15</v>
      </c>
      <c r="K677">
        <v>102</v>
      </c>
      <c r="L677">
        <v>85.3</v>
      </c>
      <c r="M677">
        <v>17.989999999999998</v>
      </c>
      <c r="N677">
        <v>9.98</v>
      </c>
      <c r="O677">
        <v>12.16</v>
      </c>
      <c r="P677">
        <v>373.61</v>
      </c>
      <c r="Q677">
        <v>334</v>
      </c>
      <c r="R677">
        <v>3</v>
      </c>
      <c r="S677">
        <v>247</v>
      </c>
    </row>
    <row r="678" spans="1:19" x14ac:dyDescent="0.3">
      <c r="A678">
        <v>677</v>
      </c>
      <c r="B678" t="s">
        <v>443</v>
      </c>
      <c r="C678">
        <v>2021</v>
      </c>
      <c r="D678" t="s">
        <v>161</v>
      </c>
      <c r="E678">
        <v>8</v>
      </c>
      <c r="F678" t="s">
        <v>29</v>
      </c>
      <c r="G678" t="s">
        <v>42</v>
      </c>
      <c r="H678">
        <v>35.39</v>
      </c>
      <c r="I678" t="s">
        <v>32</v>
      </c>
      <c r="J678">
        <v>49</v>
      </c>
      <c r="K678">
        <v>453</v>
      </c>
      <c r="L678">
        <v>75.81</v>
      </c>
      <c r="M678">
        <v>6.79</v>
      </c>
      <c r="N678">
        <v>4.5599999999999996</v>
      </c>
      <c r="O678">
        <v>10.87</v>
      </c>
      <c r="P678">
        <v>308.22000000000003</v>
      </c>
      <c r="Q678">
        <v>292</v>
      </c>
      <c r="R678">
        <v>3</v>
      </c>
      <c r="S678">
        <v>50</v>
      </c>
    </row>
    <row r="679" spans="1:19" x14ac:dyDescent="0.3">
      <c r="A679">
        <v>678</v>
      </c>
      <c r="B679" t="s">
        <v>441</v>
      </c>
      <c r="C679">
        <v>2021</v>
      </c>
      <c r="D679" t="s">
        <v>161</v>
      </c>
      <c r="E679">
        <v>8</v>
      </c>
      <c r="F679" t="s">
        <v>53</v>
      </c>
      <c r="G679" t="s">
        <v>42</v>
      </c>
      <c r="H679">
        <v>38.520000000000003</v>
      </c>
      <c r="I679" t="s">
        <v>27</v>
      </c>
      <c r="J679">
        <v>19</v>
      </c>
      <c r="K679">
        <v>422</v>
      </c>
      <c r="L679">
        <v>89.92</v>
      </c>
      <c r="M679">
        <v>6.07</v>
      </c>
      <c r="N679">
        <v>12.32</v>
      </c>
      <c r="O679">
        <v>6.91</v>
      </c>
      <c r="P679">
        <v>401.53</v>
      </c>
      <c r="Q679">
        <v>154</v>
      </c>
      <c r="R679">
        <v>1</v>
      </c>
      <c r="S679">
        <v>112</v>
      </c>
    </row>
    <row r="680" spans="1:19" x14ac:dyDescent="0.3">
      <c r="A680">
        <v>679</v>
      </c>
      <c r="B680" t="s">
        <v>444</v>
      </c>
      <c r="C680">
        <v>2021</v>
      </c>
      <c r="D680" t="s">
        <v>161</v>
      </c>
      <c r="E680">
        <v>8</v>
      </c>
      <c r="F680" t="s">
        <v>34</v>
      </c>
      <c r="G680" t="s">
        <v>26</v>
      </c>
      <c r="H680">
        <v>42.92</v>
      </c>
      <c r="I680" t="s">
        <v>32</v>
      </c>
      <c r="J680">
        <v>6</v>
      </c>
      <c r="K680">
        <v>442</v>
      </c>
      <c r="L680">
        <v>88.5</v>
      </c>
      <c r="M680">
        <v>16.89</v>
      </c>
      <c r="N680">
        <v>10.83</v>
      </c>
      <c r="O680">
        <v>4.09</v>
      </c>
      <c r="P680">
        <v>440.19</v>
      </c>
      <c r="Q680">
        <v>695</v>
      </c>
      <c r="R680">
        <v>1</v>
      </c>
      <c r="S680">
        <v>240</v>
      </c>
    </row>
    <row r="681" spans="1:19" x14ac:dyDescent="0.3">
      <c r="A681">
        <v>680</v>
      </c>
      <c r="B681" t="s">
        <v>434</v>
      </c>
      <c r="C681">
        <v>2021</v>
      </c>
      <c r="D681" t="s">
        <v>161</v>
      </c>
      <c r="E681">
        <v>8</v>
      </c>
      <c r="F681" t="s">
        <v>62</v>
      </c>
      <c r="G681" t="s">
        <v>26</v>
      </c>
      <c r="H681">
        <v>22.17</v>
      </c>
      <c r="I681" t="s">
        <v>32</v>
      </c>
      <c r="J681">
        <v>6</v>
      </c>
      <c r="K681">
        <v>319</v>
      </c>
      <c r="L681">
        <v>81.760000000000005</v>
      </c>
      <c r="M681">
        <v>21.09</v>
      </c>
      <c r="N681">
        <v>3.1</v>
      </c>
      <c r="O681">
        <v>3.45</v>
      </c>
      <c r="P681">
        <v>425.32</v>
      </c>
      <c r="Q681">
        <v>495</v>
      </c>
      <c r="R681">
        <v>2</v>
      </c>
      <c r="S681">
        <v>138</v>
      </c>
    </row>
    <row r="682" spans="1:19" x14ac:dyDescent="0.3">
      <c r="A682">
        <v>681</v>
      </c>
      <c r="B682" t="s">
        <v>445</v>
      </c>
      <c r="C682">
        <v>2021</v>
      </c>
      <c r="D682" t="s">
        <v>161</v>
      </c>
      <c r="E682">
        <v>9</v>
      </c>
      <c r="F682" t="s">
        <v>34</v>
      </c>
      <c r="G682" t="s">
        <v>26</v>
      </c>
      <c r="H682">
        <v>46.16</v>
      </c>
      <c r="I682" t="s">
        <v>23</v>
      </c>
      <c r="J682">
        <v>13</v>
      </c>
      <c r="K682">
        <v>547</v>
      </c>
      <c r="L682">
        <v>85.9</v>
      </c>
      <c r="M682">
        <v>28.81</v>
      </c>
      <c r="N682">
        <v>12.01</v>
      </c>
      <c r="O682">
        <v>1.06</v>
      </c>
      <c r="P682">
        <v>206.83</v>
      </c>
      <c r="Q682">
        <v>359</v>
      </c>
      <c r="R682">
        <v>1</v>
      </c>
      <c r="S682">
        <v>238</v>
      </c>
    </row>
    <row r="683" spans="1:19" x14ac:dyDescent="0.3">
      <c r="A683">
        <v>682</v>
      </c>
      <c r="B683" t="s">
        <v>446</v>
      </c>
      <c r="C683">
        <v>2021</v>
      </c>
      <c r="D683" t="s">
        <v>161</v>
      </c>
      <c r="E683">
        <v>9</v>
      </c>
      <c r="F683" t="s">
        <v>34</v>
      </c>
      <c r="G683" t="s">
        <v>26</v>
      </c>
      <c r="H683">
        <v>13.31</v>
      </c>
      <c r="I683" t="s">
        <v>38</v>
      </c>
      <c r="J683">
        <v>4</v>
      </c>
      <c r="K683">
        <v>355</v>
      </c>
      <c r="L683">
        <v>76.349999999999994</v>
      </c>
      <c r="M683">
        <v>9.27</v>
      </c>
      <c r="N683">
        <v>4.95</v>
      </c>
      <c r="O683">
        <v>3.27</v>
      </c>
      <c r="P683">
        <v>249.04</v>
      </c>
      <c r="Q683">
        <v>996</v>
      </c>
      <c r="R683">
        <v>2</v>
      </c>
      <c r="S683">
        <v>63</v>
      </c>
    </row>
    <row r="684" spans="1:19" x14ac:dyDescent="0.3">
      <c r="A684">
        <v>683</v>
      </c>
      <c r="B684" t="s">
        <v>447</v>
      </c>
      <c r="C684">
        <v>2021</v>
      </c>
      <c r="D684" t="s">
        <v>161</v>
      </c>
      <c r="E684">
        <v>9</v>
      </c>
      <c r="F684" t="s">
        <v>31</v>
      </c>
      <c r="G684" t="s">
        <v>40</v>
      </c>
      <c r="H684">
        <v>9.83</v>
      </c>
      <c r="I684" t="s">
        <v>47</v>
      </c>
      <c r="J684">
        <v>43</v>
      </c>
      <c r="K684">
        <v>556</v>
      </c>
      <c r="L684">
        <v>77.17</v>
      </c>
      <c r="M684">
        <v>33.01</v>
      </c>
      <c r="N684">
        <v>19.260000000000002</v>
      </c>
      <c r="O684">
        <v>5.43</v>
      </c>
      <c r="P684">
        <v>160.65</v>
      </c>
      <c r="Q684">
        <v>286</v>
      </c>
      <c r="R684">
        <v>2</v>
      </c>
      <c r="S684">
        <v>172</v>
      </c>
    </row>
    <row r="685" spans="1:19" x14ac:dyDescent="0.3">
      <c r="A685">
        <v>684</v>
      </c>
      <c r="B685" t="s">
        <v>448</v>
      </c>
      <c r="C685">
        <v>2021</v>
      </c>
      <c r="D685" t="s">
        <v>161</v>
      </c>
      <c r="E685">
        <v>9</v>
      </c>
      <c r="F685" t="s">
        <v>34</v>
      </c>
      <c r="G685" t="s">
        <v>40</v>
      </c>
      <c r="H685">
        <v>34.770000000000003</v>
      </c>
      <c r="I685" t="s">
        <v>27</v>
      </c>
      <c r="J685">
        <v>27</v>
      </c>
      <c r="K685">
        <v>126</v>
      </c>
      <c r="L685">
        <v>79.72</v>
      </c>
      <c r="M685">
        <v>28.46</v>
      </c>
      <c r="N685">
        <v>9.01</v>
      </c>
      <c r="O685">
        <v>1.71</v>
      </c>
      <c r="P685">
        <v>526.74</v>
      </c>
      <c r="Q685">
        <v>844</v>
      </c>
      <c r="R685">
        <v>4</v>
      </c>
      <c r="S685">
        <v>102</v>
      </c>
    </row>
    <row r="686" spans="1:19" x14ac:dyDescent="0.3">
      <c r="A686">
        <v>685</v>
      </c>
      <c r="B686" t="s">
        <v>449</v>
      </c>
      <c r="C686">
        <v>2021</v>
      </c>
      <c r="D686" t="s">
        <v>161</v>
      </c>
      <c r="E686">
        <v>9</v>
      </c>
      <c r="F686" t="s">
        <v>53</v>
      </c>
      <c r="G686" t="s">
        <v>26</v>
      </c>
      <c r="H686">
        <v>33.090000000000003</v>
      </c>
      <c r="I686" t="s">
        <v>23</v>
      </c>
      <c r="J686">
        <v>6</v>
      </c>
      <c r="K686">
        <v>174</v>
      </c>
      <c r="L686">
        <v>91.94</v>
      </c>
      <c r="M686">
        <v>17.25</v>
      </c>
      <c r="N686">
        <v>8.7899999999999991</v>
      </c>
      <c r="O686">
        <v>11.39</v>
      </c>
      <c r="P686">
        <v>369.72</v>
      </c>
      <c r="Q686">
        <v>490</v>
      </c>
      <c r="R686">
        <v>5</v>
      </c>
      <c r="S686">
        <v>52</v>
      </c>
    </row>
    <row r="687" spans="1:19" x14ac:dyDescent="0.3">
      <c r="A687">
        <v>686</v>
      </c>
      <c r="B687" t="s">
        <v>450</v>
      </c>
      <c r="C687">
        <v>2021</v>
      </c>
      <c r="D687" t="s">
        <v>161</v>
      </c>
      <c r="E687">
        <v>9</v>
      </c>
      <c r="F687" t="s">
        <v>21</v>
      </c>
      <c r="G687" t="s">
        <v>22</v>
      </c>
      <c r="H687">
        <v>23.56</v>
      </c>
      <c r="I687" t="s">
        <v>27</v>
      </c>
      <c r="J687">
        <v>17</v>
      </c>
      <c r="K687">
        <v>195</v>
      </c>
      <c r="L687">
        <v>78.33</v>
      </c>
      <c r="M687">
        <v>13.56</v>
      </c>
      <c r="N687">
        <v>6.76</v>
      </c>
      <c r="O687">
        <v>1.28</v>
      </c>
      <c r="P687">
        <v>446.55</v>
      </c>
      <c r="Q687">
        <v>960</v>
      </c>
      <c r="R687">
        <v>1</v>
      </c>
      <c r="S687">
        <v>155</v>
      </c>
    </row>
    <row r="688" spans="1:19" x14ac:dyDescent="0.3">
      <c r="A688">
        <v>687</v>
      </c>
      <c r="B688" t="s">
        <v>451</v>
      </c>
      <c r="C688">
        <v>2021</v>
      </c>
      <c r="D688" t="s">
        <v>161</v>
      </c>
      <c r="E688">
        <v>9</v>
      </c>
      <c r="F688" t="s">
        <v>31</v>
      </c>
      <c r="G688" t="s">
        <v>26</v>
      </c>
      <c r="H688">
        <v>36.700000000000003</v>
      </c>
      <c r="I688" t="s">
        <v>32</v>
      </c>
      <c r="J688">
        <v>29</v>
      </c>
      <c r="K688">
        <v>375</v>
      </c>
      <c r="L688">
        <v>77.08</v>
      </c>
      <c r="M688">
        <v>22.75</v>
      </c>
      <c r="N688">
        <v>17.27</v>
      </c>
      <c r="O688">
        <v>4.93</v>
      </c>
      <c r="P688">
        <v>250.55</v>
      </c>
      <c r="Q688">
        <v>123</v>
      </c>
      <c r="R688">
        <v>5</v>
      </c>
      <c r="S688">
        <v>67</v>
      </c>
    </row>
    <row r="689" spans="1:19" x14ac:dyDescent="0.3">
      <c r="A689">
        <v>688</v>
      </c>
      <c r="B689" t="s">
        <v>452</v>
      </c>
      <c r="C689">
        <v>2021</v>
      </c>
      <c r="D689" t="s">
        <v>161</v>
      </c>
      <c r="E689">
        <v>9</v>
      </c>
      <c r="F689" t="s">
        <v>34</v>
      </c>
      <c r="G689" t="s">
        <v>42</v>
      </c>
      <c r="H689">
        <v>37.29</v>
      </c>
      <c r="I689" t="s">
        <v>32</v>
      </c>
      <c r="J689">
        <v>44</v>
      </c>
      <c r="K689">
        <v>292</v>
      </c>
      <c r="L689">
        <v>79.11</v>
      </c>
      <c r="M689">
        <v>31.09</v>
      </c>
      <c r="N689">
        <v>7.67</v>
      </c>
      <c r="O689">
        <v>7.11</v>
      </c>
      <c r="P689">
        <v>565.37</v>
      </c>
      <c r="Q689">
        <v>692</v>
      </c>
      <c r="R689">
        <v>2</v>
      </c>
      <c r="S689">
        <v>165</v>
      </c>
    </row>
    <row r="690" spans="1:19" x14ac:dyDescent="0.3">
      <c r="A690">
        <v>689</v>
      </c>
      <c r="B690" t="s">
        <v>453</v>
      </c>
      <c r="C690">
        <v>2021</v>
      </c>
      <c r="D690" t="s">
        <v>161</v>
      </c>
      <c r="E690">
        <v>9</v>
      </c>
      <c r="F690" t="s">
        <v>21</v>
      </c>
      <c r="G690" t="s">
        <v>40</v>
      </c>
      <c r="H690">
        <v>15.32</v>
      </c>
      <c r="I690" t="s">
        <v>38</v>
      </c>
      <c r="J690">
        <v>15</v>
      </c>
      <c r="K690">
        <v>375</v>
      </c>
      <c r="L690">
        <v>79.89</v>
      </c>
      <c r="M690">
        <v>31.42</v>
      </c>
      <c r="N690">
        <v>11.94</v>
      </c>
      <c r="O690">
        <v>8.0500000000000007</v>
      </c>
      <c r="P690">
        <v>213.19</v>
      </c>
      <c r="Q690">
        <v>934</v>
      </c>
      <c r="R690">
        <v>5</v>
      </c>
      <c r="S690">
        <v>246</v>
      </c>
    </row>
    <row r="691" spans="1:19" x14ac:dyDescent="0.3">
      <c r="A691">
        <v>690</v>
      </c>
      <c r="B691" t="s">
        <v>454</v>
      </c>
      <c r="C691">
        <v>2021</v>
      </c>
      <c r="D691" t="s">
        <v>161</v>
      </c>
      <c r="E691">
        <v>9</v>
      </c>
      <c r="F691" t="s">
        <v>21</v>
      </c>
      <c r="G691" t="s">
        <v>26</v>
      </c>
      <c r="H691">
        <v>26.67</v>
      </c>
      <c r="I691" t="s">
        <v>38</v>
      </c>
      <c r="J691">
        <v>17</v>
      </c>
      <c r="K691">
        <v>188</v>
      </c>
      <c r="L691">
        <v>80.69</v>
      </c>
      <c r="M691">
        <v>17.84</v>
      </c>
      <c r="N691">
        <v>18.54</v>
      </c>
      <c r="O691">
        <v>10.06</v>
      </c>
      <c r="P691">
        <v>509.31</v>
      </c>
      <c r="Q691">
        <v>190</v>
      </c>
      <c r="R691">
        <v>2</v>
      </c>
      <c r="S691">
        <v>186</v>
      </c>
    </row>
    <row r="692" spans="1:19" x14ac:dyDescent="0.3">
      <c r="A692">
        <v>691</v>
      </c>
      <c r="B692" t="s">
        <v>455</v>
      </c>
      <c r="C692">
        <v>2021</v>
      </c>
      <c r="D692" t="s">
        <v>161</v>
      </c>
      <c r="E692">
        <v>9</v>
      </c>
      <c r="F692" t="s">
        <v>37</v>
      </c>
      <c r="G692" t="s">
        <v>42</v>
      </c>
      <c r="H692">
        <v>38.78</v>
      </c>
      <c r="I692" t="s">
        <v>38</v>
      </c>
      <c r="J692">
        <v>33</v>
      </c>
      <c r="K692">
        <v>386</v>
      </c>
      <c r="L692">
        <v>89.94</v>
      </c>
      <c r="M692">
        <v>31.55</v>
      </c>
      <c r="N692">
        <v>6.2</v>
      </c>
      <c r="O692">
        <v>15.4</v>
      </c>
      <c r="P692">
        <v>493.72</v>
      </c>
      <c r="Q692">
        <v>1059</v>
      </c>
      <c r="R692">
        <v>2</v>
      </c>
      <c r="S692">
        <v>59</v>
      </c>
    </row>
    <row r="693" spans="1:19" x14ac:dyDescent="0.3">
      <c r="A693">
        <v>692</v>
      </c>
      <c r="B693" t="s">
        <v>452</v>
      </c>
      <c r="C693">
        <v>2021</v>
      </c>
      <c r="D693" t="s">
        <v>161</v>
      </c>
      <c r="E693">
        <v>9</v>
      </c>
      <c r="F693" t="s">
        <v>62</v>
      </c>
      <c r="G693" t="s">
        <v>22</v>
      </c>
      <c r="H693">
        <v>20.25</v>
      </c>
      <c r="I693" t="s">
        <v>23</v>
      </c>
      <c r="J693">
        <v>19</v>
      </c>
      <c r="K693">
        <v>369</v>
      </c>
      <c r="L693">
        <v>85.81</v>
      </c>
      <c r="M693">
        <v>32.770000000000003</v>
      </c>
      <c r="N693">
        <v>8.74</v>
      </c>
      <c r="O693">
        <v>11.71</v>
      </c>
      <c r="P693">
        <v>214.3</v>
      </c>
      <c r="Q693">
        <v>657</v>
      </c>
      <c r="R693">
        <v>1</v>
      </c>
      <c r="S693">
        <v>116</v>
      </c>
    </row>
    <row r="694" spans="1:19" x14ac:dyDescent="0.3">
      <c r="A694">
        <v>693</v>
      </c>
      <c r="B694" t="s">
        <v>456</v>
      </c>
      <c r="C694">
        <v>2021</v>
      </c>
      <c r="D694" t="s">
        <v>161</v>
      </c>
      <c r="E694">
        <v>9</v>
      </c>
      <c r="F694" t="s">
        <v>53</v>
      </c>
      <c r="G694" t="s">
        <v>22</v>
      </c>
      <c r="H694">
        <v>44.23</v>
      </c>
      <c r="I694" t="s">
        <v>32</v>
      </c>
      <c r="J694">
        <v>15</v>
      </c>
      <c r="K694">
        <v>323</v>
      </c>
      <c r="L694">
        <v>91.48</v>
      </c>
      <c r="M694">
        <v>30.79</v>
      </c>
      <c r="N694">
        <v>11.66</v>
      </c>
      <c r="O694">
        <v>13.87</v>
      </c>
      <c r="P694">
        <v>113.97</v>
      </c>
      <c r="Q694">
        <v>109</v>
      </c>
      <c r="R694">
        <v>2</v>
      </c>
      <c r="S694">
        <v>105</v>
      </c>
    </row>
    <row r="695" spans="1:19" x14ac:dyDescent="0.3">
      <c r="A695">
        <v>694</v>
      </c>
      <c r="B695" t="s">
        <v>457</v>
      </c>
      <c r="C695">
        <v>2021</v>
      </c>
      <c r="D695" t="s">
        <v>161</v>
      </c>
      <c r="E695">
        <v>9</v>
      </c>
      <c r="F695" t="s">
        <v>21</v>
      </c>
      <c r="G695" t="s">
        <v>26</v>
      </c>
      <c r="H695">
        <v>17.88</v>
      </c>
      <c r="I695" t="s">
        <v>32</v>
      </c>
      <c r="J695">
        <v>45</v>
      </c>
      <c r="K695">
        <v>551</v>
      </c>
      <c r="L695">
        <v>82.07</v>
      </c>
      <c r="M695">
        <v>26.73</v>
      </c>
      <c r="N695">
        <v>18.02</v>
      </c>
      <c r="O695">
        <v>5.32</v>
      </c>
      <c r="P695">
        <v>268.43</v>
      </c>
      <c r="Q695">
        <v>145</v>
      </c>
      <c r="R695">
        <v>2</v>
      </c>
      <c r="S695">
        <v>238</v>
      </c>
    </row>
    <row r="696" spans="1:19" x14ac:dyDescent="0.3">
      <c r="A696">
        <v>695</v>
      </c>
      <c r="B696" t="s">
        <v>458</v>
      </c>
      <c r="C696">
        <v>2021</v>
      </c>
      <c r="D696" t="s">
        <v>161</v>
      </c>
      <c r="E696">
        <v>9</v>
      </c>
      <c r="F696" t="s">
        <v>25</v>
      </c>
      <c r="G696" t="s">
        <v>42</v>
      </c>
      <c r="H696">
        <v>46.56</v>
      </c>
      <c r="I696" t="s">
        <v>47</v>
      </c>
      <c r="J696">
        <v>8</v>
      </c>
      <c r="K696">
        <v>455</v>
      </c>
      <c r="L696">
        <v>82.11</v>
      </c>
      <c r="M696">
        <v>14.67</v>
      </c>
      <c r="N696">
        <v>3.84</v>
      </c>
      <c r="O696">
        <v>15.92</v>
      </c>
      <c r="P696">
        <v>277.68</v>
      </c>
      <c r="Q696">
        <v>610</v>
      </c>
      <c r="R696">
        <v>2</v>
      </c>
      <c r="S696">
        <v>196</v>
      </c>
    </row>
    <row r="697" spans="1:19" x14ac:dyDescent="0.3">
      <c r="A697">
        <v>696</v>
      </c>
      <c r="B697" t="s">
        <v>452</v>
      </c>
      <c r="C697">
        <v>2021</v>
      </c>
      <c r="D697" t="s">
        <v>161</v>
      </c>
      <c r="E697">
        <v>9</v>
      </c>
      <c r="F697" t="s">
        <v>34</v>
      </c>
      <c r="G697" t="s">
        <v>42</v>
      </c>
      <c r="H697">
        <v>27.77</v>
      </c>
      <c r="I697" t="s">
        <v>27</v>
      </c>
      <c r="J697">
        <v>44</v>
      </c>
      <c r="K697">
        <v>101</v>
      </c>
      <c r="L697">
        <v>93.47</v>
      </c>
      <c r="M697">
        <v>26.84</v>
      </c>
      <c r="N697">
        <v>21.92</v>
      </c>
      <c r="O697">
        <v>12.39</v>
      </c>
      <c r="P697">
        <v>313.32</v>
      </c>
      <c r="Q697">
        <v>992</v>
      </c>
      <c r="R697">
        <v>1</v>
      </c>
      <c r="S697">
        <v>55</v>
      </c>
    </row>
    <row r="698" spans="1:19" x14ac:dyDescent="0.3">
      <c r="A698">
        <v>697</v>
      </c>
      <c r="B698" t="s">
        <v>459</v>
      </c>
      <c r="C698">
        <v>2021</v>
      </c>
      <c r="D698" t="s">
        <v>161</v>
      </c>
      <c r="E698">
        <v>9</v>
      </c>
      <c r="F698" t="s">
        <v>29</v>
      </c>
      <c r="G698" t="s">
        <v>40</v>
      </c>
      <c r="H698">
        <v>41.72</v>
      </c>
      <c r="I698" t="s">
        <v>27</v>
      </c>
      <c r="J698">
        <v>38</v>
      </c>
      <c r="K698">
        <v>278</v>
      </c>
      <c r="L698">
        <v>77.37</v>
      </c>
      <c r="M698">
        <v>5.19</v>
      </c>
      <c r="N698">
        <v>16.57</v>
      </c>
      <c r="O698">
        <v>6.81</v>
      </c>
      <c r="P698">
        <v>185.64</v>
      </c>
      <c r="Q698">
        <v>949</v>
      </c>
      <c r="R698">
        <v>2</v>
      </c>
      <c r="S698">
        <v>193</v>
      </c>
    </row>
    <row r="699" spans="1:19" x14ac:dyDescent="0.3">
      <c r="A699">
        <v>698</v>
      </c>
      <c r="B699" t="s">
        <v>448</v>
      </c>
      <c r="C699">
        <v>2021</v>
      </c>
      <c r="D699" t="s">
        <v>161</v>
      </c>
      <c r="E699">
        <v>9</v>
      </c>
      <c r="F699" t="s">
        <v>25</v>
      </c>
      <c r="G699" t="s">
        <v>35</v>
      </c>
      <c r="H699">
        <v>8.6199999999999992</v>
      </c>
      <c r="I699" t="s">
        <v>32</v>
      </c>
      <c r="J699">
        <v>36</v>
      </c>
      <c r="K699">
        <v>364</v>
      </c>
      <c r="L699">
        <v>82.31</v>
      </c>
      <c r="M699">
        <v>10.59</v>
      </c>
      <c r="N699">
        <v>11.26</v>
      </c>
      <c r="O699">
        <v>3.02</v>
      </c>
      <c r="P699">
        <v>430.45</v>
      </c>
      <c r="Q699">
        <v>778</v>
      </c>
      <c r="R699">
        <v>1</v>
      </c>
      <c r="S699">
        <v>170</v>
      </c>
    </row>
    <row r="700" spans="1:19" x14ac:dyDescent="0.3">
      <c r="A700">
        <v>699</v>
      </c>
      <c r="B700" t="s">
        <v>449</v>
      </c>
      <c r="C700">
        <v>2021</v>
      </c>
      <c r="D700" t="s">
        <v>161</v>
      </c>
      <c r="E700">
        <v>9</v>
      </c>
      <c r="F700" t="s">
        <v>29</v>
      </c>
      <c r="G700" t="s">
        <v>42</v>
      </c>
      <c r="H700">
        <v>48.44</v>
      </c>
      <c r="I700" t="s">
        <v>23</v>
      </c>
      <c r="J700">
        <v>6</v>
      </c>
      <c r="K700">
        <v>538</v>
      </c>
      <c r="L700">
        <v>88.66</v>
      </c>
      <c r="M700">
        <v>22.53</v>
      </c>
      <c r="N700">
        <v>11.26</v>
      </c>
      <c r="O700">
        <v>5.73</v>
      </c>
      <c r="P700">
        <v>533.87</v>
      </c>
      <c r="Q700">
        <v>269</v>
      </c>
      <c r="R700">
        <v>1</v>
      </c>
      <c r="S700">
        <v>244</v>
      </c>
    </row>
    <row r="701" spans="1:19" x14ac:dyDescent="0.3">
      <c r="A701">
        <v>700</v>
      </c>
      <c r="B701" t="s">
        <v>445</v>
      </c>
      <c r="C701">
        <v>2021</v>
      </c>
      <c r="D701" t="s">
        <v>161</v>
      </c>
      <c r="E701">
        <v>9</v>
      </c>
      <c r="F701" t="s">
        <v>21</v>
      </c>
      <c r="G701" t="s">
        <v>22</v>
      </c>
      <c r="H701">
        <v>51.85</v>
      </c>
      <c r="I701" t="s">
        <v>23</v>
      </c>
      <c r="J701">
        <v>25</v>
      </c>
      <c r="K701">
        <v>585</v>
      </c>
      <c r="L701">
        <v>94.54</v>
      </c>
      <c r="M701">
        <v>29.18</v>
      </c>
      <c r="N701">
        <v>8.2799999999999994</v>
      </c>
      <c r="O701">
        <v>6.14</v>
      </c>
      <c r="P701">
        <v>365.48</v>
      </c>
      <c r="Q701">
        <v>850</v>
      </c>
      <c r="R701">
        <v>3</v>
      </c>
      <c r="S701">
        <v>195</v>
      </c>
    </row>
    <row r="702" spans="1:19" x14ac:dyDescent="0.3">
      <c r="A702">
        <v>701</v>
      </c>
      <c r="B702" t="s">
        <v>446</v>
      </c>
      <c r="C702">
        <v>2021</v>
      </c>
      <c r="D702" t="s">
        <v>161</v>
      </c>
      <c r="E702">
        <v>9</v>
      </c>
      <c r="F702" t="s">
        <v>62</v>
      </c>
      <c r="G702" t="s">
        <v>26</v>
      </c>
      <c r="H702">
        <v>9.81</v>
      </c>
      <c r="I702" t="s">
        <v>32</v>
      </c>
      <c r="J702">
        <v>22</v>
      </c>
      <c r="K702">
        <v>163</v>
      </c>
      <c r="L702">
        <v>76.47</v>
      </c>
      <c r="M702">
        <v>10.36</v>
      </c>
      <c r="N702">
        <v>10.93</v>
      </c>
      <c r="O702">
        <v>3.68</v>
      </c>
      <c r="P702">
        <v>182.59</v>
      </c>
      <c r="Q702">
        <v>463</v>
      </c>
      <c r="R702">
        <v>4</v>
      </c>
      <c r="S702">
        <v>142</v>
      </c>
    </row>
    <row r="703" spans="1:19" x14ac:dyDescent="0.3">
      <c r="A703">
        <v>702</v>
      </c>
      <c r="B703" t="s">
        <v>455</v>
      </c>
      <c r="C703">
        <v>2021</v>
      </c>
      <c r="D703" t="s">
        <v>161</v>
      </c>
      <c r="E703">
        <v>9</v>
      </c>
      <c r="F703" t="s">
        <v>62</v>
      </c>
      <c r="G703" t="s">
        <v>42</v>
      </c>
      <c r="H703">
        <v>26.4</v>
      </c>
      <c r="I703" t="s">
        <v>38</v>
      </c>
      <c r="J703">
        <v>1</v>
      </c>
      <c r="K703">
        <v>125</v>
      </c>
      <c r="L703">
        <v>82.23</v>
      </c>
      <c r="M703">
        <v>31.1</v>
      </c>
      <c r="N703">
        <v>14.25</v>
      </c>
      <c r="O703">
        <v>5.3</v>
      </c>
      <c r="P703">
        <v>496.12</v>
      </c>
      <c r="Q703">
        <v>344</v>
      </c>
      <c r="R703">
        <v>2</v>
      </c>
      <c r="S703">
        <v>228</v>
      </c>
    </row>
    <row r="704" spans="1:19" x14ac:dyDescent="0.3">
      <c r="A704">
        <v>703</v>
      </c>
      <c r="B704" t="s">
        <v>460</v>
      </c>
      <c r="C704">
        <v>2021</v>
      </c>
      <c r="D704" t="s">
        <v>161</v>
      </c>
      <c r="E704">
        <v>9</v>
      </c>
      <c r="F704" t="s">
        <v>34</v>
      </c>
      <c r="G704" t="s">
        <v>26</v>
      </c>
      <c r="H704">
        <v>49.79</v>
      </c>
      <c r="I704" t="s">
        <v>27</v>
      </c>
      <c r="J704">
        <v>2</v>
      </c>
      <c r="K704">
        <v>410</v>
      </c>
      <c r="L704">
        <v>78.92</v>
      </c>
      <c r="M704">
        <v>19.739999999999998</v>
      </c>
      <c r="N704">
        <v>11.73</v>
      </c>
      <c r="O704">
        <v>13.98</v>
      </c>
      <c r="P704">
        <v>539.23</v>
      </c>
      <c r="Q704">
        <v>211</v>
      </c>
      <c r="R704">
        <v>1</v>
      </c>
      <c r="S704">
        <v>212</v>
      </c>
    </row>
    <row r="705" spans="1:19" x14ac:dyDescent="0.3">
      <c r="A705">
        <v>704</v>
      </c>
      <c r="B705" t="s">
        <v>455</v>
      </c>
      <c r="C705">
        <v>2021</v>
      </c>
      <c r="D705" t="s">
        <v>161</v>
      </c>
      <c r="E705">
        <v>9</v>
      </c>
      <c r="F705" t="s">
        <v>62</v>
      </c>
      <c r="G705" t="s">
        <v>42</v>
      </c>
      <c r="H705">
        <v>31.25</v>
      </c>
      <c r="I705" t="s">
        <v>23</v>
      </c>
      <c r="J705">
        <v>27</v>
      </c>
      <c r="K705">
        <v>399</v>
      </c>
      <c r="L705">
        <v>80.05</v>
      </c>
      <c r="M705">
        <v>21.34</v>
      </c>
      <c r="N705">
        <v>12.76</v>
      </c>
      <c r="O705">
        <v>10.68</v>
      </c>
      <c r="P705">
        <v>556.96</v>
      </c>
      <c r="Q705">
        <v>483</v>
      </c>
      <c r="R705">
        <v>3</v>
      </c>
      <c r="S705">
        <v>54</v>
      </c>
    </row>
    <row r="706" spans="1:19" x14ac:dyDescent="0.3">
      <c r="A706">
        <v>705</v>
      </c>
      <c r="B706" t="s">
        <v>461</v>
      </c>
      <c r="C706">
        <v>2021</v>
      </c>
      <c r="D706" t="s">
        <v>161</v>
      </c>
      <c r="E706">
        <v>9</v>
      </c>
      <c r="F706" t="s">
        <v>53</v>
      </c>
      <c r="G706" t="s">
        <v>26</v>
      </c>
      <c r="H706">
        <v>16.45</v>
      </c>
      <c r="I706" t="s">
        <v>27</v>
      </c>
      <c r="J706">
        <v>21</v>
      </c>
      <c r="K706">
        <v>264</v>
      </c>
      <c r="L706">
        <v>85.44</v>
      </c>
      <c r="M706">
        <v>18.190000000000001</v>
      </c>
      <c r="N706">
        <v>8.01</v>
      </c>
      <c r="O706">
        <v>1.82</v>
      </c>
      <c r="P706">
        <v>521.99</v>
      </c>
      <c r="Q706">
        <v>451</v>
      </c>
      <c r="R706">
        <v>5</v>
      </c>
      <c r="S706">
        <v>105</v>
      </c>
    </row>
    <row r="707" spans="1:19" x14ac:dyDescent="0.3">
      <c r="A707">
        <v>706</v>
      </c>
      <c r="B707" t="s">
        <v>447</v>
      </c>
      <c r="C707">
        <v>2021</v>
      </c>
      <c r="D707" t="s">
        <v>161</v>
      </c>
      <c r="E707">
        <v>9</v>
      </c>
      <c r="F707" t="s">
        <v>34</v>
      </c>
      <c r="G707" t="s">
        <v>22</v>
      </c>
      <c r="H707">
        <v>52.78</v>
      </c>
      <c r="I707" t="s">
        <v>38</v>
      </c>
      <c r="J707">
        <v>39</v>
      </c>
      <c r="K707">
        <v>182</v>
      </c>
      <c r="L707">
        <v>79.36</v>
      </c>
      <c r="M707">
        <v>22.38</v>
      </c>
      <c r="N707">
        <v>17.23</v>
      </c>
      <c r="O707">
        <v>3.6</v>
      </c>
      <c r="P707">
        <v>519.63</v>
      </c>
      <c r="Q707">
        <v>895</v>
      </c>
      <c r="R707">
        <v>5</v>
      </c>
      <c r="S707">
        <v>70</v>
      </c>
    </row>
    <row r="708" spans="1:19" x14ac:dyDescent="0.3">
      <c r="A708">
        <v>707</v>
      </c>
      <c r="B708" t="s">
        <v>462</v>
      </c>
      <c r="C708">
        <v>2021</v>
      </c>
      <c r="D708" t="s">
        <v>161</v>
      </c>
      <c r="E708">
        <v>9</v>
      </c>
      <c r="F708" t="s">
        <v>21</v>
      </c>
      <c r="G708" t="s">
        <v>22</v>
      </c>
      <c r="H708">
        <v>34.1</v>
      </c>
      <c r="I708" t="s">
        <v>47</v>
      </c>
      <c r="J708">
        <v>25</v>
      </c>
      <c r="K708">
        <v>408</v>
      </c>
      <c r="L708">
        <v>75.19</v>
      </c>
      <c r="M708">
        <v>9.5500000000000007</v>
      </c>
      <c r="N708">
        <v>21.95</v>
      </c>
      <c r="O708">
        <v>4.09</v>
      </c>
      <c r="P708">
        <v>356.44</v>
      </c>
      <c r="Q708">
        <v>185</v>
      </c>
      <c r="R708">
        <v>5</v>
      </c>
      <c r="S708">
        <v>174</v>
      </c>
    </row>
    <row r="709" spans="1:19" x14ac:dyDescent="0.3">
      <c r="A709">
        <v>708</v>
      </c>
      <c r="B709" t="s">
        <v>463</v>
      </c>
      <c r="C709">
        <v>2021</v>
      </c>
      <c r="D709" t="s">
        <v>161</v>
      </c>
      <c r="E709">
        <v>9</v>
      </c>
      <c r="F709" t="s">
        <v>21</v>
      </c>
      <c r="G709" t="s">
        <v>26</v>
      </c>
      <c r="H709">
        <v>44.72</v>
      </c>
      <c r="I709" t="s">
        <v>32</v>
      </c>
      <c r="J709">
        <v>31</v>
      </c>
      <c r="K709">
        <v>151</v>
      </c>
      <c r="L709">
        <v>93.51</v>
      </c>
      <c r="M709">
        <v>19.84</v>
      </c>
      <c r="N709">
        <v>10.029999999999999</v>
      </c>
      <c r="O709">
        <v>4.4400000000000004</v>
      </c>
      <c r="P709">
        <v>107.77</v>
      </c>
      <c r="Q709">
        <v>645</v>
      </c>
      <c r="R709">
        <v>4</v>
      </c>
      <c r="S709">
        <v>219</v>
      </c>
    </row>
    <row r="710" spans="1:19" x14ac:dyDescent="0.3">
      <c r="A710">
        <v>709</v>
      </c>
      <c r="B710" t="s">
        <v>464</v>
      </c>
      <c r="C710">
        <v>2021</v>
      </c>
      <c r="D710" t="s">
        <v>161</v>
      </c>
      <c r="E710">
        <v>9</v>
      </c>
      <c r="F710" t="s">
        <v>31</v>
      </c>
      <c r="G710" t="s">
        <v>26</v>
      </c>
      <c r="H710">
        <v>13.7</v>
      </c>
      <c r="I710" t="s">
        <v>27</v>
      </c>
      <c r="J710">
        <v>26</v>
      </c>
      <c r="K710">
        <v>144</v>
      </c>
      <c r="L710">
        <v>89.58</v>
      </c>
      <c r="M710">
        <v>9.1300000000000008</v>
      </c>
      <c r="N710">
        <v>8.3800000000000008</v>
      </c>
      <c r="O710">
        <v>13.27</v>
      </c>
      <c r="P710">
        <v>341.66</v>
      </c>
      <c r="Q710">
        <v>460</v>
      </c>
      <c r="R710">
        <v>2</v>
      </c>
      <c r="S710">
        <v>205</v>
      </c>
    </row>
    <row r="711" spans="1:19" x14ac:dyDescent="0.3">
      <c r="A711">
        <v>710</v>
      </c>
      <c r="B711" t="s">
        <v>445</v>
      </c>
      <c r="C711">
        <v>2021</v>
      </c>
      <c r="D711" t="s">
        <v>161</v>
      </c>
      <c r="E711">
        <v>9</v>
      </c>
      <c r="F711" t="s">
        <v>53</v>
      </c>
      <c r="G711" t="s">
        <v>22</v>
      </c>
      <c r="H711">
        <v>52.91</v>
      </c>
      <c r="I711" t="s">
        <v>47</v>
      </c>
      <c r="J711">
        <v>39</v>
      </c>
      <c r="K711">
        <v>249</v>
      </c>
      <c r="L711">
        <v>79.64</v>
      </c>
      <c r="M711">
        <v>18.43</v>
      </c>
      <c r="N711">
        <v>16.45</v>
      </c>
      <c r="O711">
        <v>15.73</v>
      </c>
      <c r="P711">
        <v>562.97</v>
      </c>
      <c r="Q711">
        <v>685</v>
      </c>
      <c r="R711">
        <v>3</v>
      </c>
      <c r="S711">
        <v>117</v>
      </c>
    </row>
    <row r="712" spans="1:19" x14ac:dyDescent="0.3">
      <c r="A712">
        <v>711</v>
      </c>
      <c r="B712" t="s">
        <v>450</v>
      </c>
      <c r="C712">
        <v>2021</v>
      </c>
      <c r="D712" t="s">
        <v>161</v>
      </c>
      <c r="E712">
        <v>9</v>
      </c>
      <c r="F712" t="s">
        <v>25</v>
      </c>
      <c r="G712" t="s">
        <v>35</v>
      </c>
      <c r="H712">
        <v>39.020000000000003</v>
      </c>
      <c r="I712" t="s">
        <v>38</v>
      </c>
      <c r="J712">
        <v>43</v>
      </c>
      <c r="K712">
        <v>404</v>
      </c>
      <c r="L712">
        <v>79.099999999999994</v>
      </c>
      <c r="M712">
        <v>30.5</v>
      </c>
      <c r="N712">
        <v>6.72</v>
      </c>
      <c r="O712">
        <v>8.7100000000000009</v>
      </c>
      <c r="P712">
        <v>384.31</v>
      </c>
      <c r="Q712">
        <v>261</v>
      </c>
      <c r="R712">
        <v>3</v>
      </c>
      <c r="S712">
        <v>107</v>
      </c>
    </row>
    <row r="713" spans="1:19" x14ac:dyDescent="0.3">
      <c r="A713">
        <v>712</v>
      </c>
      <c r="B713" t="s">
        <v>459</v>
      </c>
      <c r="C713">
        <v>2021</v>
      </c>
      <c r="D713" t="s">
        <v>161</v>
      </c>
      <c r="E713">
        <v>9</v>
      </c>
      <c r="F713" t="s">
        <v>62</v>
      </c>
      <c r="G713" t="s">
        <v>22</v>
      </c>
      <c r="H713">
        <v>15.42</v>
      </c>
      <c r="I713" t="s">
        <v>23</v>
      </c>
      <c r="J713">
        <v>5</v>
      </c>
      <c r="K713">
        <v>321</v>
      </c>
      <c r="L713">
        <v>87.43</v>
      </c>
      <c r="M713">
        <v>6.9</v>
      </c>
      <c r="N713">
        <v>20.85</v>
      </c>
      <c r="O713">
        <v>3.45</v>
      </c>
      <c r="P713">
        <v>362.51</v>
      </c>
      <c r="Q713">
        <v>967</v>
      </c>
      <c r="R713">
        <v>5</v>
      </c>
      <c r="S713">
        <v>106</v>
      </c>
    </row>
    <row r="714" spans="1:19" x14ac:dyDescent="0.3">
      <c r="A714">
        <v>713</v>
      </c>
      <c r="B714" t="s">
        <v>465</v>
      </c>
      <c r="C714">
        <v>2021</v>
      </c>
      <c r="D714" t="s">
        <v>161</v>
      </c>
      <c r="E714">
        <v>9</v>
      </c>
      <c r="F714" t="s">
        <v>21</v>
      </c>
      <c r="G714" t="s">
        <v>22</v>
      </c>
      <c r="H714">
        <v>40.99</v>
      </c>
      <c r="I714" t="s">
        <v>38</v>
      </c>
      <c r="J714">
        <v>28</v>
      </c>
      <c r="K714">
        <v>561</v>
      </c>
      <c r="L714">
        <v>79.260000000000005</v>
      </c>
      <c r="M714">
        <v>6.73</v>
      </c>
      <c r="N714">
        <v>21.83</v>
      </c>
      <c r="O714">
        <v>6.75</v>
      </c>
      <c r="P714">
        <v>379.51</v>
      </c>
      <c r="Q714">
        <v>244</v>
      </c>
      <c r="R714">
        <v>5</v>
      </c>
      <c r="S714">
        <v>217</v>
      </c>
    </row>
    <row r="715" spans="1:19" x14ac:dyDescent="0.3">
      <c r="A715">
        <v>714</v>
      </c>
      <c r="B715" t="s">
        <v>458</v>
      </c>
      <c r="C715">
        <v>2021</v>
      </c>
      <c r="D715" t="s">
        <v>161</v>
      </c>
      <c r="E715">
        <v>9</v>
      </c>
      <c r="F715" t="s">
        <v>62</v>
      </c>
      <c r="G715" t="s">
        <v>42</v>
      </c>
      <c r="H715">
        <v>45.04</v>
      </c>
      <c r="I715" t="s">
        <v>27</v>
      </c>
      <c r="J715">
        <v>26</v>
      </c>
      <c r="K715">
        <v>533</v>
      </c>
      <c r="L715">
        <v>86.16</v>
      </c>
      <c r="M715">
        <v>14.76</v>
      </c>
      <c r="N715">
        <v>9.31</v>
      </c>
      <c r="O715">
        <v>4.13</v>
      </c>
      <c r="P715">
        <v>417</v>
      </c>
      <c r="Q715">
        <v>574</v>
      </c>
      <c r="R715">
        <v>1</v>
      </c>
      <c r="S715">
        <v>198</v>
      </c>
    </row>
    <row r="716" spans="1:19" x14ac:dyDescent="0.3">
      <c r="A716">
        <v>715</v>
      </c>
      <c r="B716" t="s">
        <v>466</v>
      </c>
      <c r="C716">
        <v>2021</v>
      </c>
      <c r="D716" t="s">
        <v>226</v>
      </c>
      <c r="E716">
        <v>10</v>
      </c>
      <c r="F716" t="s">
        <v>29</v>
      </c>
      <c r="G716" t="s">
        <v>26</v>
      </c>
      <c r="H716">
        <v>8.1300000000000008</v>
      </c>
      <c r="I716" t="s">
        <v>47</v>
      </c>
      <c r="J716">
        <v>45</v>
      </c>
      <c r="K716">
        <v>129</v>
      </c>
      <c r="L716">
        <v>92.68</v>
      </c>
      <c r="M716">
        <v>8.6199999999999992</v>
      </c>
      <c r="N716">
        <v>20.77</v>
      </c>
      <c r="O716">
        <v>13.07</v>
      </c>
      <c r="P716">
        <v>227.78</v>
      </c>
      <c r="Q716">
        <v>353</v>
      </c>
      <c r="R716">
        <v>1</v>
      </c>
      <c r="S716">
        <v>166</v>
      </c>
    </row>
    <row r="717" spans="1:19" x14ac:dyDescent="0.3">
      <c r="A717">
        <v>716</v>
      </c>
      <c r="B717" t="s">
        <v>466</v>
      </c>
      <c r="C717">
        <v>2021</v>
      </c>
      <c r="D717" t="s">
        <v>226</v>
      </c>
      <c r="E717">
        <v>10</v>
      </c>
      <c r="F717" t="s">
        <v>37</v>
      </c>
      <c r="G717" t="s">
        <v>22</v>
      </c>
      <c r="H717">
        <v>35.4</v>
      </c>
      <c r="I717" t="s">
        <v>27</v>
      </c>
      <c r="J717">
        <v>12</v>
      </c>
      <c r="K717">
        <v>437</v>
      </c>
      <c r="L717">
        <v>77.17</v>
      </c>
      <c r="M717">
        <v>25.13</v>
      </c>
      <c r="N717">
        <v>17.559999999999999</v>
      </c>
      <c r="O717">
        <v>5.48</v>
      </c>
      <c r="P717">
        <v>215.5</v>
      </c>
      <c r="Q717">
        <v>947</v>
      </c>
      <c r="R717">
        <v>5</v>
      </c>
      <c r="S717">
        <v>147</v>
      </c>
    </row>
    <row r="718" spans="1:19" x14ac:dyDescent="0.3">
      <c r="A718">
        <v>717</v>
      </c>
      <c r="B718" t="s">
        <v>467</v>
      </c>
      <c r="C718">
        <v>2021</v>
      </c>
      <c r="D718" t="s">
        <v>226</v>
      </c>
      <c r="E718">
        <v>10</v>
      </c>
      <c r="F718" t="s">
        <v>34</v>
      </c>
      <c r="G718" t="s">
        <v>42</v>
      </c>
      <c r="H718">
        <v>26.01</v>
      </c>
      <c r="I718" t="s">
        <v>38</v>
      </c>
      <c r="J718">
        <v>1</v>
      </c>
      <c r="K718">
        <v>144</v>
      </c>
      <c r="L718">
        <v>88.01</v>
      </c>
      <c r="M718">
        <v>13</v>
      </c>
      <c r="N718">
        <v>7.5</v>
      </c>
      <c r="O718">
        <v>3.62</v>
      </c>
      <c r="P718">
        <v>265.24</v>
      </c>
      <c r="Q718">
        <v>220</v>
      </c>
      <c r="R718">
        <v>2</v>
      </c>
      <c r="S718">
        <v>186</v>
      </c>
    </row>
    <row r="719" spans="1:19" x14ac:dyDescent="0.3">
      <c r="A719">
        <v>718</v>
      </c>
      <c r="B719" t="s">
        <v>468</v>
      </c>
      <c r="C719">
        <v>2021</v>
      </c>
      <c r="D719" t="s">
        <v>226</v>
      </c>
      <c r="E719">
        <v>10</v>
      </c>
      <c r="F719" t="s">
        <v>34</v>
      </c>
      <c r="G719" t="s">
        <v>35</v>
      </c>
      <c r="H719">
        <v>24.75</v>
      </c>
      <c r="I719" t="s">
        <v>27</v>
      </c>
      <c r="J719">
        <v>50</v>
      </c>
      <c r="K719">
        <v>552</v>
      </c>
      <c r="L719">
        <v>85.84</v>
      </c>
      <c r="M719">
        <v>7.92</v>
      </c>
      <c r="N719">
        <v>17.829999999999998</v>
      </c>
      <c r="O719">
        <v>2.16</v>
      </c>
      <c r="P719">
        <v>450.8</v>
      </c>
      <c r="Q719">
        <v>959</v>
      </c>
      <c r="R719">
        <v>5</v>
      </c>
      <c r="S719">
        <v>168</v>
      </c>
    </row>
    <row r="720" spans="1:19" x14ac:dyDescent="0.3">
      <c r="A720">
        <v>719</v>
      </c>
      <c r="B720" t="s">
        <v>469</v>
      </c>
      <c r="C720">
        <v>2021</v>
      </c>
      <c r="D720" t="s">
        <v>226</v>
      </c>
      <c r="E720">
        <v>10</v>
      </c>
      <c r="F720" t="s">
        <v>21</v>
      </c>
      <c r="G720" t="s">
        <v>26</v>
      </c>
      <c r="H720">
        <v>5.75</v>
      </c>
      <c r="I720" t="s">
        <v>23</v>
      </c>
      <c r="J720">
        <v>29</v>
      </c>
      <c r="K720">
        <v>513</v>
      </c>
      <c r="L720">
        <v>86.69</v>
      </c>
      <c r="M720">
        <v>22.99</v>
      </c>
      <c r="N720">
        <v>20.83</v>
      </c>
      <c r="O720">
        <v>9.6199999999999992</v>
      </c>
      <c r="P720">
        <v>378.36</v>
      </c>
      <c r="Q720">
        <v>704</v>
      </c>
      <c r="R720">
        <v>2</v>
      </c>
      <c r="S720">
        <v>192</v>
      </c>
    </row>
    <row r="721" spans="1:19" x14ac:dyDescent="0.3">
      <c r="A721">
        <v>720</v>
      </c>
      <c r="B721" t="s">
        <v>470</v>
      </c>
      <c r="C721">
        <v>2021</v>
      </c>
      <c r="D721" t="s">
        <v>226</v>
      </c>
      <c r="E721">
        <v>10</v>
      </c>
      <c r="F721" t="s">
        <v>21</v>
      </c>
      <c r="G721" t="s">
        <v>35</v>
      </c>
      <c r="H721">
        <v>33.47</v>
      </c>
      <c r="I721" t="s">
        <v>47</v>
      </c>
      <c r="J721">
        <v>29</v>
      </c>
      <c r="K721">
        <v>376</v>
      </c>
      <c r="L721">
        <v>84.9</v>
      </c>
      <c r="M721">
        <v>26.39</v>
      </c>
      <c r="N721">
        <v>17.420000000000002</v>
      </c>
      <c r="O721">
        <v>4.0199999999999996</v>
      </c>
      <c r="P721">
        <v>360.87</v>
      </c>
      <c r="Q721">
        <v>106</v>
      </c>
      <c r="R721">
        <v>1</v>
      </c>
      <c r="S721">
        <v>74</v>
      </c>
    </row>
    <row r="722" spans="1:19" x14ac:dyDescent="0.3">
      <c r="A722">
        <v>721</v>
      </c>
      <c r="B722" t="s">
        <v>466</v>
      </c>
      <c r="C722">
        <v>2021</v>
      </c>
      <c r="D722" t="s">
        <v>226</v>
      </c>
      <c r="E722">
        <v>10</v>
      </c>
      <c r="F722" t="s">
        <v>31</v>
      </c>
      <c r="G722" t="s">
        <v>40</v>
      </c>
      <c r="H722">
        <v>23.34</v>
      </c>
      <c r="I722" t="s">
        <v>23</v>
      </c>
      <c r="J722">
        <v>19</v>
      </c>
      <c r="K722">
        <v>327</v>
      </c>
      <c r="L722">
        <v>82.27</v>
      </c>
      <c r="M722">
        <v>10.25</v>
      </c>
      <c r="N722">
        <v>20.440000000000001</v>
      </c>
      <c r="O722">
        <v>9.09</v>
      </c>
      <c r="P722">
        <v>191.81</v>
      </c>
      <c r="Q722">
        <v>544</v>
      </c>
      <c r="R722">
        <v>5</v>
      </c>
      <c r="S722">
        <v>247</v>
      </c>
    </row>
    <row r="723" spans="1:19" x14ac:dyDescent="0.3">
      <c r="A723">
        <v>722</v>
      </c>
      <c r="B723" t="s">
        <v>471</v>
      </c>
      <c r="C723">
        <v>2021</v>
      </c>
      <c r="D723" t="s">
        <v>226</v>
      </c>
      <c r="E723">
        <v>10</v>
      </c>
      <c r="F723" t="s">
        <v>37</v>
      </c>
      <c r="G723" t="s">
        <v>22</v>
      </c>
      <c r="H723">
        <v>45.98</v>
      </c>
      <c r="I723" t="s">
        <v>38</v>
      </c>
      <c r="J723">
        <v>29</v>
      </c>
      <c r="K723">
        <v>339</v>
      </c>
      <c r="L723">
        <v>87.06</v>
      </c>
      <c r="M723">
        <v>11.66</v>
      </c>
      <c r="N723">
        <v>13.09</v>
      </c>
      <c r="O723">
        <v>5.0599999999999996</v>
      </c>
      <c r="P723">
        <v>244.68</v>
      </c>
      <c r="Q723">
        <v>759</v>
      </c>
      <c r="R723">
        <v>5</v>
      </c>
      <c r="S723">
        <v>113</v>
      </c>
    </row>
    <row r="724" spans="1:19" x14ac:dyDescent="0.3">
      <c r="A724">
        <v>723</v>
      </c>
      <c r="B724" t="s">
        <v>472</v>
      </c>
      <c r="C724">
        <v>2021</v>
      </c>
      <c r="D724" t="s">
        <v>226</v>
      </c>
      <c r="E724">
        <v>10</v>
      </c>
      <c r="F724" t="s">
        <v>53</v>
      </c>
      <c r="G724" t="s">
        <v>42</v>
      </c>
      <c r="H724">
        <v>29.28</v>
      </c>
      <c r="I724" t="s">
        <v>27</v>
      </c>
      <c r="J724">
        <v>4</v>
      </c>
      <c r="K724">
        <v>330</v>
      </c>
      <c r="L724">
        <v>89.9</v>
      </c>
      <c r="M724">
        <v>10.119999999999999</v>
      </c>
      <c r="N724">
        <v>4.7699999999999996</v>
      </c>
      <c r="O724">
        <v>14.75</v>
      </c>
      <c r="P724">
        <v>298.31</v>
      </c>
      <c r="Q724">
        <v>420</v>
      </c>
      <c r="R724">
        <v>4</v>
      </c>
      <c r="S724">
        <v>221</v>
      </c>
    </row>
    <row r="725" spans="1:19" x14ac:dyDescent="0.3">
      <c r="A725">
        <v>724</v>
      </c>
      <c r="B725" t="s">
        <v>473</v>
      </c>
      <c r="C725">
        <v>2021</v>
      </c>
      <c r="D725" t="s">
        <v>226</v>
      </c>
      <c r="E725">
        <v>10</v>
      </c>
      <c r="F725" t="s">
        <v>34</v>
      </c>
      <c r="G725" t="s">
        <v>40</v>
      </c>
      <c r="H725">
        <v>52.55</v>
      </c>
      <c r="I725" t="s">
        <v>23</v>
      </c>
      <c r="J725">
        <v>44</v>
      </c>
      <c r="K725">
        <v>282</v>
      </c>
      <c r="L725">
        <v>78.319999999999993</v>
      </c>
      <c r="M725">
        <v>34.99</v>
      </c>
      <c r="N725">
        <v>5.56</v>
      </c>
      <c r="O725">
        <v>2.61</v>
      </c>
      <c r="P725">
        <v>125.63</v>
      </c>
      <c r="Q725">
        <v>486</v>
      </c>
      <c r="R725">
        <v>3</v>
      </c>
      <c r="S725">
        <v>142</v>
      </c>
    </row>
    <row r="726" spans="1:19" x14ac:dyDescent="0.3">
      <c r="A726">
        <v>725</v>
      </c>
      <c r="B726" t="s">
        <v>472</v>
      </c>
      <c r="C726">
        <v>2021</v>
      </c>
      <c r="D726" t="s">
        <v>226</v>
      </c>
      <c r="E726">
        <v>10</v>
      </c>
      <c r="F726" t="s">
        <v>25</v>
      </c>
      <c r="G726" t="s">
        <v>22</v>
      </c>
      <c r="H726">
        <v>20.71</v>
      </c>
      <c r="I726" t="s">
        <v>32</v>
      </c>
      <c r="J726">
        <v>1</v>
      </c>
      <c r="K726">
        <v>478</v>
      </c>
      <c r="L726">
        <v>76.52</v>
      </c>
      <c r="M726">
        <v>21.16</v>
      </c>
      <c r="N726">
        <v>20.190000000000001</v>
      </c>
      <c r="O726">
        <v>12.15</v>
      </c>
      <c r="P726">
        <v>396.35</v>
      </c>
      <c r="Q726">
        <v>701</v>
      </c>
      <c r="R726">
        <v>5</v>
      </c>
      <c r="S726">
        <v>106</v>
      </c>
    </row>
    <row r="727" spans="1:19" x14ac:dyDescent="0.3">
      <c r="A727">
        <v>726</v>
      </c>
      <c r="B727" t="s">
        <v>470</v>
      </c>
      <c r="C727">
        <v>2021</v>
      </c>
      <c r="D727" t="s">
        <v>226</v>
      </c>
      <c r="E727">
        <v>10</v>
      </c>
      <c r="F727" t="s">
        <v>62</v>
      </c>
      <c r="G727" t="s">
        <v>35</v>
      </c>
      <c r="H727">
        <v>51.21</v>
      </c>
      <c r="I727" t="s">
        <v>27</v>
      </c>
      <c r="J727">
        <v>28</v>
      </c>
      <c r="K727">
        <v>313</v>
      </c>
      <c r="L727">
        <v>94.34</v>
      </c>
      <c r="M727">
        <v>9.09</v>
      </c>
      <c r="N727">
        <v>19.57</v>
      </c>
      <c r="O727">
        <v>15.2</v>
      </c>
      <c r="P727">
        <v>150.33000000000001</v>
      </c>
      <c r="Q727">
        <v>664</v>
      </c>
      <c r="R727">
        <v>2</v>
      </c>
      <c r="S727">
        <v>161</v>
      </c>
    </row>
    <row r="728" spans="1:19" x14ac:dyDescent="0.3">
      <c r="A728">
        <v>727</v>
      </c>
      <c r="B728" t="s">
        <v>474</v>
      </c>
      <c r="C728">
        <v>2021</v>
      </c>
      <c r="D728" t="s">
        <v>226</v>
      </c>
      <c r="E728">
        <v>10</v>
      </c>
      <c r="F728" t="s">
        <v>34</v>
      </c>
      <c r="G728" t="s">
        <v>40</v>
      </c>
      <c r="H728">
        <v>38.840000000000003</v>
      </c>
      <c r="I728" t="s">
        <v>32</v>
      </c>
      <c r="J728">
        <v>9</v>
      </c>
      <c r="K728">
        <v>550</v>
      </c>
      <c r="L728">
        <v>89.55</v>
      </c>
      <c r="M728">
        <v>29.79</v>
      </c>
      <c r="N728">
        <v>20.85</v>
      </c>
      <c r="O728">
        <v>2.2599999999999998</v>
      </c>
      <c r="P728">
        <v>106.62</v>
      </c>
      <c r="Q728">
        <v>1018</v>
      </c>
      <c r="R728">
        <v>1</v>
      </c>
      <c r="S728">
        <v>235</v>
      </c>
    </row>
    <row r="729" spans="1:19" x14ac:dyDescent="0.3">
      <c r="A729">
        <v>728</v>
      </c>
      <c r="B729" t="s">
        <v>467</v>
      </c>
      <c r="C729">
        <v>2021</v>
      </c>
      <c r="D729" t="s">
        <v>226</v>
      </c>
      <c r="E729">
        <v>10</v>
      </c>
      <c r="F729" t="s">
        <v>62</v>
      </c>
      <c r="G729" t="s">
        <v>26</v>
      </c>
      <c r="H729">
        <v>6.41</v>
      </c>
      <c r="I729" t="s">
        <v>23</v>
      </c>
      <c r="J729">
        <v>13</v>
      </c>
      <c r="K729">
        <v>327</v>
      </c>
      <c r="L729">
        <v>79.36</v>
      </c>
      <c r="M729">
        <v>25.05</v>
      </c>
      <c r="N729">
        <v>20.86</v>
      </c>
      <c r="O729">
        <v>3.5</v>
      </c>
      <c r="P729">
        <v>410.32</v>
      </c>
      <c r="Q729">
        <v>679</v>
      </c>
      <c r="R729">
        <v>1</v>
      </c>
      <c r="S729">
        <v>109</v>
      </c>
    </row>
    <row r="730" spans="1:19" x14ac:dyDescent="0.3">
      <c r="A730">
        <v>729</v>
      </c>
      <c r="B730" t="s">
        <v>468</v>
      </c>
      <c r="C730">
        <v>2021</v>
      </c>
      <c r="D730" t="s">
        <v>226</v>
      </c>
      <c r="E730">
        <v>10</v>
      </c>
      <c r="F730" t="s">
        <v>37</v>
      </c>
      <c r="G730" t="s">
        <v>42</v>
      </c>
      <c r="H730">
        <v>31.22</v>
      </c>
      <c r="I730" t="s">
        <v>38</v>
      </c>
      <c r="J730">
        <v>50</v>
      </c>
      <c r="K730">
        <v>546</v>
      </c>
      <c r="L730">
        <v>83.88</v>
      </c>
      <c r="M730">
        <v>21.06</v>
      </c>
      <c r="N730">
        <v>16.59</v>
      </c>
      <c r="O730">
        <v>2.4300000000000002</v>
      </c>
      <c r="P730">
        <v>420.69</v>
      </c>
      <c r="Q730">
        <v>468</v>
      </c>
      <c r="R730">
        <v>5</v>
      </c>
      <c r="S730">
        <v>100</v>
      </c>
    </row>
    <row r="731" spans="1:19" x14ac:dyDescent="0.3">
      <c r="A731">
        <v>730</v>
      </c>
      <c r="B731" t="s">
        <v>475</v>
      </c>
      <c r="C731">
        <v>2021</v>
      </c>
      <c r="D731" t="s">
        <v>226</v>
      </c>
      <c r="E731">
        <v>10</v>
      </c>
      <c r="F731" t="s">
        <v>21</v>
      </c>
      <c r="G731" t="s">
        <v>35</v>
      </c>
      <c r="H731">
        <v>36.15</v>
      </c>
      <c r="I731" t="s">
        <v>27</v>
      </c>
      <c r="J731">
        <v>18</v>
      </c>
      <c r="K731">
        <v>449</v>
      </c>
      <c r="L731">
        <v>88.36</v>
      </c>
      <c r="M731">
        <v>12.93</v>
      </c>
      <c r="N731">
        <v>14.41</v>
      </c>
      <c r="O731">
        <v>4.72</v>
      </c>
      <c r="P731">
        <v>230.64</v>
      </c>
      <c r="Q731">
        <v>470</v>
      </c>
      <c r="R731">
        <v>4</v>
      </c>
      <c r="S731">
        <v>242</v>
      </c>
    </row>
    <row r="732" spans="1:19" x14ac:dyDescent="0.3">
      <c r="A732">
        <v>731</v>
      </c>
      <c r="B732" t="s">
        <v>476</v>
      </c>
      <c r="C732">
        <v>2021</v>
      </c>
      <c r="D732" t="s">
        <v>226</v>
      </c>
      <c r="E732">
        <v>10</v>
      </c>
      <c r="F732" t="s">
        <v>31</v>
      </c>
      <c r="G732" t="s">
        <v>26</v>
      </c>
      <c r="H732">
        <v>19.75</v>
      </c>
      <c r="I732" t="s">
        <v>47</v>
      </c>
      <c r="J732">
        <v>42</v>
      </c>
      <c r="K732">
        <v>274</v>
      </c>
      <c r="L732">
        <v>78.73</v>
      </c>
      <c r="M732">
        <v>20.53</v>
      </c>
      <c r="N732">
        <v>17.91</v>
      </c>
      <c r="O732">
        <v>9.51</v>
      </c>
      <c r="P732">
        <v>549.16999999999996</v>
      </c>
      <c r="Q732">
        <v>1095</v>
      </c>
      <c r="R732">
        <v>1</v>
      </c>
      <c r="S732">
        <v>155</v>
      </c>
    </row>
    <row r="733" spans="1:19" x14ac:dyDescent="0.3">
      <c r="A733">
        <v>732</v>
      </c>
      <c r="B733" t="s">
        <v>477</v>
      </c>
      <c r="C733">
        <v>2021</v>
      </c>
      <c r="D733" t="s">
        <v>226</v>
      </c>
      <c r="E733">
        <v>10</v>
      </c>
      <c r="F733" t="s">
        <v>34</v>
      </c>
      <c r="G733" t="s">
        <v>40</v>
      </c>
      <c r="H733">
        <v>28.47</v>
      </c>
      <c r="I733" t="s">
        <v>38</v>
      </c>
      <c r="J733">
        <v>3</v>
      </c>
      <c r="K733">
        <v>168</v>
      </c>
      <c r="L733">
        <v>78.59</v>
      </c>
      <c r="M733">
        <v>28.07</v>
      </c>
      <c r="N733">
        <v>19.04</v>
      </c>
      <c r="O733">
        <v>6.63</v>
      </c>
      <c r="P733">
        <v>445.16</v>
      </c>
      <c r="Q733">
        <v>943</v>
      </c>
      <c r="R733">
        <v>3</v>
      </c>
      <c r="S733">
        <v>140</v>
      </c>
    </row>
    <row r="734" spans="1:19" x14ac:dyDescent="0.3">
      <c r="A734">
        <v>733</v>
      </c>
      <c r="B734" t="s">
        <v>466</v>
      </c>
      <c r="C734">
        <v>2021</v>
      </c>
      <c r="D734" t="s">
        <v>226</v>
      </c>
      <c r="E734">
        <v>10</v>
      </c>
      <c r="F734" t="s">
        <v>21</v>
      </c>
      <c r="G734" t="s">
        <v>22</v>
      </c>
      <c r="H734">
        <v>23.38</v>
      </c>
      <c r="I734" t="s">
        <v>38</v>
      </c>
      <c r="J734">
        <v>24</v>
      </c>
      <c r="K734">
        <v>303</v>
      </c>
      <c r="L734">
        <v>94.77</v>
      </c>
      <c r="M734">
        <v>31.53</v>
      </c>
      <c r="N734">
        <v>19.53</v>
      </c>
      <c r="O734">
        <v>15.45</v>
      </c>
      <c r="P734">
        <v>396.62</v>
      </c>
      <c r="Q734">
        <v>346</v>
      </c>
      <c r="R734">
        <v>4</v>
      </c>
      <c r="S734">
        <v>157</v>
      </c>
    </row>
    <row r="735" spans="1:19" x14ac:dyDescent="0.3">
      <c r="A735">
        <v>734</v>
      </c>
      <c r="B735" t="s">
        <v>478</v>
      </c>
      <c r="C735">
        <v>2021</v>
      </c>
      <c r="D735" t="s">
        <v>226</v>
      </c>
      <c r="E735">
        <v>10</v>
      </c>
      <c r="F735" t="s">
        <v>31</v>
      </c>
      <c r="G735" t="s">
        <v>22</v>
      </c>
      <c r="H735">
        <v>14.78</v>
      </c>
      <c r="I735" t="s">
        <v>38</v>
      </c>
      <c r="J735">
        <v>12</v>
      </c>
      <c r="K735">
        <v>587</v>
      </c>
      <c r="L735">
        <v>92.32</v>
      </c>
      <c r="M735">
        <v>25.28</v>
      </c>
      <c r="N735">
        <v>19.600000000000001</v>
      </c>
      <c r="O735">
        <v>3.13</v>
      </c>
      <c r="P735">
        <v>557.05999999999995</v>
      </c>
      <c r="Q735">
        <v>586</v>
      </c>
      <c r="R735">
        <v>5</v>
      </c>
      <c r="S735">
        <v>153</v>
      </c>
    </row>
    <row r="736" spans="1:19" x14ac:dyDescent="0.3">
      <c r="A736">
        <v>735</v>
      </c>
      <c r="B736" t="s">
        <v>479</v>
      </c>
      <c r="C736">
        <v>2021</v>
      </c>
      <c r="D736" t="s">
        <v>226</v>
      </c>
      <c r="E736">
        <v>10</v>
      </c>
      <c r="F736" t="s">
        <v>21</v>
      </c>
      <c r="G736" t="s">
        <v>40</v>
      </c>
      <c r="H736">
        <v>10.18</v>
      </c>
      <c r="I736" t="s">
        <v>47</v>
      </c>
      <c r="J736">
        <v>38</v>
      </c>
      <c r="K736">
        <v>302</v>
      </c>
      <c r="L736">
        <v>84.28</v>
      </c>
      <c r="M736">
        <v>6.56</v>
      </c>
      <c r="N736">
        <v>21.95</v>
      </c>
      <c r="O736">
        <v>8.52</v>
      </c>
      <c r="P736">
        <v>520.79</v>
      </c>
      <c r="Q736">
        <v>297</v>
      </c>
      <c r="R736">
        <v>1</v>
      </c>
      <c r="S736">
        <v>161</v>
      </c>
    </row>
    <row r="737" spans="1:19" x14ac:dyDescent="0.3">
      <c r="A737">
        <v>736</v>
      </c>
      <c r="B737" t="s">
        <v>480</v>
      </c>
      <c r="C737">
        <v>2021</v>
      </c>
      <c r="D737" t="s">
        <v>226</v>
      </c>
      <c r="E737">
        <v>10</v>
      </c>
      <c r="F737" t="s">
        <v>25</v>
      </c>
      <c r="G737" t="s">
        <v>22</v>
      </c>
      <c r="H737">
        <v>5.39</v>
      </c>
      <c r="I737" t="s">
        <v>38</v>
      </c>
      <c r="J737">
        <v>5</v>
      </c>
      <c r="K737">
        <v>507</v>
      </c>
      <c r="L737">
        <v>78.47</v>
      </c>
      <c r="M737">
        <v>14.28</v>
      </c>
      <c r="N737">
        <v>6.67</v>
      </c>
      <c r="O737">
        <v>13.23</v>
      </c>
      <c r="P737">
        <v>407.28</v>
      </c>
      <c r="Q737">
        <v>435</v>
      </c>
      <c r="R737">
        <v>5</v>
      </c>
      <c r="S737">
        <v>218</v>
      </c>
    </row>
    <row r="738" spans="1:19" x14ac:dyDescent="0.3">
      <c r="A738">
        <v>737</v>
      </c>
      <c r="B738" t="s">
        <v>477</v>
      </c>
      <c r="C738">
        <v>2021</v>
      </c>
      <c r="D738" t="s">
        <v>226</v>
      </c>
      <c r="E738">
        <v>10</v>
      </c>
      <c r="F738" t="s">
        <v>34</v>
      </c>
      <c r="G738" t="s">
        <v>26</v>
      </c>
      <c r="H738">
        <v>23.34</v>
      </c>
      <c r="I738" t="s">
        <v>23</v>
      </c>
      <c r="J738">
        <v>46</v>
      </c>
      <c r="K738">
        <v>534</v>
      </c>
      <c r="L738">
        <v>77.03</v>
      </c>
      <c r="M738">
        <v>27.12</v>
      </c>
      <c r="N738">
        <v>4.93</v>
      </c>
      <c r="O738">
        <v>4.2300000000000004</v>
      </c>
      <c r="P738">
        <v>233.24</v>
      </c>
      <c r="Q738">
        <v>358</v>
      </c>
      <c r="R738">
        <v>5</v>
      </c>
      <c r="S738">
        <v>249</v>
      </c>
    </row>
    <row r="739" spans="1:19" x14ac:dyDescent="0.3">
      <c r="A739">
        <v>738</v>
      </c>
      <c r="B739" t="s">
        <v>481</v>
      </c>
      <c r="C739">
        <v>2021</v>
      </c>
      <c r="D739" t="s">
        <v>226</v>
      </c>
      <c r="E739">
        <v>10</v>
      </c>
      <c r="F739" t="s">
        <v>53</v>
      </c>
      <c r="G739" t="s">
        <v>22</v>
      </c>
      <c r="H739">
        <v>5.01</v>
      </c>
      <c r="I739" t="s">
        <v>47</v>
      </c>
      <c r="J739">
        <v>7</v>
      </c>
      <c r="K739">
        <v>278</v>
      </c>
      <c r="L739">
        <v>78.319999999999993</v>
      </c>
      <c r="M739">
        <v>28.08</v>
      </c>
      <c r="N739">
        <v>6.96</v>
      </c>
      <c r="O739">
        <v>14.7</v>
      </c>
      <c r="P739">
        <v>526.38</v>
      </c>
      <c r="Q739">
        <v>810</v>
      </c>
      <c r="R739">
        <v>4</v>
      </c>
      <c r="S739">
        <v>147</v>
      </c>
    </row>
    <row r="740" spans="1:19" x14ac:dyDescent="0.3">
      <c r="A740">
        <v>739</v>
      </c>
      <c r="B740" t="s">
        <v>477</v>
      </c>
      <c r="C740">
        <v>2021</v>
      </c>
      <c r="D740" t="s">
        <v>226</v>
      </c>
      <c r="E740">
        <v>10</v>
      </c>
      <c r="F740" t="s">
        <v>29</v>
      </c>
      <c r="G740" t="s">
        <v>22</v>
      </c>
      <c r="H740">
        <v>54.13</v>
      </c>
      <c r="I740" t="s">
        <v>38</v>
      </c>
      <c r="J740">
        <v>19</v>
      </c>
      <c r="K740">
        <v>189</v>
      </c>
      <c r="L740">
        <v>91.82</v>
      </c>
      <c r="M740">
        <v>12.07</v>
      </c>
      <c r="N740">
        <v>12.84</v>
      </c>
      <c r="O740">
        <v>3.94</v>
      </c>
      <c r="P740">
        <v>314.86</v>
      </c>
      <c r="Q740">
        <v>428</v>
      </c>
      <c r="R740">
        <v>2</v>
      </c>
      <c r="S740">
        <v>74</v>
      </c>
    </row>
    <row r="741" spans="1:19" x14ac:dyDescent="0.3">
      <c r="A741">
        <v>740</v>
      </c>
      <c r="B741" t="s">
        <v>476</v>
      </c>
      <c r="C741">
        <v>2021</v>
      </c>
      <c r="D741" t="s">
        <v>226</v>
      </c>
      <c r="E741">
        <v>10</v>
      </c>
      <c r="F741" t="s">
        <v>25</v>
      </c>
      <c r="G741" t="s">
        <v>26</v>
      </c>
      <c r="H741">
        <v>34.64</v>
      </c>
      <c r="I741" t="s">
        <v>38</v>
      </c>
      <c r="J741">
        <v>40</v>
      </c>
      <c r="K741">
        <v>520</v>
      </c>
      <c r="L741">
        <v>94.95</v>
      </c>
      <c r="M741">
        <v>5.69</v>
      </c>
      <c r="N741">
        <v>18.38</v>
      </c>
      <c r="O741">
        <v>11.22</v>
      </c>
      <c r="P741">
        <v>426.93</v>
      </c>
      <c r="Q741">
        <v>629</v>
      </c>
      <c r="R741">
        <v>1</v>
      </c>
      <c r="S741">
        <v>153</v>
      </c>
    </row>
    <row r="742" spans="1:19" x14ac:dyDescent="0.3">
      <c r="A742">
        <v>741</v>
      </c>
      <c r="B742" t="s">
        <v>477</v>
      </c>
      <c r="C742">
        <v>2021</v>
      </c>
      <c r="D742" t="s">
        <v>226</v>
      </c>
      <c r="E742">
        <v>10</v>
      </c>
      <c r="F742" t="s">
        <v>21</v>
      </c>
      <c r="G742" t="s">
        <v>40</v>
      </c>
      <c r="H742">
        <v>9.16</v>
      </c>
      <c r="I742" t="s">
        <v>38</v>
      </c>
      <c r="J742">
        <v>39</v>
      </c>
      <c r="K742">
        <v>377</v>
      </c>
      <c r="L742">
        <v>86.9</v>
      </c>
      <c r="M742">
        <v>10.78</v>
      </c>
      <c r="N742">
        <v>16.37</v>
      </c>
      <c r="O742">
        <v>12.12</v>
      </c>
      <c r="P742">
        <v>538.42999999999995</v>
      </c>
      <c r="Q742">
        <v>1028</v>
      </c>
      <c r="R742">
        <v>1</v>
      </c>
      <c r="S742">
        <v>208</v>
      </c>
    </row>
    <row r="743" spans="1:19" x14ac:dyDescent="0.3">
      <c r="A743">
        <v>742</v>
      </c>
      <c r="B743" t="s">
        <v>482</v>
      </c>
      <c r="C743">
        <v>2021</v>
      </c>
      <c r="D743" t="s">
        <v>226</v>
      </c>
      <c r="E743">
        <v>10</v>
      </c>
      <c r="F743" t="s">
        <v>29</v>
      </c>
      <c r="G743" t="s">
        <v>40</v>
      </c>
      <c r="H743">
        <v>40.47</v>
      </c>
      <c r="I743" t="s">
        <v>47</v>
      </c>
      <c r="J743">
        <v>17</v>
      </c>
      <c r="K743">
        <v>569</v>
      </c>
      <c r="L743">
        <v>91.77</v>
      </c>
      <c r="M743">
        <v>31</v>
      </c>
      <c r="N743">
        <v>17.93</v>
      </c>
      <c r="O743">
        <v>8.4700000000000006</v>
      </c>
      <c r="P743">
        <v>492.63</v>
      </c>
      <c r="Q743">
        <v>284</v>
      </c>
      <c r="R743">
        <v>4</v>
      </c>
      <c r="S743">
        <v>213</v>
      </c>
    </row>
    <row r="744" spans="1:19" x14ac:dyDescent="0.3">
      <c r="A744">
        <v>743</v>
      </c>
      <c r="B744" t="s">
        <v>483</v>
      </c>
      <c r="C744">
        <v>2021</v>
      </c>
      <c r="D744" t="s">
        <v>226</v>
      </c>
      <c r="E744">
        <v>10</v>
      </c>
      <c r="F744" t="s">
        <v>25</v>
      </c>
      <c r="G744" t="s">
        <v>40</v>
      </c>
      <c r="H744">
        <v>24.98</v>
      </c>
      <c r="I744" t="s">
        <v>38</v>
      </c>
      <c r="J744">
        <v>9</v>
      </c>
      <c r="K744">
        <v>419</v>
      </c>
      <c r="L744">
        <v>77</v>
      </c>
      <c r="M744">
        <v>20.96</v>
      </c>
      <c r="N744">
        <v>15.27</v>
      </c>
      <c r="O744">
        <v>1.74</v>
      </c>
      <c r="P744">
        <v>216.81</v>
      </c>
      <c r="Q744">
        <v>852</v>
      </c>
      <c r="R744">
        <v>3</v>
      </c>
      <c r="S744">
        <v>220</v>
      </c>
    </row>
    <row r="745" spans="1:19" x14ac:dyDescent="0.3">
      <c r="A745">
        <v>744</v>
      </c>
      <c r="B745" t="s">
        <v>484</v>
      </c>
      <c r="C745">
        <v>2021</v>
      </c>
      <c r="D745" t="s">
        <v>226</v>
      </c>
      <c r="E745">
        <v>10</v>
      </c>
      <c r="F745" t="s">
        <v>34</v>
      </c>
      <c r="G745" t="s">
        <v>35</v>
      </c>
      <c r="H745">
        <v>20.11</v>
      </c>
      <c r="I745" t="s">
        <v>47</v>
      </c>
      <c r="J745">
        <v>19</v>
      </c>
      <c r="K745">
        <v>149</v>
      </c>
      <c r="L745">
        <v>94.96</v>
      </c>
      <c r="M745">
        <v>10.08</v>
      </c>
      <c r="N745">
        <v>11.68</v>
      </c>
      <c r="O745">
        <v>5.84</v>
      </c>
      <c r="P745">
        <v>370.6</v>
      </c>
      <c r="Q745">
        <v>226</v>
      </c>
      <c r="R745">
        <v>1</v>
      </c>
      <c r="S745">
        <v>160</v>
      </c>
    </row>
    <row r="746" spans="1:19" x14ac:dyDescent="0.3">
      <c r="A746">
        <v>745</v>
      </c>
      <c r="B746" t="s">
        <v>477</v>
      </c>
      <c r="C746">
        <v>2021</v>
      </c>
      <c r="D746" t="s">
        <v>226</v>
      </c>
      <c r="E746">
        <v>10</v>
      </c>
      <c r="F746" t="s">
        <v>37</v>
      </c>
      <c r="G746" t="s">
        <v>42</v>
      </c>
      <c r="H746">
        <v>45.58</v>
      </c>
      <c r="I746" t="s">
        <v>27</v>
      </c>
      <c r="J746">
        <v>17</v>
      </c>
      <c r="K746">
        <v>441</v>
      </c>
      <c r="L746">
        <v>84.26</v>
      </c>
      <c r="M746">
        <v>28.25</v>
      </c>
      <c r="N746">
        <v>12.56</v>
      </c>
      <c r="O746">
        <v>13.24</v>
      </c>
      <c r="P746">
        <v>517.19000000000005</v>
      </c>
      <c r="Q746">
        <v>680</v>
      </c>
      <c r="R746">
        <v>1</v>
      </c>
      <c r="S746">
        <v>237</v>
      </c>
    </row>
    <row r="747" spans="1:19" x14ac:dyDescent="0.3">
      <c r="A747">
        <v>746</v>
      </c>
      <c r="B747" t="s">
        <v>485</v>
      </c>
      <c r="C747">
        <v>2021</v>
      </c>
      <c r="D747" t="s">
        <v>226</v>
      </c>
      <c r="E747">
        <v>10</v>
      </c>
      <c r="F747" t="s">
        <v>53</v>
      </c>
      <c r="G747" t="s">
        <v>22</v>
      </c>
      <c r="H747">
        <v>24.48</v>
      </c>
      <c r="I747" t="s">
        <v>27</v>
      </c>
      <c r="J747">
        <v>32</v>
      </c>
      <c r="K747">
        <v>432</v>
      </c>
      <c r="L747">
        <v>78.52</v>
      </c>
      <c r="M747">
        <v>15.5</v>
      </c>
      <c r="N747">
        <v>8.74</v>
      </c>
      <c r="O747">
        <v>6.36</v>
      </c>
      <c r="P747">
        <v>100.78</v>
      </c>
      <c r="Q747">
        <v>820</v>
      </c>
      <c r="R747">
        <v>5</v>
      </c>
      <c r="S747">
        <v>182</v>
      </c>
    </row>
    <row r="748" spans="1:19" x14ac:dyDescent="0.3">
      <c r="A748">
        <v>747</v>
      </c>
      <c r="B748" t="s">
        <v>482</v>
      </c>
      <c r="C748">
        <v>2021</v>
      </c>
      <c r="D748" t="s">
        <v>226</v>
      </c>
      <c r="E748">
        <v>10</v>
      </c>
      <c r="F748" t="s">
        <v>37</v>
      </c>
      <c r="G748" t="s">
        <v>35</v>
      </c>
      <c r="H748">
        <v>34.119999999999997</v>
      </c>
      <c r="I748" t="s">
        <v>32</v>
      </c>
      <c r="J748">
        <v>49</v>
      </c>
      <c r="K748">
        <v>251</v>
      </c>
      <c r="L748">
        <v>78.739999999999995</v>
      </c>
      <c r="M748">
        <v>12.93</v>
      </c>
      <c r="N748">
        <v>16.72</v>
      </c>
      <c r="O748">
        <v>13.94</v>
      </c>
      <c r="P748">
        <v>476.13</v>
      </c>
      <c r="Q748">
        <v>735</v>
      </c>
      <c r="R748">
        <v>3</v>
      </c>
      <c r="S748">
        <v>222</v>
      </c>
    </row>
    <row r="749" spans="1:19" x14ac:dyDescent="0.3">
      <c r="A749">
        <v>748</v>
      </c>
      <c r="B749" t="s">
        <v>486</v>
      </c>
      <c r="C749">
        <v>2021</v>
      </c>
      <c r="D749" t="s">
        <v>226</v>
      </c>
      <c r="E749">
        <v>10</v>
      </c>
      <c r="F749" t="s">
        <v>37</v>
      </c>
      <c r="G749" t="s">
        <v>40</v>
      </c>
      <c r="H749">
        <v>28.71</v>
      </c>
      <c r="I749" t="s">
        <v>38</v>
      </c>
      <c r="J749">
        <v>1</v>
      </c>
      <c r="K749">
        <v>583</v>
      </c>
      <c r="L749">
        <v>91.54</v>
      </c>
      <c r="M749">
        <v>30.9</v>
      </c>
      <c r="N749">
        <v>2.4900000000000002</v>
      </c>
      <c r="O749">
        <v>11.7</v>
      </c>
      <c r="P749">
        <v>280.33</v>
      </c>
      <c r="Q749">
        <v>300</v>
      </c>
      <c r="R749">
        <v>4</v>
      </c>
      <c r="S749">
        <v>177</v>
      </c>
    </row>
    <row r="750" spans="1:19" x14ac:dyDescent="0.3">
      <c r="A750">
        <v>749</v>
      </c>
      <c r="B750" t="s">
        <v>487</v>
      </c>
      <c r="C750">
        <v>2021</v>
      </c>
      <c r="D750" t="s">
        <v>226</v>
      </c>
      <c r="E750">
        <v>11</v>
      </c>
      <c r="F750" t="s">
        <v>21</v>
      </c>
      <c r="G750" t="s">
        <v>42</v>
      </c>
      <c r="H750">
        <v>52.93</v>
      </c>
      <c r="I750" t="s">
        <v>32</v>
      </c>
      <c r="J750">
        <v>20</v>
      </c>
      <c r="K750">
        <v>494</v>
      </c>
      <c r="L750">
        <v>90.34</v>
      </c>
      <c r="M750">
        <v>6.95</v>
      </c>
      <c r="N750">
        <v>13.01</v>
      </c>
      <c r="O750">
        <v>10.06</v>
      </c>
      <c r="P750">
        <v>167.71</v>
      </c>
      <c r="Q750">
        <v>647</v>
      </c>
      <c r="R750">
        <v>4</v>
      </c>
      <c r="S750">
        <v>150</v>
      </c>
    </row>
    <row r="751" spans="1:19" x14ac:dyDescent="0.3">
      <c r="A751">
        <v>750</v>
      </c>
      <c r="B751" t="s">
        <v>488</v>
      </c>
      <c r="C751">
        <v>2021</v>
      </c>
      <c r="D751" t="s">
        <v>226</v>
      </c>
      <c r="E751">
        <v>11</v>
      </c>
      <c r="F751" t="s">
        <v>37</v>
      </c>
      <c r="G751" t="s">
        <v>26</v>
      </c>
      <c r="H751">
        <v>31.45</v>
      </c>
      <c r="I751" t="s">
        <v>32</v>
      </c>
      <c r="J751">
        <v>19</v>
      </c>
      <c r="K751">
        <v>389</v>
      </c>
      <c r="L751">
        <v>82.71</v>
      </c>
      <c r="M751">
        <v>31.53</v>
      </c>
      <c r="N751">
        <v>12.14</v>
      </c>
      <c r="O751">
        <v>2.91</v>
      </c>
      <c r="P751">
        <v>163.82</v>
      </c>
      <c r="Q751">
        <v>478</v>
      </c>
      <c r="R751">
        <v>2</v>
      </c>
      <c r="S751">
        <v>177</v>
      </c>
    </row>
    <row r="752" spans="1:19" x14ac:dyDescent="0.3">
      <c r="A752">
        <v>751</v>
      </c>
      <c r="B752" t="s">
        <v>489</v>
      </c>
      <c r="C752">
        <v>2021</v>
      </c>
      <c r="D752" t="s">
        <v>226</v>
      </c>
      <c r="E752">
        <v>11</v>
      </c>
      <c r="F752" t="s">
        <v>37</v>
      </c>
      <c r="G752" t="s">
        <v>35</v>
      </c>
      <c r="H752">
        <v>15.97</v>
      </c>
      <c r="I752" t="s">
        <v>47</v>
      </c>
      <c r="J752">
        <v>21</v>
      </c>
      <c r="K752">
        <v>496</v>
      </c>
      <c r="L752">
        <v>79.3</v>
      </c>
      <c r="M752">
        <v>25.95</v>
      </c>
      <c r="N752">
        <v>16.64</v>
      </c>
      <c r="O752">
        <v>3.59</v>
      </c>
      <c r="P752">
        <v>265.62</v>
      </c>
      <c r="Q752">
        <v>447</v>
      </c>
      <c r="R752">
        <v>1</v>
      </c>
      <c r="S752">
        <v>239</v>
      </c>
    </row>
    <row r="753" spans="1:19" x14ac:dyDescent="0.3">
      <c r="A753">
        <v>752</v>
      </c>
      <c r="B753" t="s">
        <v>488</v>
      </c>
      <c r="C753">
        <v>2021</v>
      </c>
      <c r="D753" t="s">
        <v>226</v>
      </c>
      <c r="E753">
        <v>11</v>
      </c>
      <c r="F753" t="s">
        <v>29</v>
      </c>
      <c r="G753" t="s">
        <v>42</v>
      </c>
      <c r="H753">
        <v>30.15</v>
      </c>
      <c r="I753" t="s">
        <v>27</v>
      </c>
      <c r="J753">
        <v>39</v>
      </c>
      <c r="K753">
        <v>595</v>
      </c>
      <c r="L753">
        <v>86.03</v>
      </c>
      <c r="M753">
        <v>10.32</v>
      </c>
      <c r="N753">
        <v>17.510000000000002</v>
      </c>
      <c r="O753">
        <v>8.06</v>
      </c>
      <c r="P753">
        <v>402.3</v>
      </c>
      <c r="Q753">
        <v>639</v>
      </c>
      <c r="R753">
        <v>5</v>
      </c>
      <c r="S753">
        <v>192</v>
      </c>
    </row>
    <row r="754" spans="1:19" x14ac:dyDescent="0.3">
      <c r="A754">
        <v>753</v>
      </c>
      <c r="B754" t="s">
        <v>490</v>
      </c>
      <c r="C754">
        <v>2021</v>
      </c>
      <c r="D754" t="s">
        <v>226</v>
      </c>
      <c r="E754">
        <v>11</v>
      </c>
      <c r="F754" t="s">
        <v>37</v>
      </c>
      <c r="G754" t="s">
        <v>35</v>
      </c>
      <c r="H754">
        <v>13.08</v>
      </c>
      <c r="I754" t="s">
        <v>38</v>
      </c>
      <c r="J754">
        <v>18</v>
      </c>
      <c r="K754">
        <v>229</v>
      </c>
      <c r="L754">
        <v>93.25</v>
      </c>
      <c r="M754">
        <v>26.56</v>
      </c>
      <c r="N754">
        <v>6.34</v>
      </c>
      <c r="O754">
        <v>8.0500000000000007</v>
      </c>
      <c r="P754">
        <v>178.6</v>
      </c>
      <c r="Q754">
        <v>937</v>
      </c>
      <c r="R754">
        <v>1</v>
      </c>
      <c r="S754">
        <v>212</v>
      </c>
    </row>
    <row r="755" spans="1:19" x14ac:dyDescent="0.3">
      <c r="A755">
        <v>754</v>
      </c>
      <c r="B755" t="s">
        <v>491</v>
      </c>
      <c r="C755">
        <v>2021</v>
      </c>
      <c r="D755" t="s">
        <v>226</v>
      </c>
      <c r="E755">
        <v>11</v>
      </c>
      <c r="F755" t="s">
        <v>25</v>
      </c>
      <c r="G755" t="s">
        <v>22</v>
      </c>
      <c r="H755">
        <v>46.13</v>
      </c>
      <c r="I755" t="s">
        <v>27</v>
      </c>
      <c r="J755">
        <v>29</v>
      </c>
      <c r="K755">
        <v>205</v>
      </c>
      <c r="L755">
        <v>90.12</v>
      </c>
      <c r="M755">
        <v>15.92</v>
      </c>
      <c r="N755">
        <v>5.0599999999999996</v>
      </c>
      <c r="O755">
        <v>1.91</v>
      </c>
      <c r="P755">
        <v>155.09</v>
      </c>
      <c r="Q755">
        <v>295</v>
      </c>
      <c r="R755">
        <v>1</v>
      </c>
      <c r="S755">
        <v>93</v>
      </c>
    </row>
    <row r="756" spans="1:19" x14ac:dyDescent="0.3">
      <c r="A756">
        <v>755</v>
      </c>
      <c r="B756" t="s">
        <v>492</v>
      </c>
      <c r="C756">
        <v>2021</v>
      </c>
      <c r="D756" t="s">
        <v>226</v>
      </c>
      <c r="E756">
        <v>11</v>
      </c>
      <c r="F756" t="s">
        <v>62</v>
      </c>
      <c r="G756" t="s">
        <v>35</v>
      </c>
      <c r="H756">
        <v>18.73</v>
      </c>
      <c r="I756" t="s">
        <v>38</v>
      </c>
      <c r="J756">
        <v>47</v>
      </c>
      <c r="K756">
        <v>298</v>
      </c>
      <c r="L756">
        <v>76.260000000000005</v>
      </c>
      <c r="M756">
        <v>16.66</v>
      </c>
      <c r="N756">
        <v>21.8</v>
      </c>
      <c r="O756">
        <v>12.39</v>
      </c>
      <c r="P756">
        <v>118.06</v>
      </c>
      <c r="Q756">
        <v>420</v>
      </c>
      <c r="R756">
        <v>2</v>
      </c>
      <c r="S756">
        <v>77</v>
      </c>
    </row>
    <row r="757" spans="1:19" x14ac:dyDescent="0.3">
      <c r="A757">
        <v>756</v>
      </c>
      <c r="B757" t="s">
        <v>489</v>
      </c>
      <c r="C757">
        <v>2021</v>
      </c>
      <c r="D757" t="s">
        <v>226</v>
      </c>
      <c r="E757">
        <v>11</v>
      </c>
      <c r="F757" t="s">
        <v>34</v>
      </c>
      <c r="G757" t="s">
        <v>40</v>
      </c>
      <c r="H757">
        <v>10.72</v>
      </c>
      <c r="I757" t="s">
        <v>23</v>
      </c>
      <c r="J757">
        <v>3</v>
      </c>
      <c r="K757">
        <v>335</v>
      </c>
      <c r="L757">
        <v>76.489999999999995</v>
      </c>
      <c r="M757">
        <v>18.14</v>
      </c>
      <c r="N757">
        <v>7.53</v>
      </c>
      <c r="O757">
        <v>14.96</v>
      </c>
      <c r="P757">
        <v>494.88</v>
      </c>
      <c r="Q757">
        <v>310</v>
      </c>
      <c r="R757">
        <v>3</v>
      </c>
      <c r="S757">
        <v>242</v>
      </c>
    </row>
    <row r="758" spans="1:19" x14ac:dyDescent="0.3">
      <c r="A758">
        <v>757</v>
      </c>
      <c r="B758" t="s">
        <v>493</v>
      </c>
      <c r="C758">
        <v>2021</v>
      </c>
      <c r="D758" t="s">
        <v>226</v>
      </c>
      <c r="E758">
        <v>11</v>
      </c>
      <c r="F758" t="s">
        <v>21</v>
      </c>
      <c r="G758" t="s">
        <v>35</v>
      </c>
      <c r="H758">
        <v>32.42</v>
      </c>
      <c r="I758" t="s">
        <v>27</v>
      </c>
      <c r="J758">
        <v>12</v>
      </c>
      <c r="K758">
        <v>343</v>
      </c>
      <c r="L758">
        <v>90.93</v>
      </c>
      <c r="M758">
        <v>30.05</v>
      </c>
      <c r="N758">
        <v>15.95</v>
      </c>
      <c r="O758">
        <v>12.73</v>
      </c>
      <c r="P758">
        <v>103.58</v>
      </c>
      <c r="Q758">
        <v>257</v>
      </c>
      <c r="R758">
        <v>1</v>
      </c>
      <c r="S758">
        <v>216</v>
      </c>
    </row>
    <row r="759" spans="1:19" x14ac:dyDescent="0.3">
      <c r="A759">
        <v>758</v>
      </c>
      <c r="B759" t="s">
        <v>494</v>
      </c>
      <c r="C759">
        <v>2021</v>
      </c>
      <c r="D759" t="s">
        <v>226</v>
      </c>
      <c r="E759">
        <v>11</v>
      </c>
      <c r="F759" t="s">
        <v>29</v>
      </c>
      <c r="G759" t="s">
        <v>35</v>
      </c>
      <c r="H759">
        <v>12.07</v>
      </c>
      <c r="I759" t="s">
        <v>23</v>
      </c>
      <c r="J759">
        <v>27</v>
      </c>
      <c r="K759">
        <v>150</v>
      </c>
      <c r="L759">
        <v>79.56</v>
      </c>
      <c r="M759">
        <v>9.65</v>
      </c>
      <c r="N759">
        <v>15.84</v>
      </c>
      <c r="O759">
        <v>3.74</v>
      </c>
      <c r="P759">
        <v>261.81</v>
      </c>
      <c r="Q759">
        <v>230</v>
      </c>
      <c r="R759">
        <v>1</v>
      </c>
      <c r="S759">
        <v>95</v>
      </c>
    </row>
    <row r="760" spans="1:19" x14ac:dyDescent="0.3">
      <c r="A760">
        <v>759</v>
      </c>
      <c r="B760" t="s">
        <v>491</v>
      </c>
      <c r="C760">
        <v>2021</v>
      </c>
      <c r="D760" t="s">
        <v>226</v>
      </c>
      <c r="E760">
        <v>11</v>
      </c>
      <c r="F760" t="s">
        <v>31</v>
      </c>
      <c r="G760" t="s">
        <v>42</v>
      </c>
      <c r="H760">
        <v>38.47</v>
      </c>
      <c r="I760" t="s">
        <v>32</v>
      </c>
      <c r="J760">
        <v>42</v>
      </c>
      <c r="K760">
        <v>571</v>
      </c>
      <c r="L760">
        <v>77.95</v>
      </c>
      <c r="M760">
        <v>18.03</v>
      </c>
      <c r="N760">
        <v>6.01</v>
      </c>
      <c r="O760">
        <v>1.1499999999999999</v>
      </c>
      <c r="P760">
        <v>419.65</v>
      </c>
      <c r="Q760">
        <v>670</v>
      </c>
      <c r="R760">
        <v>4</v>
      </c>
      <c r="S760">
        <v>193</v>
      </c>
    </row>
    <row r="761" spans="1:19" x14ac:dyDescent="0.3">
      <c r="A761">
        <v>760</v>
      </c>
      <c r="B761" t="s">
        <v>495</v>
      </c>
      <c r="C761">
        <v>2021</v>
      </c>
      <c r="D761" t="s">
        <v>226</v>
      </c>
      <c r="E761">
        <v>11</v>
      </c>
      <c r="F761" t="s">
        <v>62</v>
      </c>
      <c r="G761" t="s">
        <v>22</v>
      </c>
      <c r="H761">
        <v>34.729999999999997</v>
      </c>
      <c r="I761" t="s">
        <v>47</v>
      </c>
      <c r="J761">
        <v>48</v>
      </c>
      <c r="K761">
        <v>568</v>
      </c>
      <c r="L761">
        <v>76.77</v>
      </c>
      <c r="M761">
        <v>12.25</v>
      </c>
      <c r="N761">
        <v>17.399999999999999</v>
      </c>
      <c r="O761">
        <v>15.98</v>
      </c>
      <c r="P761">
        <v>420.81</v>
      </c>
      <c r="Q761">
        <v>584</v>
      </c>
      <c r="R761">
        <v>4</v>
      </c>
      <c r="S761">
        <v>226</v>
      </c>
    </row>
    <row r="762" spans="1:19" x14ac:dyDescent="0.3">
      <c r="A762">
        <v>761</v>
      </c>
      <c r="B762" t="s">
        <v>496</v>
      </c>
      <c r="C762">
        <v>2021</v>
      </c>
      <c r="D762" t="s">
        <v>226</v>
      </c>
      <c r="E762">
        <v>11</v>
      </c>
      <c r="F762" t="s">
        <v>34</v>
      </c>
      <c r="G762" t="s">
        <v>35</v>
      </c>
      <c r="H762">
        <v>21.56</v>
      </c>
      <c r="I762" t="s">
        <v>32</v>
      </c>
      <c r="J762">
        <v>24</v>
      </c>
      <c r="K762">
        <v>393</v>
      </c>
      <c r="L762">
        <v>83.66</v>
      </c>
      <c r="M762">
        <v>28.1</v>
      </c>
      <c r="N762">
        <v>20.170000000000002</v>
      </c>
      <c r="O762">
        <v>13.67</v>
      </c>
      <c r="P762">
        <v>461.82</v>
      </c>
      <c r="Q762">
        <v>234</v>
      </c>
      <c r="R762">
        <v>4</v>
      </c>
      <c r="S762">
        <v>136</v>
      </c>
    </row>
    <row r="763" spans="1:19" x14ac:dyDescent="0.3">
      <c r="A763">
        <v>762</v>
      </c>
      <c r="B763" t="s">
        <v>497</v>
      </c>
      <c r="C763">
        <v>2021</v>
      </c>
      <c r="D763" t="s">
        <v>226</v>
      </c>
      <c r="E763">
        <v>11</v>
      </c>
      <c r="F763" t="s">
        <v>62</v>
      </c>
      <c r="G763" t="s">
        <v>26</v>
      </c>
      <c r="H763">
        <v>12.18</v>
      </c>
      <c r="I763" t="s">
        <v>23</v>
      </c>
      <c r="J763">
        <v>3</v>
      </c>
      <c r="K763">
        <v>561</v>
      </c>
      <c r="L763">
        <v>78.52</v>
      </c>
      <c r="M763">
        <v>6.14</v>
      </c>
      <c r="N763">
        <v>20.64</v>
      </c>
      <c r="O763">
        <v>11.89</v>
      </c>
      <c r="P763">
        <v>315.99</v>
      </c>
      <c r="Q763">
        <v>219</v>
      </c>
      <c r="R763">
        <v>2</v>
      </c>
      <c r="S763">
        <v>127</v>
      </c>
    </row>
    <row r="764" spans="1:19" x14ac:dyDescent="0.3">
      <c r="A764">
        <v>763</v>
      </c>
      <c r="B764" t="s">
        <v>498</v>
      </c>
      <c r="C764">
        <v>2021</v>
      </c>
      <c r="D764" t="s">
        <v>226</v>
      </c>
      <c r="E764">
        <v>11</v>
      </c>
      <c r="F764" t="s">
        <v>37</v>
      </c>
      <c r="G764" t="s">
        <v>26</v>
      </c>
      <c r="H764">
        <v>27.55</v>
      </c>
      <c r="I764" t="s">
        <v>38</v>
      </c>
      <c r="J764">
        <v>34</v>
      </c>
      <c r="K764">
        <v>433</v>
      </c>
      <c r="L764">
        <v>79.67</v>
      </c>
      <c r="M764">
        <v>15.89</v>
      </c>
      <c r="N764">
        <v>20.43</v>
      </c>
      <c r="O764">
        <v>14.24</v>
      </c>
      <c r="P764">
        <v>191.7</v>
      </c>
      <c r="Q764">
        <v>869</v>
      </c>
      <c r="R764">
        <v>2</v>
      </c>
      <c r="S764">
        <v>221</v>
      </c>
    </row>
    <row r="765" spans="1:19" x14ac:dyDescent="0.3">
      <c r="A765">
        <v>764</v>
      </c>
      <c r="B765" t="s">
        <v>499</v>
      </c>
      <c r="C765">
        <v>2021</v>
      </c>
      <c r="D765" t="s">
        <v>226</v>
      </c>
      <c r="E765">
        <v>11</v>
      </c>
      <c r="F765" t="s">
        <v>25</v>
      </c>
      <c r="G765" t="s">
        <v>22</v>
      </c>
      <c r="H765">
        <v>40.08</v>
      </c>
      <c r="I765" t="s">
        <v>23</v>
      </c>
      <c r="J765">
        <v>47</v>
      </c>
      <c r="K765">
        <v>128</v>
      </c>
      <c r="L765">
        <v>81.78</v>
      </c>
      <c r="M765">
        <v>18.62</v>
      </c>
      <c r="N765">
        <v>5.73</v>
      </c>
      <c r="O765">
        <v>13.58</v>
      </c>
      <c r="P765">
        <v>142.99</v>
      </c>
      <c r="Q765">
        <v>889</v>
      </c>
      <c r="R765">
        <v>3</v>
      </c>
      <c r="S765">
        <v>128</v>
      </c>
    </row>
    <row r="766" spans="1:19" x14ac:dyDescent="0.3">
      <c r="A766">
        <v>765</v>
      </c>
      <c r="B766" t="s">
        <v>493</v>
      </c>
      <c r="C766">
        <v>2021</v>
      </c>
      <c r="D766" t="s">
        <v>226</v>
      </c>
      <c r="E766">
        <v>11</v>
      </c>
      <c r="F766" t="s">
        <v>62</v>
      </c>
      <c r="G766" t="s">
        <v>35</v>
      </c>
      <c r="H766">
        <v>22.41</v>
      </c>
      <c r="I766" t="s">
        <v>47</v>
      </c>
      <c r="J766">
        <v>38</v>
      </c>
      <c r="K766">
        <v>176</v>
      </c>
      <c r="L766">
        <v>87.62</v>
      </c>
      <c r="M766">
        <v>31.13</v>
      </c>
      <c r="N766">
        <v>17.36</v>
      </c>
      <c r="O766">
        <v>15.76</v>
      </c>
      <c r="P766">
        <v>409.52</v>
      </c>
      <c r="Q766">
        <v>511</v>
      </c>
      <c r="R766">
        <v>2</v>
      </c>
      <c r="S766">
        <v>86</v>
      </c>
    </row>
    <row r="767" spans="1:19" x14ac:dyDescent="0.3">
      <c r="A767">
        <v>766</v>
      </c>
      <c r="B767" t="s">
        <v>500</v>
      </c>
      <c r="C767">
        <v>2021</v>
      </c>
      <c r="D767" t="s">
        <v>226</v>
      </c>
      <c r="E767">
        <v>11</v>
      </c>
      <c r="F767" t="s">
        <v>62</v>
      </c>
      <c r="G767" t="s">
        <v>22</v>
      </c>
      <c r="H767">
        <v>50.83</v>
      </c>
      <c r="I767" t="s">
        <v>38</v>
      </c>
      <c r="J767">
        <v>26</v>
      </c>
      <c r="K767">
        <v>443</v>
      </c>
      <c r="L767">
        <v>82.41</v>
      </c>
      <c r="M767">
        <v>28.13</v>
      </c>
      <c r="N767">
        <v>7.15</v>
      </c>
      <c r="O767">
        <v>6.56</v>
      </c>
      <c r="P767">
        <v>476.94</v>
      </c>
      <c r="Q767">
        <v>1023</v>
      </c>
      <c r="R767">
        <v>3</v>
      </c>
      <c r="S767">
        <v>100</v>
      </c>
    </row>
    <row r="768" spans="1:19" x14ac:dyDescent="0.3">
      <c r="A768">
        <v>767</v>
      </c>
      <c r="B768" t="s">
        <v>501</v>
      </c>
      <c r="C768">
        <v>2021</v>
      </c>
      <c r="D768" t="s">
        <v>226</v>
      </c>
      <c r="E768">
        <v>11</v>
      </c>
      <c r="F768" t="s">
        <v>34</v>
      </c>
      <c r="G768" t="s">
        <v>22</v>
      </c>
      <c r="H768">
        <v>6.19</v>
      </c>
      <c r="I768" t="s">
        <v>32</v>
      </c>
      <c r="J768">
        <v>20</v>
      </c>
      <c r="K768">
        <v>159</v>
      </c>
      <c r="L768">
        <v>90.05</v>
      </c>
      <c r="M768">
        <v>15.29</v>
      </c>
      <c r="N768">
        <v>14.81</v>
      </c>
      <c r="O768">
        <v>5.58</v>
      </c>
      <c r="P768">
        <v>553.9</v>
      </c>
      <c r="Q768">
        <v>467</v>
      </c>
      <c r="R768">
        <v>3</v>
      </c>
      <c r="S768">
        <v>68</v>
      </c>
    </row>
    <row r="769" spans="1:19" x14ac:dyDescent="0.3">
      <c r="A769">
        <v>768</v>
      </c>
      <c r="B769" t="s">
        <v>502</v>
      </c>
      <c r="C769">
        <v>2021</v>
      </c>
      <c r="D769" t="s">
        <v>226</v>
      </c>
      <c r="E769">
        <v>11</v>
      </c>
      <c r="F769" t="s">
        <v>25</v>
      </c>
      <c r="G769" t="s">
        <v>26</v>
      </c>
      <c r="H769">
        <v>37.72</v>
      </c>
      <c r="I769" t="s">
        <v>47</v>
      </c>
      <c r="J769">
        <v>8</v>
      </c>
      <c r="K769">
        <v>535</v>
      </c>
      <c r="L769">
        <v>88.64</v>
      </c>
      <c r="M769">
        <v>18.59</v>
      </c>
      <c r="N769">
        <v>7.36</v>
      </c>
      <c r="O769">
        <v>3.9</v>
      </c>
      <c r="P769">
        <v>441.31</v>
      </c>
      <c r="Q769">
        <v>1040</v>
      </c>
      <c r="R769">
        <v>1</v>
      </c>
      <c r="S769">
        <v>104</v>
      </c>
    </row>
    <row r="770" spans="1:19" x14ac:dyDescent="0.3">
      <c r="A770">
        <v>769</v>
      </c>
      <c r="B770" t="s">
        <v>496</v>
      </c>
      <c r="C770">
        <v>2021</v>
      </c>
      <c r="D770" t="s">
        <v>226</v>
      </c>
      <c r="E770">
        <v>11</v>
      </c>
      <c r="F770" t="s">
        <v>34</v>
      </c>
      <c r="G770" t="s">
        <v>22</v>
      </c>
      <c r="H770">
        <v>47.87</v>
      </c>
      <c r="I770" t="s">
        <v>27</v>
      </c>
      <c r="J770">
        <v>25</v>
      </c>
      <c r="K770">
        <v>266</v>
      </c>
      <c r="L770">
        <v>81.53</v>
      </c>
      <c r="M770">
        <v>24.37</v>
      </c>
      <c r="N770">
        <v>4.3600000000000003</v>
      </c>
      <c r="O770">
        <v>11.85</v>
      </c>
      <c r="P770">
        <v>111.23</v>
      </c>
      <c r="Q770">
        <v>292</v>
      </c>
      <c r="R770">
        <v>2</v>
      </c>
      <c r="S770">
        <v>90</v>
      </c>
    </row>
    <row r="771" spans="1:19" x14ac:dyDescent="0.3">
      <c r="A771">
        <v>770</v>
      </c>
      <c r="B771" t="s">
        <v>501</v>
      </c>
      <c r="C771">
        <v>2021</v>
      </c>
      <c r="D771" t="s">
        <v>226</v>
      </c>
      <c r="E771">
        <v>11</v>
      </c>
      <c r="F771" t="s">
        <v>37</v>
      </c>
      <c r="G771" t="s">
        <v>42</v>
      </c>
      <c r="H771">
        <v>51.53</v>
      </c>
      <c r="I771" t="s">
        <v>47</v>
      </c>
      <c r="J771">
        <v>27</v>
      </c>
      <c r="K771">
        <v>577</v>
      </c>
      <c r="L771">
        <v>84.84</v>
      </c>
      <c r="M771">
        <v>16.63</v>
      </c>
      <c r="N771">
        <v>9.19</v>
      </c>
      <c r="O771">
        <v>12.95</v>
      </c>
      <c r="P771">
        <v>193.5</v>
      </c>
      <c r="Q771">
        <v>413</v>
      </c>
      <c r="R771">
        <v>5</v>
      </c>
      <c r="S771">
        <v>170</v>
      </c>
    </row>
    <row r="772" spans="1:19" x14ac:dyDescent="0.3">
      <c r="A772">
        <v>771</v>
      </c>
      <c r="B772" t="s">
        <v>494</v>
      </c>
      <c r="C772">
        <v>2021</v>
      </c>
      <c r="D772" t="s">
        <v>226</v>
      </c>
      <c r="E772">
        <v>11</v>
      </c>
      <c r="F772" t="s">
        <v>62</v>
      </c>
      <c r="G772" t="s">
        <v>22</v>
      </c>
      <c r="H772">
        <v>26.76</v>
      </c>
      <c r="I772" t="s">
        <v>38</v>
      </c>
      <c r="J772">
        <v>35</v>
      </c>
      <c r="K772">
        <v>555</v>
      </c>
      <c r="L772">
        <v>87.45</v>
      </c>
      <c r="M772">
        <v>27.59</v>
      </c>
      <c r="N772">
        <v>20.02</v>
      </c>
      <c r="O772">
        <v>6.11</v>
      </c>
      <c r="P772">
        <v>122.39</v>
      </c>
      <c r="Q772">
        <v>434</v>
      </c>
      <c r="R772">
        <v>3</v>
      </c>
      <c r="S772">
        <v>208</v>
      </c>
    </row>
    <row r="773" spans="1:19" x14ac:dyDescent="0.3">
      <c r="A773">
        <v>772</v>
      </c>
      <c r="B773" t="s">
        <v>491</v>
      </c>
      <c r="C773">
        <v>2021</v>
      </c>
      <c r="D773" t="s">
        <v>226</v>
      </c>
      <c r="E773">
        <v>11</v>
      </c>
      <c r="F773" t="s">
        <v>21</v>
      </c>
      <c r="G773" t="s">
        <v>35</v>
      </c>
      <c r="H773">
        <v>21.74</v>
      </c>
      <c r="I773" t="s">
        <v>32</v>
      </c>
      <c r="J773">
        <v>39</v>
      </c>
      <c r="K773">
        <v>269</v>
      </c>
      <c r="L773">
        <v>86.35</v>
      </c>
      <c r="M773">
        <v>27.85</v>
      </c>
      <c r="N773">
        <v>16.78</v>
      </c>
      <c r="O773">
        <v>10.61</v>
      </c>
      <c r="P773">
        <v>473.38</v>
      </c>
      <c r="Q773">
        <v>435</v>
      </c>
      <c r="R773">
        <v>2</v>
      </c>
      <c r="S773">
        <v>161</v>
      </c>
    </row>
    <row r="774" spans="1:19" x14ac:dyDescent="0.3">
      <c r="A774">
        <v>773</v>
      </c>
      <c r="B774" t="s">
        <v>503</v>
      </c>
      <c r="C774">
        <v>2021</v>
      </c>
      <c r="D774" t="s">
        <v>226</v>
      </c>
      <c r="E774">
        <v>11</v>
      </c>
      <c r="F774" t="s">
        <v>21</v>
      </c>
      <c r="G774" t="s">
        <v>35</v>
      </c>
      <c r="H774">
        <v>49.1</v>
      </c>
      <c r="I774" t="s">
        <v>47</v>
      </c>
      <c r="J774">
        <v>32</v>
      </c>
      <c r="K774">
        <v>126</v>
      </c>
      <c r="L774">
        <v>79.3</v>
      </c>
      <c r="M774">
        <v>8.39</v>
      </c>
      <c r="N774">
        <v>13.65</v>
      </c>
      <c r="O774">
        <v>10.24</v>
      </c>
      <c r="P774">
        <v>178.49</v>
      </c>
      <c r="Q774">
        <v>448</v>
      </c>
      <c r="R774">
        <v>3</v>
      </c>
      <c r="S774">
        <v>144</v>
      </c>
    </row>
    <row r="775" spans="1:19" x14ac:dyDescent="0.3">
      <c r="A775">
        <v>774</v>
      </c>
      <c r="B775" t="s">
        <v>504</v>
      </c>
      <c r="C775">
        <v>2021</v>
      </c>
      <c r="D775" t="s">
        <v>226</v>
      </c>
      <c r="E775">
        <v>11</v>
      </c>
      <c r="F775" t="s">
        <v>25</v>
      </c>
      <c r="G775" t="s">
        <v>22</v>
      </c>
      <c r="H775">
        <v>26.17</v>
      </c>
      <c r="I775" t="s">
        <v>32</v>
      </c>
      <c r="J775">
        <v>8</v>
      </c>
      <c r="K775">
        <v>438</v>
      </c>
      <c r="L775">
        <v>90.71</v>
      </c>
      <c r="M775">
        <v>7.87</v>
      </c>
      <c r="N775">
        <v>18.02</v>
      </c>
      <c r="O775">
        <v>1.62</v>
      </c>
      <c r="P775">
        <v>526.29</v>
      </c>
      <c r="Q775">
        <v>1043</v>
      </c>
      <c r="R775">
        <v>3</v>
      </c>
      <c r="S775">
        <v>143</v>
      </c>
    </row>
    <row r="776" spans="1:19" x14ac:dyDescent="0.3">
      <c r="A776">
        <v>775</v>
      </c>
      <c r="B776" t="s">
        <v>502</v>
      </c>
      <c r="C776">
        <v>2021</v>
      </c>
      <c r="D776" t="s">
        <v>226</v>
      </c>
      <c r="E776">
        <v>11</v>
      </c>
      <c r="F776" t="s">
        <v>21</v>
      </c>
      <c r="G776" t="s">
        <v>42</v>
      </c>
      <c r="H776">
        <v>11.25</v>
      </c>
      <c r="I776" t="s">
        <v>32</v>
      </c>
      <c r="J776">
        <v>31</v>
      </c>
      <c r="K776">
        <v>511</v>
      </c>
      <c r="L776">
        <v>83.42</v>
      </c>
      <c r="M776">
        <v>23.59</v>
      </c>
      <c r="N776">
        <v>16.27</v>
      </c>
      <c r="O776">
        <v>8.51</v>
      </c>
      <c r="P776">
        <v>540.83000000000004</v>
      </c>
      <c r="Q776">
        <v>150</v>
      </c>
      <c r="R776">
        <v>4</v>
      </c>
      <c r="S776">
        <v>100</v>
      </c>
    </row>
    <row r="777" spans="1:19" x14ac:dyDescent="0.3">
      <c r="A777">
        <v>776</v>
      </c>
      <c r="B777" t="s">
        <v>487</v>
      </c>
      <c r="C777">
        <v>2021</v>
      </c>
      <c r="D777" t="s">
        <v>226</v>
      </c>
      <c r="E777">
        <v>11</v>
      </c>
      <c r="F777" t="s">
        <v>37</v>
      </c>
      <c r="G777" t="s">
        <v>42</v>
      </c>
      <c r="H777">
        <v>53.67</v>
      </c>
      <c r="I777" t="s">
        <v>27</v>
      </c>
      <c r="J777">
        <v>47</v>
      </c>
      <c r="K777">
        <v>287</v>
      </c>
      <c r="L777">
        <v>93.84</v>
      </c>
      <c r="M777">
        <v>16.16</v>
      </c>
      <c r="N777">
        <v>14.45</v>
      </c>
      <c r="O777">
        <v>10.36</v>
      </c>
      <c r="P777">
        <v>425.81</v>
      </c>
      <c r="Q777">
        <v>850</v>
      </c>
      <c r="R777">
        <v>5</v>
      </c>
      <c r="S777">
        <v>234</v>
      </c>
    </row>
    <row r="778" spans="1:19" x14ac:dyDescent="0.3">
      <c r="A778">
        <v>777</v>
      </c>
      <c r="B778" t="s">
        <v>489</v>
      </c>
      <c r="C778">
        <v>2021</v>
      </c>
      <c r="D778" t="s">
        <v>226</v>
      </c>
      <c r="E778">
        <v>11</v>
      </c>
      <c r="F778" t="s">
        <v>37</v>
      </c>
      <c r="G778" t="s">
        <v>35</v>
      </c>
      <c r="H778">
        <v>15.26</v>
      </c>
      <c r="I778" t="s">
        <v>38</v>
      </c>
      <c r="J778">
        <v>41</v>
      </c>
      <c r="K778">
        <v>516</v>
      </c>
      <c r="L778">
        <v>81.099999999999994</v>
      </c>
      <c r="M778">
        <v>18.690000000000001</v>
      </c>
      <c r="N778">
        <v>10.24</v>
      </c>
      <c r="O778">
        <v>13.14</v>
      </c>
      <c r="P778">
        <v>333.25</v>
      </c>
      <c r="Q778">
        <v>311</v>
      </c>
      <c r="R778">
        <v>4</v>
      </c>
      <c r="S778">
        <v>126</v>
      </c>
    </row>
    <row r="779" spans="1:19" x14ac:dyDescent="0.3">
      <c r="A779">
        <v>778</v>
      </c>
      <c r="B779" t="s">
        <v>505</v>
      </c>
      <c r="C779">
        <v>2021</v>
      </c>
      <c r="D779" t="s">
        <v>226</v>
      </c>
      <c r="E779">
        <v>11</v>
      </c>
      <c r="F779" t="s">
        <v>25</v>
      </c>
      <c r="G779" t="s">
        <v>26</v>
      </c>
      <c r="H779">
        <v>9.31</v>
      </c>
      <c r="I779" t="s">
        <v>23</v>
      </c>
      <c r="J779">
        <v>31</v>
      </c>
      <c r="K779">
        <v>286</v>
      </c>
      <c r="L779">
        <v>94.32</v>
      </c>
      <c r="M779">
        <v>32.549999999999997</v>
      </c>
      <c r="N779">
        <v>8.18</v>
      </c>
      <c r="O779">
        <v>1.84</v>
      </c>
      <c r="P779">
        <v>208.95</v>
      </c>
      <c r="Q779">
        <v>329</v>
      </c>
      <c r="R779">
        <v>1</v>
      </c>
      <c r="S779">
        <v>69</v>
      </c>
    </row>
    <row r="780" spans="1:19" x14ac:dyDescent="0.3">
      <c r="A780">
        <v>779</v>
      </c>
      <c r="B780" t="s">
        <v>494</v>
      </c>
      <c r="C780">
        <v>2021</v>
      </c>
      <c r="D780" t="s">
        <v>226</v>
      </c>
      <c r="E780">
        <v>11</v>
      </c>
      <c r="F780" t="s">
        <v>53</v>
      </c>
      <c r="G780" t="s">
        <v>35</v>
      </c>
      <c r="H780">
        <v>34.68</v>
      </c>
      <c r="I780" t="s">
        <v>27</v>
      </c>
      <c r="J780">
        <v>20</v>
      </c>
      <c r="K780">
        <v>145</v>
      </c>
      <c r="L780">
        <v>89.83</v>
      </c>
      <c r="M780">
        <v>23.67</v>
      </c>
      <c r="N780">
        <v>17.62</v>
      </c>
      <c r="O780">
        <v>5.15</v>
      </c>
      <c r="P780">
        <v>363.38</v>
      </c>
      <c r="Q780">
        <v>250</v>
      </c>
      <c r="R780">
        <v>5</v>
      </c>
      <c r="S780">
        <v>218</v>
      </c>
    </row>
    <row r="781" spans="1:19" x14ac:dyDescent="0.3">
      <c r="A781">
        <v>780</v>
      </c>
      <c r="B781" t="s">
        <v>493</v>
      </c>
      <c r="C781">
        <v>2021</v>
      </c>
      <c r="D781" t="s">
        <v>226</v>
      </c>
      <c r="E781">
        <v>11</v>
      </c>
      <c r="F781" t="s">
        <v>62</v>
      </c>
      <c r="G781" t="s">
        <v>22</v>
      </c>
      <c r="H781">
        <v>41.72</v>
      </c>
      <c r="I781" t="s">
        <v>32</v>
      </c>
      <c r="J781">
        <v>8</v>
      </c>
      <c r="K781">
        <v>193</v>
      </c>
      <c r="L781">
        <v>94.3</v>
      </c>
      <c r="M781">
        <v>11.31</v>
      </c>
      <c r="N781">
        <v>7.73</v>
      </c>
      <c r="O781">
        <v>14.06</v>
      </c>
      <c r="P781">
        <v>423.05</v>
      </c>
      <c r="Q781">
        <v>635</v>
      </c>
      <c r="R781">
        <v>1</v>
      </c>
      <c r="S781">
        <v>182</v>
      </c>
    </row>
    <row r="782" spans="1:19" x14ac:dyDescent="0.3">
      <c r="A782">
        <v>781</v>
      </c>
      <c r="B782" t="s">
        <v>506</v>
      </c>
      <c r="C782">
        <v>2021</v>
      </c>
      <c r="D782" t="s">
        <v>226</v>
      </c>
      <c r="E782">
        <v>11</v>
      </c>
      <c r="F782" t="s">
        <v>62</v>
      </c>
      <c r="G782" t="s">
        <v>42</v>
      </c>
      <c r="H782">
        <v>13.6</v>
      </c>
      <c r="I782" t="s">
        <v>23</v>
      </c>
      <c r="J782">
        <v>29</v>
      </c>
      <c r="K782">
        <v>103</v>
      </c>
      <c r="L782">
        <v>81.17</v>
      </c>
      <c r="M782">
        <v>21.99</v>
      </c>
      <c r="N782">
        <v>20.73</v>
      </c>
      <c r="O782">
        <v>15.49</v>
      </c>
      <c r="P782">
        <v>103.19</v>
      </c>
      <c r="Q782">
        <v>684</v>
      </c>
      <c r="R782">
        <v>5</v>
      </c>
      <c r="S782">
        <v>129</v>
      </c>
    </row>
    <row r="783" spans="1:19" x14ac:dyDescent="0.3">
      <c r="A783">
        <v>782</v>
      </c>
      <c r="B783" t="s">
        <v>491</v>
      </c>
      <c r="C783">
        <v>2021</v>
      </c>
      <c r="D783" t="s">
        <v>226</v>
      </c>
      <c r="E783">
        <v>11</v>
      </c>
      <c r="F783" t="s">
        <v>53</v>
      </c>
      <c r="G783" t="s">
        <v>35</v>
      </c>
      <c r="H783">
        <v>7.04</v>
      </c>
      <c r="I783" t="s">
        <v>47</v>
      </c>
      <c r="J783">
        <v>39</v>
      </c>
      <c r="K783">
        <v>235</v>
      </c>
      <c r="L783">
        <v>83.45</v>
      </c>
      <c r="M783">
        <v>14.84</v>
      </c>
      <c r="N783">
        <v>13.48</v>
      </c>
      <c r="O783">
        <v>2.74</v>
      </c>
      <c r="P783">
        <v>139.07</v>
      </c>
      <c r="Q783">
        <v>665</v>
      </c>
      <c r="R783">
        <v>2</v>
      </c>
      <c r="S783">
        <v>82</v>
      </c>
    </row>
    <row r="784" spans="1:19" x14ac:dyDescent="0.3">
      <c r="A784">
        <v>783</v>
      </c>
      <c r="B784" t="s">
        <v>507</v>
      </c>
      <c r="C784">
        <v>2021</v>
      </c>
      <c r="D784" t="s">
        <v>226</v>
      </c>
      <c r="E784">
        <v>12</v>
      </c>
      <c r="F784" t="s">
        <v>34</v>
      </c>
      <c r="G784" t="s">
        <v>35</v>
      </c>
      <c r="H784">
        <v>16.5</v>
      </c>
      <c r="I784" t="s">
        <v>23</v>
      </c>
      <c r="J784">
        <v>31</v>
      </c>
      <c r="K784">
        <v>103</v>
      </c>
      <c r="L784">
        <v>87.55</v>
      </c>
      <c r="M784">
        <v>33.01</v>
      </c>
      <c r="N784">
        <v>7.27</v>
      </c>
      <c r="O784">
        <v>5.99</v>
      </c>
      <c r="P784">
        <v>288.82</v>
      </c>
      <c r="Q784">
        <v>734</v>
      </c>
      <c r="R784">
        <v>5</v>
      </c>
      <c r="S784">
        <v>143</v>
      </c>
    </row>
    <row r="785" spans="1:19" x14ac:dyDescent="0.3">
      <c r="A785">
        <v>784</v>
      </c>
      <c r="B785" t="s">
        <v>508</v>
      </c>
      <c r="C785">
        <v>2021</v>
      </c>
      <c r="D785" t="s">
        <v>226</v>
      </c>
      <c r="E785">
        <v>12</v>
      </c>
      <c r="F785" t="s">
        <v>31</v>
      </c>
      <c r="G785" t="s">
        <v>40</v>
      </c>
      <c r="H785">
        <v>42.5</v>
      </c>
      <c r="I785" t="s">
        <v>32</v>
      </c>
      <c r="J785">
        <v>18</v>
      </c>
      <c r="K785">
        <v>166</v>
      </c>
      <c r="L785">
        <v>82.03</v>
      </c>
      <c r="M785">
        <v>32.32</v>
      </c>
      <c r="N785">
        <v>8.49</v>
      </c>
      <c r="O785">
        <v>8.35</v>
      </c>
      <c r="P785">
        <v>311.27</v>
      </c>
      <c r="Q785">
        <v>264</v>
      </c>
      <c r="R785">
        <v>1</v>
      </c>
      <c r="S785">
        <v>152</v>
      </c>
    </row>
    <row r="786" spans="1:19" x14ac:dyDescent="0.3">
      <c r="A786">
        <v>785</v>
      </c>
      <c r="B786" t="s">
        <v>509</v>
      </c>
      <c r="C786">
        <v>2021</v>
      </c>
      <c r="D786" t="s">
        <v>226</v>
      </c>
      <c r="E786">
        <v>12</v>
      </c>
      <c r="F786" t="s">
        <v>25</v>
      </c>
      <c r="G786" t="s">
        <v>26</v>
      </c>
      <c r="H786">
        <v>19.02</v>
      </c>
      <c r="I786" t="s">
        <v>27</v>
      </c>
      <c r="J786">
        <v>24</v>
      </c>
      <c r="K786">
        <v>472</v>
      </c>
      <c r="L786">
        <v>79.099999999999994</v>
      </c>
      <c r="M786">
        <v>22.83</v>
      </c>
      <c r="N786">
        <v>21.99</v>
      </c>
      <c r="O786">
        <v>3.48</v>
      </c>
      <c r="P786">
        <v>484.8</v>
      </c>
      <c r="Q786">
        <v>911</v>
      </c>
      <c r="R786">
        <v>4</v>
      </c>
      <c r="S786">
        <v>147</v>
      </c>
    </row>
    <row r="787" spans="1:19" x14ac:dyDescent="0.3">
      <c r="A787">
        <v>786</v>
      </c>
      <c r="B787" t="s">
        <v>510</v>
      </c>
      <c r="C787">
        <v>2021</v>
      </c>
      <c r="D787" t="s">
        <v>226</v>
      </c>
      <c r="E787">
        <v>12</v>
      </c>
      <c r="F787" t="s">
        <v>34</v>
      </c>
      <c r="G787" t="s">
        <v>22</v>
      </c>
      <c r="H787">
        <v>13.9</v>
      </c>
      <c r="I787" t="s">
        <v>23</v>
      </c>
      <c r="J787">
        <v>4</v>
      </c>
      <c r="K787">
        <v>442</v>
      </c>
      <c r="L787">
        <v>93.42</v>
      </c>
      <c r="M787">
        <v>17.66</v>
      </c>
      <c r="N787">
        <v>6.81</v>
      </c>
      <c r="O787">
        <v>6.21</v>
      </c>
      <c r="P787">
        <v>448.53</v>
      </c>
      <c r="Q787">
        <v>206</v>
      </c>
      <c r="R787">
        <v>5</v>
      </c>
      <c r="S787">
        <v>120</v>
      </c>
    </row>
    <row r="788" spans="1:19" x14ac:dyDescent="0.3">
      <c r="A788">
        <v>787</v>
      </c>
      <c r="B788" t="s">
        <v>511</v>
      </c>
      <c r="C788">
        <v>2021</v>
      </c>
      <c r="D788" t="s">
        <v>226</v>
      </c>
      <c r="E788">
        <v>12</v>
      </c>
      <c r="F788" t="s">
        <v>62</v>
      </c>
      <c r="G788" t="s">
        <v>26</v>
      </c>
      <c r="H788">
        <v>35.19</v>
      </c>
      <c r="I788" t="s">
        <v>32</v>
      </c>
      <c r="J788">
        <v>32</v>
      </c>
      <c r="K788">
        <v>394</v>
      </c>
      <c r="L788">
        <v>89.51</v>
      </c>
      <c r="M788">
        <v>25.4</v>
      </c>
      <c r="N788">
        <v>8.1</v>
      </c>
      <c r="O788">
        <v>7.75</v>
      </c>
      <c r="P788">
        <v>259.11</v>
      </c>
      <c r="Q788">
        <v>584</v>
      </c>
      <c r="R788">
        <v>5</v>
      </c>
      <c r="S788">
        <v>134</v>
      </c>
    </row>
    <row r="789" spans="1:19" x14ac:dyDescent="0.3">
      <c r="A789">
        <v>788</v>
      </c>
      <c r="B789" t="s">
        <v>512</v>
      </c>
      <c r="C789">
        <v>2021</v>
      </c>
      <c r="D789" t="s">
        <v>226</v>
      </c>
      <c r="E789">
        <v>12</v>
      </c>
      <c r="F789" t="s">
        <v>25</v>
      </c>
      <c r="G789" t="s">
        <v>35</v>
      </c>
      <c r="H789">
        <v>24.69</v>
      </c>
      <c r="I789" t="s">
        <v>27</v>
      </c>
      <c r="J789">
        <v>4</v>
      </c>
      <c r="K789">
        <v>424</v>
      </c>
      <c r="L789">
        <v>94.84</v>
      </c>
      <c r="M789">
        <v>15.71</v>
      </c>
      <c r="N789">
        <v>17.48</v>
      </c>
      <c r="O789">
        <v>6.91</v>
      </c>
      <c r="P789">
        <v>330.72</v>
      </c>
      <c r="Q789">
        <v>508</v>
      </c>
      <c r="R789">
        <v>2</v>
      </c>
      <c r="S789">
        <v>220</v>
      </c>
    </row>
    <row r="790" spans="1:19" x14ac:dyDescent="0.3">
      <c r="A790">
        <v>789</v>
      </c>
      <c r="B790" t="s">
        <v>513</v>
      </c>
      <c r="C790">
        <v>2021</v>
      </c>
      <c r="D790" t="s">
        <v>226</v>
      </c>
      <c r="E790">
        <v>12</v>
      </c>
      <c r="F790" t="s">
        <v>31</v>
      </c>
      <c r="G790" t="s">
        <v>40</v>
      </c>
      <c r="H790">
        <v>48.95</v>
      </c>
      <c r="I790" t="s">
        <v>32</v>
      </c>
      <c r="J790">
        <v>7</v>
      </c>
      <c r="K790">
        <v>361</v>
      </c>
      <c r="L790">
        <v>94.87</v>
      </c>
      <c r="M790">
        <v>11.5</v>
      </c>
      <c r="N790">
        <v>2.5299999999999998</v>
      </c>
      <c r="O790">
        <v>13.9</v>
      </c>
      <c r="P790">
        <v>523.6</v>
      </c>
      <c r="Q790">
        <v>307</v>
      </c>
      <c r="R790">
        <v>3</v>
      </c>
      <c r="S790">
        <v>164</v>
      </c>
    </row>
    <row r="791" spans="1:19" x14ac:dyDescent="0.3">
      <c r="A791">
        <v>790</v>
      </c>
      <c r="B791" t="s">
        <v>514</v>
      </c>
      <c r="C791">
        <v>2021</v>
      </c>
      <c r="D791" t="s">
        <v>226</v>
      </c>
      <c r="E791">
        <v>12</v>
      </c>
      <c r="F791" t="s">
        <v>21</v>
      </c>
      <c r="G791" t="s">
        <v>40</v>
      </c>
      <c r="H791">
        <v>38.97</v>
      </c>
      <c r="I791" t="s">
        <v>38</v>
      </c>
      <c r="J791">
        <v>29</v>
      </c>
      <c r="K791">
        <v>359</v>
      </c>
      <c r="L791">
        <v>91.56</v>
      </c>
      <c r="M791">
        <v>29.5</v>
      </c>
      <c r="N791">
        <v>16.3</v>
      </c>
      <c r="O791">
        <v>10.28</v>
      </c>
      <c r="P791">
        <v>113.38</v>
      </c>
      <c r="Q791">
        <v>988</v>
      </c>
      <c r="R791">
        <v>5</v>
      </c>
      <c r="S791">
        <v>168</v>
      </c>
    </row>
    <row r="792" spans="1:19" x14ac:dyDescent="0.3">
      <c r="A792">
        <v>791</v>
      </c>
      <c r="B792" t="s">
        <v>515</v>
      </c>
      <c r="C792">
        <v>2021</v>
      </c>
      <c r="D792" t="s">
        <v>226</v>
      </c>
      <c r="E792">
        <v>12</v>
      </c>
      <c r="F792" t="s">
        <v>31</v>
      </c>
      <c r="G792" t="s">
        <v>35</v>
      </c>
      <c r="H792">
        <v>40.99</v>
      </c>
      <c r="I792" t="s">
        <v>23</v>
      </c>
      <c r="J792">
        <v>49</v>
      </c>
      <c r="K792">
        <v>205</v>
      </c>
      <c r="L792">
        <v>83.9</v>
      </c>
      <c r="M792">
        <v>26.16</v>
      </c>
      <c r="N792">
        <v>4.67</v>
      </c>
      <c r="O792">
        <v>6.87</v>
      </c>
      <c r="P792">
        <v>267.33999999999997</v>
      </c>
      <c r="Q792">
        <v>391</v>
      </c>
      <c r="R792">
        <v>1</v>
      </c>
      <c r="S792">
        <v>66</v>
      </c>
    </row>
    <row r="793" spans="1:19" x14ac:dyDescent="0.3">
      <c r="A793">
        <v>792</v>
      </c>
      <c r="B793" t="s">
        <v>516</v>
      </c>
      <c r="C793">
        <v>2021</v>
      </c>
      <c r="D793" t="s">
        <v>226</v>
      </c>
      <c r="E793">
        <v>12</v>
      </c>
      <c r="F793" t="s">
        <v>62</v>
      </c>
      <c r="G793" t="s">
        <v>42</v>
      </c>
      <c r="H793">
        <v>32.270000000000003</v>
      </c>
      <c r="I793" t="s">
        <v>27</v>
      </c>
      <c r="J793">
        <v>47</v>
      </c>
      <c r="K793">
        <v>253</v>
      </c>
      <c r="L793">
        <v>78.92</v>
      </c>
      <c r="M793">
        <v>20.57</v>
      </c>
      <c r="N793">
        <v>19.7</v>
      </c>
      <c r="O793">
        <v>9.0299999999999994</v>
      </c>
      <c r="P793">
        <v>514.57000000000005</v>
      </c>
      <c r="Q793">
        <v>464</v>
      </c>
      <c r="R793">
        <v>2</v>
      </c>
      <c r="S793">
        <v>242</v>
      </c>
    </row>
    <row r="794" spans="1:19" x14ac:dyDescent="0.3">
      <c r="A794">
        <v>793</v>
      </c>
      <c r="B794" t="s">
        <v>517</v>
      </c>
      <c r="C794">
        <v>2021</v>
      </c>
      <c r="D794" t="s">
        <v>226</v>
      </c>
      <c r="E794">
        <v>12</v>
      </c>
      <c r="F794" t="s">
        <v>25</v>
      </c>
      <c r="G794" t="s">
        <v>40</v>
      </c>
      <c r="H794">
        <v>11.71</v>
      </c>
      <c r="I794" t="s">
        <v>27</v>
      </c>
      <c r="J794">
        <v>45</v>
      </c>
      <c r="K794">
        <v>342</v>
      </c>
      <c r="L794">
        <v>80.55</v>
      </c>
      <c r="M794">
        <v>7.58</v>
      </c>
      <c r="N794">
        <v>20.47</v>
      </c>
      <c r="O794">
        <v>8.6199999999999992</v>
      </c>
      <c r="P794">
        <v>151.43</v>
      </c>
      <c r="Q794">
        <v>498</v>
      </c>
      <c r="R794">
        <v>4</v>
      </c>
      <c r="S794">
        <v>67</v>
      </c>
    </row>
    <row r="795" spans="1:19" x14ac:dyDescent="0.3">
      <c r="A795">
        <v>794</v>
      </c>
      <c r="B795" t="s">
        <v>518</v>
      </c>
      <c r="C795">
        <v>2021</v>
      </c>
      <c r="D795" t="s">
        <v>226</v>
      </c>
      <c r="E795">
        <v>12</v>
      </c>
      <c r="F795" t="s">
        <v>37</v>
      </c>
      <c r="G795" t="s">
        <v>22</v>
      </c>
      <c r="H795">
        <v>19.97</v>
      </c>
      <c r="I795" t="s">
        <v>27</v>
      </c>
      <c r="J795">
        <v>40</v>
      </c>
      <c r="K795">
        <v>280</v>
      </c>
      <c r="L795">
        <v>75.010000000000005</v>
      </c>
      <c r="M795">
        <v>18.010000000000002</v>
      </c>
      <c r="N795">
        <v>12.78</v>
      </c>
      <c r="O795">
        <v>12.86</v>
      </c>
      <c r="P795">
        <v>129.88999999999999</v>
      </c>
      <c r="Q795">
        <v>257</v>
      </c>
      <c r="R795">
        <v>5</v>
      </c>
      <c r="S795">
        <v>238</v>
      </c>
    </row>
    <row r="796" spans="1:19" x14ac:dyDescent="0.3">
      <c r="A796">
        <v>795</v>
      </c>
      <c r="B796" t="s">
        <v>519</v>
      </c>
      <c r="C796">
        <v>2021</v>
      </c>
      <c r="D796" t="s">
        <v>226</v>
      </c>
      <c r="E796">
        <v>12</v>
      </c>
      <c r="F796" t="s">
        <v>62</v>
      </c>
      <c r="G796" t="s">
        <v>26</v>
      </c>
      <c r="H796">
        <v>24.83</v>
      </c>
      <c r="I796" t="s">
        <v>47</v>
      </c>
      <c r="J796">
        <v>3</v>
      </c>
      <c r="K796">
        <v>502</v>
      </c>
      <c r="L796">
        <v>75.91</v>
      </c>
      <c r="M796">
        <v>27.4</v>
      </c>
      <c r="N796">
        <v>4.03</v>
      </c>
      <c r="O796">
        <v>11.61</v>
      </c>
      <c r="P796">
        <v>338.72</v>
      </c>
      <c r="Q796">
        <v>1055</v>
      </c>
      <c r="R796">
        <v>5</v>
      </c>
      <c r="S796">
        <v>209</v>
      </c>
    </row>
    <row r="797" spans="1:19" x14ac:dyDescent="0.3">
      <c r="A797">
        <v>796</v>
      </c>
      <c r="B797" t="s">
        <v>513</v>
      </c>
      <c r="C797">
        <v>2021</v>
      </c>
      <c r="D797" t="s">
        <v>226</v>
      </c>
      <c r="E797">
        <v>12</v>
      </c>
      <c r="F797" t="s">
        <v>37</v>
      </c>
      <c r="G797" t="s">
        <v>26</v>
      </c>
      <c r="H797">
        <v>51.51</v>
      </c>
      <c r="I797" t="s">
        <v>23</v>
      </c>
      <c r="J797">
        <v>35</v>
      </c>
      <c r="K797">
        <v>478</v>
      </c>
      <c r="L797">
        <v>80.959999999999994</v>
      </c>
      <c r="M797">
        <v>21.96</v>
      </c>
      <c r="N797">
        <v>2.85</v>
      </c>
      <c r="O797">
        <v>11.24</v>
      </c>
      <c r="P797">
        <v>515.26</v>
      </c>
      <c r="Q797">
        <v>265</v>
      </c>
      <c r="R797">
        <v>2</v>
      </c>
      <c r="S797">
        <v>85</v>
      </c>
    </row>
    <row r="798" spans="1:19" x14ac:dyDescent="0.3">
      <c r="A798">
        <v>797</v>
      </c>
      <c r="B798" t="s">
        <v>520</v>
      </c>
      <c r="C798">
        <v>2021</v>
      </c>
      <c r="D798" t="s">
        <v>226</v>
      </c>
      <c r="E798">
        <v>12</v>
      </c>
      <c r="F798" t="s">
        <v>25</v>
      </c>
      <c r="G798" t="s">
        <v>35</v>
      </c>
      <c r="H798">
        <v>13.35</v>
      </c>
      <c r="I798" t="s">
        <v>32</v>
      </c>
      <c r="J798">
        <v>39</v>
      </c>
      <c r="K798">
        <v>592</v>
      </c>
      <c r="L798">
        <v>82.25</v>
      </c>
      <c r="M798">
        <v>17.399999999999999</v>
      </c>
      <c r="N798">
        <v>21.08</v>
      </c>
      <c r="O798">
        <v>13.91</v>
      </c>
      <c r="P798">
        <v>458.92</v>
      </c>
      <c r="Q798">
        <v>234</v>
      </c>
      <c r="R798">
        <v>3</v>
      </c>
      <c r="S798">
        <v>97</v>
      </c>
    </row>
    <row r="799" spans="1:19" x14ac:dyDescent="0.3">
      <c r="A799">
        <v>798</v>
      </c>
      <c r="B799" t="s">
        <v>521</v>
      </c>
      <c r="C799">
        <v>2021</v>
      </c>
      <c r="D799" t="s">
        <v>226</v>
      </c>
      <c r="E799">
        <v>12</v>
      </c>
      <c r="F799" t="s">
        <v>31</v>
      </c>
      <c r="G799" t="s">
        <v>35</v>
      </c>
      <c r="H799">
        <v>54.93</v>
      </c>
      <c r="I799" t="s">
        <v>32</v>
      </c>
      <c r="J799">
        <v>49</v>
      </c>
      <c r="K799">
        <v>470</v>
      </c>
      <c r="L799">
        <v>81.400000000000006</v>
      </c>
      <c r="M799">
        <v>31.69</v>
      </c>
      <c r="N799">
        <v>10.88</v>
      </c>
      <c r="O799">
        <v>13.08</v>
      </c>
      <c r="P799">
        <v>495.99</v>
      </c>
      <c r="Q799">
        <v>254</v>
      </c>
      <c r="R799">
        <v>3</v>
      </c>
      <c r="S799">
        <v>227</v>
      </c>
    </row>
    <row r="800" spans="1:19" x14ac:dyDescent="0.3">
      <c r="A800">
        <v>799</v>
      </c>
      <c r="B800" t="s">
        <v>507</v>
      </c>
      <c r="C800">
        <v>2021</v>
      </c>
      <c r="D800" t="s">
        <v>226</v>
      </c>
      <c r="E800">
        <v>12</v>
      </c>
      <c r="F800" t="s">
        <v>31</v>
      </c>
      <c r="G800" t="s">
        <v>26</v>
      </c>
      <c r="H800">
        <v>10.15</v>
      </c>
      <c r="I800" t="s">
        <v>32</v>
      </c>
      <c r="J800">
        <v>43</v>
      </c>
      <c r="K800">
        <v>593</v>
      </c>
      <c r="L800">
        <v>92.49</v>
      </c>
      <c r="M800">
        <v>26.02</v>
      </c>
      <c r="N800">
        <v>20.74</v>
      </c>
      <c r="O800">
        <v>5.63</v>
      </c>
      <c r="P800">
        <v>376.55</v>
      </c>
      <c r="Q800">
        <v>856</v>
      </c>
      <c r="R800">
        <v>5</v>
      </c>
      <c r="S800">
        <v>87</v>
      </c>
    </row>
    <row r="801" spans="1:19" x14ac:dyDescent="0.3">
      <c r="A801">
        <v>800</v>
      </c>
      <c r="B801" t="s">
        <v>522</v>
      </c>
      <c r="C801">
        <v>2021</v>
      </c>
      <c r="D801" t="s">
        <v>226</v>
      </c>
      <c r="E801">
        <v>12</v>
      </c>
      <c r="F801" t="s">
        <v>31</v>
      </c>
      <c r="G801" t="s">
        <v>35</v>
      </c>
      <c r="H801">
        <v>24.64</v>
      </c>
      <c r="I801" t="s">
        <v>32</v>
      </c>
      <c r="J801">
        <v>8</v>
      </c>
      <c r="K801">
        <v>584</v>
      </c>
      <c r="L801">
        <v>78.92</v>
      </c>
      <c r="M801">
        <v>32.520000000000003</v>
      </c>
      <c r="N801">
        <v>12.59</v>
      </c>
      <c r="O801">
        <v>9.57</v>
      </c>
      <c r="P801">
        <v>366.44</v>
      </c>
      <c r="Q801">
        <v>298</v>
      </c>
      <c r="R801">
        <v>1</v>
      </c>
      <c r="S801">
        <v>79</v>
      </c>
    </row>
    <row r="802" spans="1:19" x14ac:dyDescent="0.3">
      <c r="A802">
        <v>801</v>
      </c>
      <c r="B802" t="s">
        <v>516</v>
      </c>
      <c r="C802">
        <v>2021</v>
      </c>
      <c r="D802" t="s">
        <v>226</v>
      </c>
      <c r="E802">
        <v>12</v>
      </c>
      <c r="F802" t="s">
        <v>62</v>
      </c>
      <c r="G802" t="s">
        <v>42</v>
      </c>
      <c r="H802">
        <v>7.09</v>
      </c>
      <c r="I802" t="s">
        <v>47</v>
      </c>
      <c r="J802">
        <v>37</v>
      </c>
      <c r="K802">
        <v>102</v>
      </c>
      <c r="L802">
        <v>79.39</v>
      </c>
      <c r="M802">
        <v>12.63</v>
      </c>
      <c r="N802">
        <v>6.64</v>
      </c>
      <c r="O802">
        <v>11.48</v>
      </c>
      <c r="P802">
        <v>407.49</v>
      </c>
      <c r="Q802">
        <v>738</v>
      </c>
      <c r="R802">
        <v>2</v>
      </c>
      <c r="S802">
        <v>177</v>
      </c>
    </row>
    <row r="803" spans="1:19" x14ac:dyDescent="0.3">
      <c r="A803">
        <v>802</v>
      </c>
      <c r="B803" t="s">
        <v>507</v>
      </c>
      <c r="C803">
        <v>2021</v>
      </c>
      <c r="D803" t="s">
        <v>226</v>
      </c>
      <c r="E803">
        <v>12</v>
      </c>
      <c r="F803" t="s">
        <v>29</v>
      </c>
      <c r="G803" t="s">
        <v>35</v>
      </c>
      <c r="H803">
        <v>48.65</v>
      </c>
      <c r="I803" t="s">
        <v>47</v>
      </c>
      <c r="J803">
        <v>42</v>
      </c>
      <c r="K803">
        <v>323</v>
      </c>
      <c r="L803">
        <v>77.7</v>
      </c>
      <c r="M803">
        <v>21.14</v>
      </c>
      <c r="N803">
        <v>4.29</v>
      </c>
      <c r="O803">
        <v>3.97</v>
      </c>
      <c r="P803">
        <v>493.64</v>
      </c>
      <c r="Q803">
        <v>413</v>
      </c>
      <c r="R803">
        <v>4</v>
      </c>
      <c r="S803">
        <v>108</v>
      </c>
    </row>
    <row r="804" spans="1:19" x14ac:dyDescent="0.3">
      <c r="A804">
        <v>803</v>
      </c>
      <c r="B804" t="s">
        <v>523</v>
      </c>
      <c r="C804">
        <v>2021</v>
      </c>
      <c r="D804" t="s">
        <v>226</v>
      </c>
      <c r="E804">
        <v>12</v>
      </c>
      <c r="F804" t="s">
        <v>53</v>
      </c>
      <c r="G804" t="s">
        <v>42</v>
      </c>
      <c r="H804">
        <v>28.8</v>
      </c>
      <c r="I804" t="s">
        <v>27</v>
      </c>
      <c r="J804">
        <v>24</v>
      </c>
      <c r="K804">
        <v>321</v>
      </c>
      <c r="L804">
        <v>80.099999999999994</v>
      </c>
      <c r="M804">
        <v>8.65</v>
      </c>
      <c r="N804">
        <v>10.35</v>
      </c>
      <c r="O804">
        <v>8.67</v>
      </c>
      <c r="P804">
        <v>556.95000000000005</v>
      </c>
      <c r="Q804">
        <v>379</v>
      </c>
      <c r="R804">
        <v>2</v>
      </c>
      <c r="S804">
        <v>103</v>
      </c>
    </row>
    <row r="805" spans="1:19" x14ac:dyDescent="0.3">
      <c r="A805">
        <v>804</v>
      </c>
      <c r="B805" t="s">
        <v>509</v>
      </c>
      <c r="C805">
        <v>2021</v>
      </c>
      <c r="D805" t="s">
        <v>226</v>
      </c>
      <c r="E805">
        <v>12</v>
      </c>
      <c r="F805" t="s">
        <v>29</v>
      </c>
      <c r="G805" t="s">
        <v>35</v>
      </c>
      <c r="H805">
        <v>44.25</v>
      </c>
      <c r="I805" t="s">
        <v>27</v>
      </c>
      <c r="J805">
        <v>13</v>
      </c>
      <c r="K805">
        <v>178</v>
      </c>
      <c r="L805">
        <v>93.07</v>
      </c>
      <c r="M805">
        <v>15.34</v>
      </c>
      <c r="N805">
        <v>9.73</v>
      </c>
      <c r="O805">
        <v>15.35</v>
      </c>
      <c r="P805">
        <v>280.86</v>
      </c>
      <c r="Q805">
        <v>441</v>
      </c>
      <c r="R805">
        <v>3</v>
      </c>
      <c r="S805">
        <v>217</v>
      </c>
    </row>
    <row r="806" spans="1:19" x14ac:dyDescent="0.3">
      <c r="A806">
        <v>805</v>
      </c>
      <c r="B806" t="s">
        <v>511</v>
      </c>
      <c r="C806">
        <v>2021</v>
      </c>
      <c r="D806" t="s">
        <v>226</v>
      </c>
      <c r="E806">
        <v>12</v>
      </c>
      <c r="F806" t="s">
        <v>62</v>
      </c>
      <c r="G806" t="s">
        <v>35</v>
      </c>
      <c r="H806">
        <v>10.28</v>
      </c>
      <c r="I806" t="s">
        <v>23</v>
      </c>
      <c r="J806">
        <v>40</v>
      </c>
      <c r="K806">
        <v>155</v>
      </c>
      <c r="L806">
        <v>78.180000000000007</v>
      </c>
      <c r="M806">
        <v>18.82</v>
      </c>
      <c r="N806">
        <v>3.49</v>
      </c>
      <c r="O806">
        <v>2.27</v>
      </c>
      <c r="P806">
        <v>377.63</v>
      </c>
      <c r="Q806">
        <v>379</v>
      </c>
      <c r="R806">
        <v>4</v>
      </c>
      <c r="S806">
        <v>238</v>
      </c>
    </row>
    <row r="807" spans="1:19" x14ac:dyDescent="0.3">
      <c r="A807">
        <v>806</v>
      </c>
      <c r="B807" t="s">
        <v>518</v>
      </c>
      <c r="C807">
        <v>2021</v>
      </c>
      <c r="D807" t="s">
        <v>226</v>
      </c>
      <c r="E807">
        <v>12</v>
      </c>
      <c r="F807" t="s">
        <v>62</v>
      </c>
      <c r="G807" t="s">
        <v>42</v>
      </c>
      <c r="H807">
        <v>54.48</v>
      </c>
      <c r="I807" t="s">
        <v>32</v>
      </c>
      <c r="J807">
        <v>17</v>
      </c>
      <c r="K807">
        <v>296</v>
      </c>
      <c r="L807">
        <v>76.069999999999993</v>
      </c>
      <c r="M807">
        <v>33.46</v>
      </c>
      <c r="N807">
        <v>3.56</v>
      </c>
      <c r="O807">
        <v>12.92</v>
      </c>
      <c r="P807">
        <v>492.16</v>
      </c>
      <c r="Q807">
        <v>336</v>
      </c>
      <c r="R807">
        <v>4</v>
      </c>
      <c r="S807">
        <v>75</v>
      </c>
    </row>
    <row r="808" spans="1:19" x14ac:dyDescent="0.3">
      <c r="A808">
        <v>807</v>
      </c>
      <c r="B808" t="s">
        <v>524</v>
      </c>
      <c r="C808">
        <v>2021</v>
      </c>
      <c r="D808" t="s">
        <v>226</v>
      </c>
      <c r="E808">
        <v>12</v>
      </c>
      <c r="F808" t="s">
        <v>25</v>
      </c>
      <c r="G808" t="s">
        <v>40</v>
      </c>
      <c r="H808">
        <v>36.82</v>
      </c>
      <c r="I808" t="s">
        <v>32</v>
      </c>
      <c r="J808">
        <v>8</v>
      </c>
      <c r="K808">
        <v>351</v>
      </c>
      <c r="L808">
        <v>77.709999999999994</v>
      </c>
      <c r="M808">
        <v>6.49</v>
      </c>
      <c r="N808">
        <v>2.33</v>
      </c>
      <c r="O808">
        <v>13.56</v>
      </c>
      <c r="P808">
        <v>157.94999999999999</v>
      </c>
      <c r="Q808">
        <v>722</v>
      </c>
      <c r="R808">
        <v>2</v>
      </c>
      <c r="S808">
        <v>83</v>
      </c>
    </row>
    <row r="809" spans="1:19" x14ac:dyDescent="0.3">
      <c r="A809">
        <v>808</v>
      </c>
      <c r="B809" t="s">
        <v>525</v>
      </c>
      <c r="C809">
        <v>2021</v>
      </c>
      <c r="D809" t="s">
        <v>226</v>
      </c>
      <c r="E809">
        <v>12</v>
      </c>
      <c r="F809" t="s">
        <v>25</v>
      </c>
      <c r="G809" t="s">
        <v>26</v>
      </c>
      <c r="H809">
        <v>15.74</v>
      </c>
      <c r="I809" t="s">
        <v>47</v>
      </c>
      <c r="J809">
        <v>44</v>
      </c>
      <c r="K809">
        <v>432</v>
      </c>
      <c r="L809">
        <v>90.56</v>
      </c>
      <c r="M809">
        <v>7.9</v>
      </c>
      <c r="N809">
        <v>21.42</v>
      </c>
      <c r="O809">
        <v>13.82</v>
      </c>
      <c r="P809">
        <v>207.61</v>
      </c>
      <c r="Q809">
        <v>909</v>
      </c>
      <c r="R809">
        <v>2</v>
      </c>
      <c r="S809">
        <v>167</v>
      </c>
    </row>
    <row r="810" spans="1:19" x14ac:dyDescent="0.3">
      <c r="A810">
        <v>809</v>
      </c>
      <c r="B810" t="s">
        <v>510</v>
      </c>
      <c r="C810">
        <v>2021</v>
      </c>
      <c r="D810" t="s">
        <v>226</v>
      </c>
      <c r="E810">
        <v>12</v>
      </c>
      <c r="F810" t="s">
        <v>21</v>
      </c>
      <c r="G810" t="s">
        <v>22</v>
      </c>
      <c r="H810">
        <v>20.27</v>
      </c>
      <c r="I810" t="s">
        <v>23</v>
      </c>
      <c r="J810">
        <v>20</v>
      </c>
      <c r="K810">
        <v>311</v>
      </c>
      <c r="L810">
        <v>94.51</v>
      </c>
      <c r="M810">
        <v>21.36</v>
      </c>
      <c r="N810">
        <v>20.09</v>
      </c>
      <c r="O810">
        <v>10.47</v>
      </c>
      <c r="P810">
        <v>597.37</v>
      </c>
      <c r="Q810">
        <v>903</v>
      </c>
      <c r="R810">
        <v>5</v>
      </c>
      <c r="S810">
        <v>90</v>
      </c>
    </row>
    <row r="811" spans="1:19" x14ac:dyDescent="0.3">
      <c r="A811">
        <v>810</v>
      </c>
      <c r="B811" t="s">
        <v>521</v>
      </c>
      <c r="C811">
        <v>2021</v>
      </c>
      <c r="D811" t="s">
        <v>226</v>
      </c>
      <c r="E811">
        <v>12</v>
      </c>
      <c r="F811" t="s">
        <v>21</v>
      </c>
      <c r="G811" t="s">
        <v>22</v>
      </c>
      <c r="H811">
        <v>53.66</v>
      </c>
      <c r="I811" t="s">
        <v>27</v>
      </c>
      <c r="J811">
        <v>27</v>
      </c>
      <c r="K811">
        <v>436</v>
      </c>
      <c r="L811">
        <v>90.96</v>
      </c>
      <c r="M811">
        <v>30.92</v>
      </c>
      <c r="N811">
        <v>3.52</v>
      </c>
      <c r="O811">
        <v>5.09</v>
      </c>
      <c r="P811">
        <v>394.11</v>
      </c>
      <c r="Q811">
        <v>530</v>
      </c>
      <c r="R811">
        <v>1</v>
      </c>
      <c r="S811">
        <v>93</v>
      </c>
    </row>
    <row r="812" spans="1:19" x14ac:dyDescent="0.3">
      <c r="A812">
        <v>811</v>
      </c>
      <c r="B812" t="s">
        <v>525</v>
      </c>
      <c r="C812">
        <v>2021</v>
      </c>
      <c r="D812" t="s">
        <v>226</v>
      </c>
      <c r="E812">
        <v>12</v>
      </c>
      <c r="F812" t="s">
        <v>62</v>
      </c>
      <c r="G812" t="s">
        <v>35</v>
      </c>
      <c r="H812">
        <v>38.26</v>
      </c>
      <c r="I812" t="s">
        <v>23</v>
      </c>
      <c r="J812">
        <v>18</v>
      </c>
      <c r="K812">
        <v>514</v>
      </c>
      <c r="L812">
        <v>79.03</v>
      </c>
      <c r="M812">
        <v>6.71</v>
      </c>
      <c r="N812">
        <v>16.13</v>
      </c>
      <c r="O812">
        <v>4.09</v>
      </c>
      <c r="P812">
        <v>530.32000000000005</v>
      </c>
      <c r="Q812">
        <v>784</v>
      </c>
      <c r="R812">
        <v>3</v>
      </c>
      <c r="S812">
        <v>67</v>
      </c>
    </row>
    <row r="813" spans="1:19" x14ac:dyDescent="0.3">
      <c r="A813">
        <v>812</v>
      </c>
      <c r="B813" t="s">
        <v>514</v>
      </c>
      <c r="C813">
        <v>2021</v>
      </c>
      <c r="D813" t="s">
        <v>226</v>
      </c>
      <c r="E813">
        <v>12</v>
      </c>
      <c r="F813" t="s">
        <v>34</v>
      </c>
      <c r="G813" t="s">
        <v>40</v>
      </c>
      <c r="H813">
        <v>7.28</v>
      </c>
      <c r="I813" t="s">
        <v>47</v>
      </c>
      <c r="J813">
        <v>32</v>
      </c>
      <c r="K813">
        <v>176</v>
      </c>
      <c r="L813">
        <v>89.81</v>
      </c>
      <c r="M813">
        <v>27.04</v>
      </c>
      <c r="N813">
        <v>7.6</v>
      </c>
      <c r="O813">
        <v>14.6</v>
      </c>
      <c r="P813">
        <v>279.16000000000003</v>
      </c>
      <c r="Q813">
        <v>325</v>
      </c>
      <c r="R813">
        <v>3</v>
      </c>
      <c r="S813">
        <v>54</v>
      </c>
    </row>
    <row r="814" spans="1:19" x14ac:dyDescent="0.3">
      <c r="A814">
        <v>813</v>
      </c>
      <c r="B814" t="s">
        <v>518</v>
      </c>
      <c r="C814">
        <v>2021</v>
      </c>
      <c r="D814" t="s">
        <v>226</v>
      </c>
      <c r="E814">
        <v>12</v>
      </c>
      <c r="F814" t="s">
        <v>31</v>
      </c>
      <c r="G814" t="s">
        <v>42</v>
      </c>
      <c r="H814">
        <v>13.95</v>
      </c>
      <c r="I814" t="s">
        <v>38</v>
      </c>
      <c r="J814">
        <v>43</v>
      </c>
      <c r="K814">
        <v>579</v>
      </c>
      <c r="L814">
        <v>79.86</v>
      </c>
      <c r="M814">
        <v>17.510000000000002</v>
      </c>
      <c r="N814">
        <v>8.41</v>
      </c>
      <c r="O814">
        <v>10.08</v>
      </c>
      <c r="P814">
        <v>372.03</v>
      </c>
      <c r="Q814">
        <v>1062</v>
      </c>
      <c r="R814">
        <v>5</v>
      </c>
      <c r="S814">
        <v>180</v>
      </c>
    </row>
    <row r="815" spans="1:19" x14ac:dyDescent="0.3">
      <c r="A815">
        <v>814</v>
      </c>
      <c r="B815" t="s">
        <v>516</v>
      </c>
      <c r="C815">
        <v>2021</v>
      </c>
      <c r="D815" t="s">
        <v>226</v>
      </c>
      <c r="E815">
        <v>12</v>
      </c>
      <c r="F815" t="s">
        <v>29</v>
      </c>
      <c r="G815" t="s">
        <v>40</v>
      </c>
      <c r="H815">
        <v>5.44</v>
      </c>
      <c r="I815" t="s">
        <v>27</v>
      </c>
      <c r="J815">
        <v>21</v>
      </c>
      <c r="K815">
        <v>149</v>
      </c>
      <c r="L815">
        <v>90.03</v>
      </c>
      <c r="M815">
        <v>20.22</v>
      </c>
      <c r="N815">
        <v>4.12</v>
      </c>
      <c r="O815">
        <v>1.75</v>
      </c>
      <c r="P815">
        <v>566.89</v>
      </c>
      <c r="Q815">
        <v>495</v>
      </c>
      <c r="R815">
        <v>3</v>
      </c>
      <c r="S815">
        <v>107</v>
      </c>
    </row>
    <row r="816" spans="1:19" x14ac:dyDescent="0.3">
      <c r="A816">
        <v>815</v>
      </c>
      <c r="B816" t="s">
        <v>519</v>
      </c>
      <c r="C816">
        <v>2021</v>
      </c>
      <c r="D816" t="s">
        <v>226</v>
      </c>
      <c r="E816">
        <v>12</v>
      </c>
      <c r="F816" t="s">
        <v>34</v>
      </c>
      <c r="G816" t="s">
        <v>42</v>
      </c>
      <c r="H816">
        <v>49.59</v>
      </c>
      <c r="I816" t="s">
        <v>32</v>
      </c>
      <c r="J816">
        <v>4</v>
      </c>
      <c r="K816">
        <v>419</v>
      </c>
      <c r="L816">
        <v>83.43</v>
      </c>
      <c r="M816">
        <v>33.520000000000003</v>
      </c>
      <c r="N816">
        <v>7.54</v>
      </c>
      <c r="O816">
        <v>5.61</v>
      </c>
      <c r="P816">
        <v>333.36</v>
      </c>
      <c r="Q816">
        <v>600</v>
      </c>
      <c r="R816">
        <v>4</v>
      </c>
      <c r="S816">
        <v>62</v>
      </c>
    </row>
    <row r="817" spans="1:19" x14ac:dyDescent="0.3">
      <c r="A817">
        <v>816</v>
      </c>
      <c r="B817" t="s">
        <v>526</v>
      </c>
      <c r="C817">
        <v>2021</v>
      </c>
      <c r="D817" t="s">
        <v>226</v>
      </c>
      <c r="E817">
        <v>12</v>
      </c>
      <c r="F817" t="s">
        <v>62</v>
      </c>
      <c r="G817" t="s">
        <v>35</v>
      </c>
      <c r="H817">
        <v>40.17</v>
      </c>
      <c r="I817" t="s">
        <v>38</v>
      </c>
      <c r="J817">
        <v>19</v>
      </c>
      <c r="K817">
        <v>436</v>
      </c>
      <c r="L817">
        <v>92.16</v>
      </c>
      <c r="M817">
        <v>27.43</v>
      </c>
      <c r="N817">
        <v>17.690000000000001</v>
      </c>
      <c r="O817">
        <v>5.95</v>
      </c>
      <c r="P817">
        <v>146.18</v>
      </c>
      <c r="Q817">
        <v>146</v>
      </c>
      <c r="R817">
        <v>3</v>
      </c>
      <c r="S817">
        <v>121</v>
      </c>
    </row>
    <row r="818" spans="1:19" x14ac:dyDescent="0.3">
      <c r="A818">
        <v>817</v>
      </c>
      <c r="B818" t="s">
        <v>527</v>
      </c>
      <c r="C818">
        <v>2022</v>
      </c>
      <c r="D818" t="s">
        <v>20</v>
      </c>
      <c r="E818">
        <v>1</v>
      </c>
      <c r="F818" t="s">
        <v>34</v>
      </c>
      <c r="G818" t="s">
        <v>35</v>
      </c>
      <c r="H818">
        <v>13.32</v>
      </c>
      <c r="I818" t="s">
        <v>27</v>
      </c>
      <c r="J818">
        <v>32</v>
      </c>
      <c r="K818">
        <v>403</v>
      </c>
      <c r="L818">
        <v>89.37</v>
      </c>
      <c r="M818">
        <v>14.44</v>
      </c>
      <c r="N818">
        <v>17.13</v>
      </c>
      <c r="O818">
        <v>13.22</v>
      </c>
      <c r="P818">
        <v>321.66000000000003</v>
      </c>
      <c r="Q818">
        <v>1001</v>
      </c>
      <c r="R818">
        <v>4</v>
      </c>
      <c r="S818">
        <v>118</v>
      </c>
    </row>
    <row r="819" spans="1:19" x14ac:dyDescent="0.3">
      <c r="A819">
        <v>818</v>
      </c>
      <c r="B819" t="s">
        <v>528</v>
      </c>
      <c r="C819">
        <v>2022</v>
      </c>
      <c r="D819" t="s">
        <v>20</v>
      </c>
      <c r="E819">
        <v>1</v>
      </c>
      <c r="F819" t="s">
        <v>21</v>
      </c>
      <c r="G819" t="s">
        <v>26</v>
      </c>
      <c r="H819">
        <v>49.55</v>
      </c>
      <c r="I819" t="s">
        <v>47</v>
      </c>
      <c r="J819">
        <v>6</v>
      </c>
      <c r="K819">
        <v>519</v>
      </c>
      <c r="L819">
        <v>81.94</v>
      </c>
      <c r="M819">
        <v>9.9600000000000009</v>
      </c>
      <c r="N819">
        <v>17.41</v>
      </c>
      <c r="O819">
        <v>5.5</v>
      </c>
      <c r="P819">
        <v>306.29000000000002</v>
      </c>
      <c r="Q819">
        <v>1088</v>
      </c>
      <c r="R819">
        <v>4</v>
      </c>
      <c r="S819">
        <v>242</v>
      </c>
    </row>
    <row r="820" spans="1:19" x14ac:dyDescent="0.3">
      <c r="A820">
        <v>819</v>
      </c>
      <c r="B820" t="s">
        <v>529</v>
      </c>
      <c r="C820">
        <v>2022</v>
      </c>
      <c r="D820" t="s">
        <v>20</v>
      </c>
      <c r="E820">
        <v>1</v>
      </c>
      <c r="F820" t="s">
        <v>62</v>
      </c>
      <c r="G820" t="s">
        <v>26</v>
      </c>
      <c r="H820">
        <v>17.46</v>
      </c>
      <c r="I820" t="s">
        <v>32</v>
      </c>
      <c r="J820">
        <v>16</v>
      </c>
      <c r="K820">
        <v>106</v>
      </c>
      <c r="L820">
        <v>80.09</v>
      </c>
      <c r="M820">
        <v>5.45</v>
      </c>
      <c r="N820">
        <v>5.31</v>
      </c>
      <c r="O820">
        <v>10.88</v>
      </c>
      <c r="P820">
        <v>359.73</v>
      </c>
      <c r="Q820">
        <v>232</v>
      </c>
      <c r="R820">
        <v>1</v>
      </c>
      <c r="S820">
        <v>246</v>
      </c>
    </row>
    <row r="821" spans="1:19" x14ac:dyDescent="0.3">
      <c r="A821">
        <v>820</v>
      </c>
      <c r="B821" t="s">
        <v>529</v>
      </c>
      <c r="C821">
        <v>2022</v>
      </c>
      <c r="D821" t="s">
        <v>20</v>
      </c>
      <c r="E821">
        <v>1</v>
      </c>
      <c r="F821" t="s">
        <v>34</v>
      </c>
      <c r="G821" t="s">
        <v>35</v>
      </c>
      <c r="H821">
        <v>49.89</v>
      </c>
      <c r="I821" t="s">
        <v>32</v>
      </c>
      <c r="J821">
        <v>30</v>
      </c>
      <c r="K821">
        <v>279</v>
      </c>
      <c r="L821">
        <v>80.180000000000007</v>
      </c>
      <c r="M821">
        <v>10.63</v>
      </c>
      <c r="N821">
        <v>5.5</v>
      </c>
      <c r="O821">
        <v>15.38</v>
      </c>
      <c r="P821">
        <v>380.19</v>
      </c>
      <c r="Q821">
        <v>1082</v>
      </c>
      <c r="R821">
        <v>2</v>
      </c>
      <c r="S821">
        <v>144</v>
      </c>
    </row>
    <row r="822" spans="1:19" x14ac:dyDescent="0.3">
      <c r="A822">
        <v>821</v>
      </c>
      <c r="B822" t="s">
        <v>530</v>
      </c>
      <c r="C822">
        <v>2022</v>
      </c>
      <c r="D822" t="s">
        <v>20</v>
      </c>
      <c r="E822">
        <v>1</v>
      </c>
      <c r="F822" t="s">
        <v>37</v>
      </c>
      <c r="G822" t="s">
        <v>42</v>
      </c>
      <c r="H822">
        <v>31.72</v>
      </c>
      <c r="I822" t="s">
        <v>47</v>
      </c>
      <c r="J822">
        <v>33</v>
      </c>
      <c r="K822">
        <v>487</v>
      </c>
      <c r="L822">
        <v>84.07</v>
      </c>
      <c r="M822">
        <v>5.83</v>
      </c>
      <c r="N822">
        <v>11.05</v>
      </c>
      <c r="O822">
        <v>1.36</v>
      </c>
      <c r="P822">
        <v>154.19999999999999</v>
      </c>
      <c r="Q822">
        <v>729</v>
      </c>
      <c r="R822">
        <v>1</v>
      </c>
      <c r="S822">
        <v>103</v>
      </c>
    </row>
    <row r="823" spans="1:19" x14ac:dyDescent="0.3">
      <c r="A823">
        <v>822</v>
      </c>
      <c r="B823" t="s">
        <v>531</v>
      </c>
      <c r="C823">
        <v>2022</v>
      </c>
      <c r="D823" t="s">
        <v>20</v>
      </c>
      <c r="E823">
        <v>1</v>
      </c>
      <c r="F823" t="s">
        <v>31</v>
      </c>
      <c r="G823" t="s">
        <v>22</v>
      </c>
      <c r="H823">
        <v>15.15</v>
      </c>
      <c r="I823" t="s">
        <v>47</v>
      </c>
      <c r="J823">
        <v>48</v>
      </c>
      <c r="K823">
        <v>152</v>
      </c>
      <c r="L823">
        <v>92.41</v>
      </c>
      <c r="M823">
        <v>6.35</v>
      </c>
      <c r="N823">
        <v>17.399999999999999</v>
      </c>
      <c r="O823">
        <v>10.86</v>
      </c>
      <c r="P823">
        <v>296.45</v>
      </c>
      <c r="Q823">
        <v>109</v>
      </c>
      <c r="R823">
        <v>5</v>
      </c>
      <c r="S823">
        <v>129</v>
      </c>
    </row>
    <row r="824" spans="1:19" x14ac:dyDescent="0.3">
      <c r="A824">
        <v>823</v>
      </c>
      <c r="B824" t="s">
        <v>530</v>
      </c>
      <c r="C824">
        <v>2022</v>
      </c>
      <c r="D824" t="s">
        <v>20</v>
      </c>
      <c r="E824">
        <v>1</v>
      </c>
      <c r="F824" t="s">
        <v>21</v>
      </c>
      <c r="G824" t="s">
        <v>26</v>
      </c>
      <c r="H824">
        <v>25.59</v>
      </c>
      <c r="I824" t="s">
        <v>38</v>
      </c>
      <c r="J824">
        <v>44</v>
      </c>
      <c r="K824">
        <v>478</v>
      </c>
      <c r="L824">
        <v>76.25</v>
      </c>
      <c r="M824">
        <v>8.0299999999999994</v>
      </c>
      <c r="N824">
        <v>4.83</v>
      </c>
      <c r="O824">
        <v>11.84</v>
      </c>
      <c r="P824">
        <v>308.52</v>
      </c>
      <c r="Q824">
        <v>483</v>
      </c>
      <c r="R824">
        <v>5</v>
      </c>
      <c r="S824">
        <v>148</v>
      </c>
    </row>
    <row r="825" spans="1:19" x14ac:dyDescent="0.3">
      <c r="A825">
        <v>824</v>
      </c>
      <c r="B825" t="s">
        <v>528</v>
      </c>
      <c r="C825">
        <v>2022</v>
      </c>
      <c r="D825" t="s">
        <v>20</v>
      </c>
      <c r="E825">
        <v>1</v>
      </c>
      <c r="F825" t="s">
        <v>62</v>
      </c>
      <c r="G825" t="s">
        <v>22</v>
      </c>
      <c r="H825">
        <v>31.12</v>
      </c>
      <c r="I825" t="s">
        <v>47</v>
      </c>
      <c r="J825">
        <v>41</v>
      </c>
      <c r="K825">
        <v>554</v>
      </c>
      <c r="L825">
        <v>85.31</v>
      </c>
      <c r="M825">
        <v>17.62</v>
      </c>
      <c r="N825">
        <v>12.4</v>
      </c>
      <c r="O825">
        <v>12.65</v>
      </c>
      <c r="P825">
        <v>265.06</v>
      </c>
      <c r="Q825">
        <v>428</v>
      </c>
      <c r="R825">
        <v>3</v>
      </c>
      <c r="S825">
        <v>51</v>
      </c>
    </row>
    <row r="826" spans="1:19" x14ac:dyDescent="0.3">
      <c r="A826">
        <v>825</v>
      </c>
      <c r="B826" t="s">
        <v>532</v>
      </c>
      <c r="C826">
        <v>2022</v>
      </c>
      <c r="D826" t="s">
        <v>20</v>
      </c>
      <c r="E826">
        <v>1</v>
      </c>
      <c r="F826" t="s">
        <v>37</v>
      </c>
      <c r="G826" t="s">
        <v>42</v>
      </c>
      <c r="H826">
        <v>29.16</v>
      </c>
      <c r="I826" t="s">
        <v>47</v>
      </c>
      <c r="J826">
        <v>33</v>
      </c>
      <c r="K826">
        <v>488</v>
      </c>
      <c r="L826">
        <v>83.37</v>
      </c>
      <c r="M826">
        <v>13.69</v>
      </c>
      <c r="N826">
        <v>9.2200000000000006</v>
      </c>
      <c r="O826">
        <v>15.61</v>
      </c>
      <c r="P826">
        <v>591.71</v>
      </c>
      <c r="Q826">
        <v>379</v>
      </c>
      <c r="R826">
        <v>1</v>
      </c>
      <c r="S826">
        <v>202</v>
      </c>
    </row>
    <row r="827" spans="1:19" x14ac:dyDescent="0.3">
      <c r="A827">
        <v>826</v>
      </c>
      <c r="B827" t="s">
        <v>533</v>
      </c>
      <c r="C827">
        <v>2022</v>
      </c>
      <c r="D827" t="s">
        <v>20</v>
      </c>
      <c r="E827">
        <v>1</v>
      </c>
      <c r="F827" t="s">
        <v>37</v>
      </c>
      <c r="G827" t="s">
        <v>42</v>
      </c>
      <c r="H827">
        <v>11.17</v>
      </c>
      <c r="I827" t="s">
        <v>38</v>
      </c>
      <c r="J827">
        <v>11</v>
      </c>
      <c r="K827">
        <v>305</v>
      </c>
      <c r="L827">
        <v>88.82</v>
      </c>
      <c r="M827">
        <v>16.04</v>
      </c>
      <c r="N827">
        <v>10.77</v>
      </c>
      <c r="O827">
        <v>2.7</v>
      </c>
      <c r="P827">
        <v>256.93</v>
      </c>
      <c r="Q827">
        <v>561</v>
      </c>
      <c r="R827">
        <v>3</v>
      </c>
      <c r="S827">
        <v>242</v>
      </c>
    </row>
    <row r="828" spans="1:19" x14ac:dyDescent="0.3">
      <c r="A828">
        <v>827</v>
      </c>
      <c r="B828" t="s">
        <v>534</v>
      </c>
      <c r="C828">
        <v>2022</v>
      </c>
      <c r="D828" t="s">
        <v>20</v>
      </c>
      <c r="E828">
        <v>1</v>
      </c>
      <c r="F828" t="s">
        <v>31</v>
      </c>
      <c r="G828" t="s">
        <v>42</v>
      </c>
      <c r="H828">
        <v>47.29</v>
      </c>
      <c r="I828" t="s">
        <v>32</v>
      </c>
      <c r="J828">
        <v>40</v>
      </c>
      <c r="K828">
        <v>171</v>
      </c>
      <c r="L828">
        <v>79.95</v>
      </c>
      <c r="M828">
        <v>13.43</v>
      </c>
      <c r="N828">
        <v>11.29</v>
      </c>
      <c r="O828">
        <v>4.32</v>
      </c>
      <c r="P828">
        <v>381.66</v>
      </c>
      <c r="Q828">
        <v>1007</v>
      </c>
      <c r="R828">
        <v>2</v>
      </c>
      <c r="S828">
        <v>243</v>
      </c>
    </row>
    <row r="829" spans="1:19" x14ac:dyDescent="0.3">
      <c r="A829">
        <v>828</v>
      </c>
      <c r="B829" t="s">
        <v>531</v>
      </c>
      <c r="C829">
        <v>2022</v>
      </c>
      <c r="D829" t="s">
        <v>20</v>
      </c>
      <c r="E829">
        <v>1</v>
      </c>
      <c r="F829" t="s">
        <v>21</v>
      </c>
      <c r="G829" t="s">
        <v>40</v>
      </c>
      <c r="H829">
        <v>11.41</v>
      </c>
      <c r="I829" t="s">
        <v>47</v>
      </c>
      <c r="J829">
        <v>30</v>
      </c>
      <c r="K829">
        <v>274</v>
      </c>
      <c r="L829">
        <v>80.540000000000006</v>
      </c>
      <c r="M829">
        <v>17.28</v>
      </c>
      <c r="N829">
        <v>20.51</v>
      </c>
      <c r="O829">
        <v>1.44</v>
      </c>
      <c r="P829">
        <v>297.66000000000003</v>
      </c>
      <c r="Q829">
        <v>654</v>
      </c>
      <c r="R829">
        <v>4</v>
      </c>
      <c r="S829">
        <v>238</v>
      </c>
    </row>
    <row r="830" spans="1:19" x14ac:dyDescent="0.3">
      <c r="A830">
        <v>829</v>
      </c>
      <c r="B830" t="s">
        <v>530</v>
      </c>
      <c r="C830">
        <v>2022</v>
      </c>
      <c r="D830" t="s">
        <v>20</v>
      </c>
      <c r="E830">
        <v>1</v>
      </c>
      <c r="F830" t="s">
        <v>31</v>
      </c>
      <c r="G830" t="s">
        <v>42</v>
      </c>
      <c r="H830">
        <v>40.14</v>
      </c>
      <c r="I830" t="s">
        <v>38</v>
      </c>
      <c r="J830">
        <v>20</v>
      </c>
      <c r="K830">
        <v>123</v>
      </c>
      <c r="L830">
        <v>92.56</v>
      </c>
      <c r="M830">
        <v>34.78</v>
      </c>
      <c r="N830">
        <v>2.5299999999999998</v>
      </c>
      <c r="O830">
        <v>3.11</v>
      </c>
      <c r="P830">
        <v>361.32</v>
      </c>
      <c r="Q830">
        <v>195</v>
      </c>
      <c r="R830">
        <v>1</v>
      </c>
      <c r="S830">
        <v>213</v>
      </c>
    </row>
    <row r="831" spans="1:19" x14ac:dyDescent="0.3">
      <c r="A831">
        <v>830</v>
      </c>
      <c r="B831" t="s">
        <v>535</v>
      </c>
      <c r="C831">
        <v>2022</v>
      </c>
      <c r="D831" t="s">
        <v>20</v>
      </c>
      <c r="E831">
        <v>1</v>
      </c>
      <c r="F831" t="s">
        <v>34</v>
      </c>
      <c r="G831" t="s">
        <v>40</v>
      </c>
      <c r="H831">
        <v>39.46</v>
      </c>
      <c r="I831" t="s">
        <v>23</v>
      </c>
      <c r="J831">
        <v>38</v>
      </c>
      <c r="K831">
        <v>180</v>
      </c>
      <c r="L831">
        <v>76</v>
      </c>
      <c r="M831">
        <v>29.9</v>
      </c>
      <c r="N831">
        <v>8.1999999999999993</v>
      </c>
      <c r="O831">
        <v>15.18</v>
      </c>
      <c r="P831">
        <v>384.06</v>
      </c>
      <c r="Q831">
        <v>143</v>
      </c>
      <c r="R831">
        <v>1</v>
      </c>
      <c r="S831">
        <v>76</v>
      </c>
    </row>
    <row r="832" spans="1:19" x14ac:dyDescent="0.3">
      <c r="A832">
        <v>831</v>
      </c>
      <c r="B832" t="s">
        <v>536</v>
      </c>
      <c r="C832">
        <v>2022</v>
      </c>
      <c r="D832" t="s">
        <v>20</v>
      </c>
      <c r="E832">
        <v>1</v>
      </c>
      <c r="F832" t="s">
        <v>29</v>
      </c>
      <c r="G832" t="s">
        <v>35</v>
      </c>
      <c r="H832">
        <v>47.63</v>
      </c>
      <c r="I832" t="s">
        <v>47</v>
      </c>
      <c r="J832">
        <v>13</v>
      </c>
      <c r="K832">
        <v>531</v>
      </c>
      <c r="L832">
        <v>92.78</v>
      </c>
      <c r="M832">
        <v>7.09</v>
      </c>
      <c r="N832">
        <v>15.21</v>
      </c>
      <c r="O832">
        <v>2.1800000000000002</v>
      </c>
      <c r="P832">
        <v>551.54</v>
      </c>
      <c r="Q832">
        <v>497</v>
      </c>
      <c r="R832">
        <v>4</v>
      </c>
      <c r="S832">
        <v>190</v>
      </c>
    </row>
    <row r="833" spans="1:19" x14ac:dyDescent="0.3">
      <c r="A833">
        <v>832</v>
      </c>
      <c r="B833" t="s">
        <v>537</v>
      </c>
      <c r="C833">
        <v>2022</v>
      </c>
      <c r="D833" t="s">
        <v>20</v>
      </c>
      <c r="E833">
        <v>1</v>
      </c>
      <c r="F833" t="s">
        <v>62</v>
      </c>
      <c r="G833" t="s">
        <v>26</v>
      </c>
      <c r="H833">
        <v>52.65</v>
      </c>
      <c r="I833" t="s">
        <v>27</v>
      </c>
      <c r="J833">
        <v>18</v>
      </c>
      <c r="K833">
        <v>115</v>
      </c>
      <c r="L833">
        <v>75.319999999999993</v>
      </c>
      <c r="M833">
        <v>19.53</v>
      </c>
      <c r="N833">
        <v>21.29</v>
      </c>
      <c r="O833">
        <v>7.31</v>
      </c>
      <c r="P833">
        <v>570.34</v>
      </c>
      <c r="Q833">
        <v>602</v>
      </c>
      <c r="R833">
        <v>5</v>
      </c>
      <c r="S833">
        <v>230</v>
      </c>
    </row>
    <row r="834" spans="1:19" x14ac:dyDescent="0.3">
      <c r="A834">
        <v>833</v>
      </c>
      <c r="B834" t="s">
        <v>538</v>
      </c>
      <c r="C834">
        <v>2022</v>
      </c>
      <c r="D834" t="s">
        <v>20</v>
      </c>
      <c r="E834">
        <v>1</v>
      </c>
      <c r="F834" t="s">
        <v>37</v>
      </c>
      <c r="G834" t="s">
        <v>26</v>
      </c>
      <c r="H834">
        <v>15.39</v>
      </c>
      <c r="I834" t="s">
        <v>27</v>
      </c>
      <c r="J834">
        <v>28</v>
      </c>
      <c r="K834">
        <v>314</v>
      </c>
      <c r="L834">
        <v>81.19</v>
      </c>
      <c r="M834">
        <v>22.33</v>
      </c>
      <c r="N834">
        <v>10.89</v>
      </c>
      <c r="O834">
        <v>14.59</v>
      </c>
      <c r="P834">
        <v>173.9</v>
      </c>
      <c r="Q834">
        <v>906</v>
      </c>
      <c r="R834">
        <v>5</v>
      </c>
      <c r="S834">
        <v>69</v>
      </c>
    </row>
    <row r="835" spans="1:19" x14ac:dyDescent="0.3">
      <c r="A835">
        <v>834</v>
      </c>
      <c r="B835" t="s">
        <v>536</v>
      </c>
      <c r="C835">
        <v>2022</v>
      </c>
      <c r="D835" t="s">
        <v>20</v>
      </c>
      <c r="E835">
        <v>1</v>
      </c>
      <c r="F835" t="s">
        <v>62</v>
      </c>
      <c r="G835" t="s">
        <v>35</v>
      </c>
      <c r="H835">
        <v>27.31</v>
      </c>
      <c r="I835" t="s">
        <v>32</v>
      </c>
      <c r="J835">
        <v>33</v>
      </c>
      <c r="K835">
        <v>469</v>
      </c>
      <c r="L835">
        <v>80.849999999999994</v>
      </c>
      <c r="M835">
        <v>22.87</v>
      </c>
      <c r="N835">
        <v>21.66</v>
      </c>
      <c r="O835">
        <v>13.17</v>
      </c>
      <c r="P835">
        <v>137.22</v>
      </c>
      <c r="Q835">
        <v>709</v>
      </c>
      <c r="R835">
        <v>4</v>
      </c>
      <c r="S835">
        <v>58</v>
      </c>
    </row>
    <row r="836" spans="1:19" x14ac:dyDescent="0.3">
      <c r="A836">
        <v>835</v>
      </c>
      <c r="B836" t="s">
        <v>529</v>
      </c>
      <c r="C836">
        <v>2022</v>
      </c>
      <c r="D836" t="s">
        <v>20</v>
      </c>
      <c r="E836">
        <v>1</v>
      </c>
      <c r="F836" t="s">
        <v>21</v>
      </c>
      <c r="G836" t="s">
        <v>26</v>
      </c>
      <c r="H836">
        <v>31.44</v>
      </c>
      <c r="I836" t="s">
        <v>32</v>
      </c>
      <c r="J836">
        <v>50</v>
      </c>
      <c r="K836">
        <v>588</v>
      </c>
      <c r="L836">
        <v>82.07</v>
      </c>
      <c r="M836">
        <v>7.92</v>
      </c>
      <c r="N836">
        <v>11.17</v>
      </c>
      <c r="O836">
        <v>6.43</v>
      </c>
      <c r="P836">
        <v>399.2</v>
      </c>
      <c r="Q836">
        <v>1066</v>
      </c>
      <c r="R836">
        <v>1</v>
      </c>
      <c r="S836">
        <v>117</v>
      </c>
    </row>
    <row r="837" spans="1:19" x14ac:dyDescent="0.3">
      <c r="A837">
        <v>836</v>
      </c>
      <c r="B837" t="s">
        <v>529</v>
      </c>
      <c r="C837">
        <v>2022</v>
      </c>
      <c r="D837" t="s">
        <v>20</v>
      </c>
      <c r="E837">
        <v>1</v>
      </c>
      <c r="F837" t="s">
        <v>25</v>
      </c>
      <c r="G837" t="s">
        <v>35</v>
      </c>
      <c r="H837">
        <v>34.909999999999997</v>
      </c>
      <c r="I837" t="s">
        <v>27</v>
      </c>
      <c r="J837">
        <v>12</v>
      </c>
      <c r="K837">
        <v>359</v>
      </c>
      <c r="L837">
        <v>94.04</v>
      </c>
      <c r="M837">
        <v>25.61</v>
      </c>
      <c r="N837">
        <v>4.1100000000000003</v>
      </c>
      <c r="O837">
        <v>10.56</v>
      </c>
      <c r="P837">
        <v>246.21</v>
      </c>
      <c r="Q837">
        <v>1012</v>
      </c>
      <c r="R837">
        <v>4</v>
      </c>
      <c r="S837">
        <v>222</v>
      </c>
    </row>
    <row r="838" spans="1:19" x14ac:dyDescent="0.3">
      <c r="A838">
        <v>837</v>
      </c>
      <c r="B838" t="s">
        <v>539</v>
      </c>
      <c r="C838">
        <v>2022</v>
      </c>
      <c r="D838" t="s">
        <v>20</v>
      </c>
      <c r="E838">
        <v>1</v>
      </c>
      <c r="F838" t="s">
        <v>31</v>
      </c>
      <c r="G838" t="s">
        <v>40</v>
      </c>
      <c r="H838">
        <v>46.4</v>
      </c>
      <c r="I838" t="s">
        <v>23</v>
      </c>
      <c r="J838">
        <v>47</v>
      </c>
      <c r="K838">
        <v>245</v>
      </c>
      <c r="L838">
        <v>84.24</v>
      </c>
      <c r="M838">
        <v>23.76</v>
      </c>
      <c r="N838">
        <v>3.89</v>
      </c>
      <c r="O838">
        <v>12.41</v>
      </c>
      <c r="P838">
        <v>406.35</v>
      </c>
      <c r="Q838">
        <v>730</v>
      </c>
      <c r="R838">
        <v>3</v>
      </c>
      <c r="S838">
        <v>156</v>
      </c>
    </row>
    <row r="839" spans="1:19" x14ac:dyDescent="0.3">
      <c r="A839">
        <v>838</v>
      </c>
      <c r="B839" t="s">
        <v>540</v>
      </c>
      <c r="C839">
        <v>2022</v>
      </c>
      <c r="D839" t="s">
        <v>20</v>
      </c>
      <c r="E839">
        <v>1</v>
      </c>
      <c r="F839" t="s">
        <v>62</v>
      </c>
      <c r="G839" t="s">
        <v>22</v>
      </c>
      <c r="H839">
        <v>11.34</v>
      </c>
      <c r="I839" t="s">
        <v>32</v>
      </c>
      <c r="J839">
        <v>5</v>
      </c>
      <c r="K839">
        <v>343</v>
      </c>
      <c r="L839">
        <v>79.05</v>
      </c>
      <c r="M839">
        <v>28</v>
      </c>
      <c r="N839">
        <v>19.2</v>
      </c>
      <c r="O839">
        <v>1.45</v>
      </c>
      <c r="P839">
        <v>323.10000000000002</v>
      </c>
      <c r="Q839">
        <v>147</v>
      </c>
      <c r="R839">
        <v>3</v>
      </c>
      <c r="S839">
        <v>228</v>
      </c>
    </row>
    <row r="840" spans="1:19" x14ac:dyDescent="0.3">
      <c r="A840">
        <v>839</v>
      </c>
      <c r="B840" t="s">
        <v>540</v>
      </c>
      <c r="C840">
        <v>2022</v>
      </c>
      <c r="D840" t="s">
        <v>20</v>
      </c>
      <c r="E840">
        <v>1</v>
      </c>
      <c r="F840" t="s">
        <v>53</v>
      </c>
      <c r="G840" t="s">
        <v>35</v>
      </c>
      <c r="H840">
        <v>23.66</v>
      </c>
      <c r="I840" t="s">
        <v>27</v>
      </c>
      <c r="J840">
        <v>7</v>
      </c>
      <c r="K840">
        <v>554</v>
      </c>
      <c r="L840">
        <v>88.66</v>
      </c>
      <c r="M840">
        <v>23.36</v>
      </c>
      <c r="N840">
        <v>6.27</v>
      </c>
      <c r="O840">
        <v>8.09</v>
      </c>
      <c r="P840">
        <v>505.61</v>
      </c>
      <c r="Q840">
        <v>110</v>
      </c>
      <c r="R840">
        <v>1</v>
      </c>
      <c r="S840">
        <v>135</v>
      </c>
    </row>
    <row r="841" spans="1:19" x14ac:dyDescent="0.3">
      <c r="A841">
        <v>840</v>
      </c>
      <c r="B841" t="s">
        <v>541</v>
      </c>
      <c r="C841">
        <v>2022</v>
      </c>
      <c r="D841" t="s">
        <v>20</v>
      </c>
      <c r="E841">
        <v>1</v>
      </c>
      <c r="F841" t="s">
        <v>62</v>
      </c>
      <c r="G841" t="s">
        <v>42</v>
      </c>
      <c r="H841">
        <v>19.559999999999999</v>
      </c>
      <c r="I841" t="s">
        <v>23</v>
      </c>
      <c r="J841">
        <v>35</v>
      </c>
      <c r="K841">
        <v>541</v>
      </c>
      <c r="L841">
        <v>93.71</v>
      </c>
      <c r="M841">
        <v>8.57</v>
      </c>
      <c r="N841">
        <v>18.59</v>
      </c>
      <c r="O841">
        <v>7.66</v>
      </c>
      <c r="P841">
        <v>528.45000000000005</v>
      </c>
      <c r="Q841">
        <v>527</v>
      </c>
      <c r="R841">
        <v>5</v>
      </c>
      <c r="S841">
        <v>238</v>
      </c>
    </row>
    <row r="842" spans="1:19" x14ac:dyDescent="0.3">
      <c r="A842">
        <v>841</v>
      </c>
      <c r="B842" t="s">
        <v>542</v>
      </c>
      <c r="C842">
        <v>2022</v>
      </c>
      <c r="D842" t="s">
        <v>20</v>
      </c>
      <c r="E842">
        <v>1</v>
      </c>
      <c r="F842" t="s">
        <v>37</v>
      </c>
      <c r="G842" t="s">
        <v>40</v>
      </c>
      <c r="H842">
        <v>19.829999999999998</v>
      </c>
      <c r="I842" t="s">
        <v>38</v>
      </c>
      <c r="J842">
        <v>40</v>
      </c>
      <c r="K842">
        <v>381</v>
      </c>
      <c r="L842">
        <v>76.98</v>
      </c>
      <c r="M842">
        <v>25.64</v>
      </c>
      <c r="N842">
        <v>19.86</v>
      </c>
      <c r="O842">
        <v>11.86</v>
      </c>
      <c r="P842">
        <v>157.02000000000001</v>
      </c>
      <c r="Q842">
        <v>868</v>
      </c>
      <c r="R842">
        <v>2</v>
      </c>
      <c r="S842">
        <v>53</v>
      </c>
    </row>
    <row r="843" spans="1:19" x14ac:dyDescent="0.3">
      <c r="A843">
        <v>842</v>
      </c>
      <c r="B843" t="s">
        <v>543</v>
      </c>
      <c r="C843">
        <v>2022</v>
      </c>
      <c r="D843" t="s">
        <v>20</v>
      </c>
      <c r="E843">
        <v>1</v>
      </c>
      <c r="F843" t="s">
        <v>21</v>
      </c>
      <c r="G843" t="s">
        <v>40</v>
      </c>
      <c r="H843">
        <v>45.23</v>
      </c>
      <c r="I843" t="s">
        <v>27</v>
      </c>
      <c r="J843">
        <v>2</v>
      </c>
      <c r="K843">
        <v>210</v>
      </c>
      <c r="L843">
        <v>76.28</v>
      </c>
      <c r="M843">
        <v>22.99</v>
      </c>
      <c r="N843">
        <v>17.899999999999999</v>
      </c>
      <c r="O843">
        <v>2.34</v>
      </c>
      <c r="P843">
        <v>529.49</v>
      </c>
      <c r="Q843">
        <v>847</v>
      </c>
      <c r="R843">
        <v>1</v>
      </c>
      <c r="S843">
        <v>209</v>
      </c>
    </row>
    <row r="844" spans="1:19" x14ac:dyDescent="0.3">
      <c r="A844">
        <v>843</v>
      </c>
      <c r="B844" t="s">
        <v>544</v>
      </c>
      <c r="C844">
        <v>2022</v>
      </c>
      <c r="D844" t="s">
        <v>20</v>
      </c>
      <c r="E844">
        <v>1</v>
      </c>
      <c r="F844" t="s">
        <v>25</v>
      </c>
      <c r="G844" t="s">
        <v>35</v>
      </c>
      <c r="H844">
        <v>27.53</v>
      </c>
      <c r="I844" t="s">
        <v>47</v>
      </c>
      <c r="J844">
        <v>25</v>
      </c>
      <c r="K844">
        <v>427</v>
      </c>
      <c r="L844">
        <v>81.12</v>
      </c>
      <c r="M844">
        <v>8.9499999999999993</v>
      </c>
      <c r="N844">
        <v>19.82</v>
      </c>
      <c r="O844">
        <v>1.84</v>
      </c>
      <c r="P844">
        <v>548.16999999999996</v>
      </c>
      <c r="Q844">
        <v>256</v>
      </c>
      <c r="R844">
        <v>4</v>
      </c>
      <c r="S844">
        <v>204</v>
      </c>
    </row>
    <row r="845" spans="1:19" x14ac:dyDescent="0.3">
      <c r="A845">
        <v>844</v>
      </c>
      <c r="B845" t="s">
        <v>527</v>
      </c>
      <c r="C845">
        <v>2022</v>
      </c>
      <c r="D845" t="s">
        <v>20</v>
      </c>
      <c r="E845">
        <v>1</v>
      </c>
      <c r="F845" t="s">
        <v>62</v>
      </c>
      <c r="G845" t="s">
        <v>22</v>
      </c>
      <c r="H845">
        <v>27.72</v>
      </c>
      <c r="I845" t="s">
        <v>32</v>
      </c>
      <c r="J845">
        <v>7</v>
      </c>
      <c r="K845">
        <v>143</v>
      </c>
      <c r="L845">
        <v>79.39</v>
      </c>
      <c r="M845">
        <v>10.49</v>
      </c>
      <c r="N845">
        <v>18.89</v>
      </c>
      <c r="O845">
        <v>11.66</v>
      </c>
      <c r="P845">
        <v>430.81</v>
      </c>
      <c r="Q845">
        <v>777</v>
      </c>
      <c r="R845">
        <v>5</v>
      </c>
      <c r="S845">
        <v>149</v>
      </c>
    </row>
    <row r="846" spans="1:19" x14ac:dyDescent="0.3">
      <c r="A846">
        <v>845</v>
      </c>
      <c r="B846" t="s">
        <v>541</v>
      </c>
      <c r="C846">
        <v>2022</v>
      </c>
      <c r="D846" t="s">
        <v>20</v>
      </c>
      <c r="E846">
        <v>1</v>
      </c>
      <c r="F846" t="s">
        <v>25</v>
      </c>
      <c r="G846" t="s">
        <v>22</v>
      </c>
      <c r="H846">
        <v>32.9</v>
      </c>
      <c r="I846" t="s">
        <v>27</v>
      </c>
      <c r="J846">
        <v>5</v>
      </c>
      <c r="K846">
        <v>415</v>
      </c>
      <c r="L846">
        <v>84.74</v>
      </c>
      <c r="M846">
        <v>29.96</v>
      </c>
      <c r="N846">
        <v>21.92</v>
      </c>
      <c r="O846">
        <v>14.46</v>
      </c>
      <c r="P846">
        <v>290.22000000000003</v>
      </c>
      <c r="Q846">
        <v>682</v>
      </c>
      <c r="R846">
        <v>4</v>
      </c>
      <c r="S846">
        <v>121</v>
      </c>
    </row>
    <row r="847" spans="1:19" x14ac:dyDescent="0.3">
      <c r="A847">
        <v>846</v>
      </c>
      <c r="B847" t="s">
        <v>540</v>
      </c>
      <c r="C847">
        <v>2022</v>
      </c>
      <c r="D847" t="s">
        <v>20</v>
      </c>
      <c r="E847">
        <v>1</v>
      </c>
      <c r="F847" t="s">
        <v>37</v>
      </c>
      <c r="G847" t="s">
        <v>40</v>
      </c>
      <c r="H847">
        <v>43.54</v>
      </c>
      <c r="I847" t="s">
        <v>32</v>
      </c>
      <c r="J847">
        <v>18</v>
      </c>
      <c r="K847">
        <v>149</v>
      </c>
      <c r="L847">
        <v>91.08</v>
      </c>
      <c r="M847">
        <v>16.670000000000002</v>
      </c>
      <c r="N847">
        <v>18.54</v>
      </c>
      <c r="O847">
        <v>8.1</v>
      </c>
      <c r="P847">
        <v>499.09</v>
      </c>
      <c r="Q847">
        <v>829</v>
      </c>
      <c r="R847">
        <v>2</v>
      </c>
      <c r="S847">
        <v>224</v>
      </c>
    </row>
    <row r="848" spans="1:19" x14ac:dyDescent="0.3">
      <c r="A848">
        <v>847</v>
      </c>
      <c r="B848" t="s">
        <v>535</v>
      </c>
      <c r="C848">
        <v>2022</v>
      </c>
      <c r="D848" t="s">
        <v>20</v>
      </c>
      <c r="E848">
        <v>1</v>
      </c>
      <c r="F848" t="s">
        <v>62</v>
      </c>
      <c r="G848" t="s">
        <v>26</v>
      </c>
      <c r="H848">
        <v>23.42</v>
      </c>
      <c r="I848" t="s">
        <v>38</v>
      </c>
      <c r="J848">
        <v>4</v>
      </c>
      <c r="K848">
        <v>383</v>
      </c>
      <c r="L848">
        <v>88.57</v>
      </c>
      <c r="M848">
        <v>32.54</v>
      </c>
      <c r="N848">
        <v>7.43</v>
      </c>
      <c r="O848">
        <v>6.12</v>
      </c>
      <c r="P848">
        <v>561.26</v>
      </c>
      <c r="Q848">
        <v>1038</v>
      </c>
      <c r="R848">
        <v>2</v>
      </c>
      <c r="S848">
        <v>245</v>
      </c>
    </row>
    <row r="849" spans="1:19" x14ac:dyDescent="0.3">
      <c r="A849">
        <v>848</v>
      </c>
      <c r="B849" t="s">
        <v>545</v>
      </c>
      <c r="C849">
        <v>2022</v>
      </c>
      <c r="D849" t="s">
        <v>20</v>
      </c>
      <c r="E849">
        <v>1</v>
      </c>
      <c r="F849" t="s">
        <v>29</v>
      </c>
      <c r="G849" t="s">
        <v>35</v>
      </c>
      <c r="H849">
        <v>14.46</v>
      </c>
      <c r="I849" t="s">
        <v>32</v>
      </c>
      <c r="J849">
        <v>35</v>
      </c>
      <c r="K849">
        <v>181</v>
      </c>
      <c r="L849">
        <v>75.790000000000006</v>
      </c>
      <c r="M849">
        <v>31.36</v>
      </c>
      <c r="N849">
        <v>21.61</v>
      </c>
      <c r="O849">
        <v>6.41</v>
      </c>
      <c r="P849">
        <v>537.1</v>
      </c>
      <c r="Q849">
        <v>728</v>
      </c>
      <c r="R849">
        <v>4</v>
      </c>
      <c r="S849">
        <v>116</v>
      </c>
    </row>
    <row r="850" spans="1:19" x14ac:dyDescent="0.3">
      <c r="A850">
        <v>849</v>
      </c>
      <c r="B850" t="s">
        <v>536</v>
      </c>
      <c r="C850">
        <v>2022</v>
      </c>
      <c r="D850" t="s">
        <v>20</v>
      </c>
      <c r="E850">
        <v>1</v>
      </c>
      <c r="F850" t="s">
        <v>34</v>
      </c>
      <c r="G850" t="s">
        <v>22</v>
      </c>
      <c r="H850">
        <v>36.729999999999997</v>
      </c>
      <c r="I850" t="s">
        <v>23</v>
      </c>
      <c r="J850">
        <v>6</v>
      </c>
      <c r="K850">
        <v>253</v>
      </c>
      <c r="L850">
        <v>91.27</v>
      </c>
      <c r="M850">
        <v>23.75</v>
      </c>
      <c r="N850">
        <v>7.11</v>
      </c>
      <c r="O850">
        <v>10.55</v>
      </c>
      <c r="P850">
        <v>226.68</v>
      </c>
      <c r="Q850">
        <v>213</v>
      </c>
      <c r="R850">
        <v>5</v>
      </c>
      <c r="S850">
        <v>157</v>
      </c>
    </row>
    <row r="851" spans="1:19" x14ac:dyDescent="0.3">
      <c r="A851">
        <v>850</v>
      </c>
      <c r="B851" t="s">
        <v>527</v>
      </c>
      <c r="C851">
        <v>2022</v>
      </c>
      <c r="D851" t="s">
        <v>20</v>
      </c>
      <c r="E851">
        <v>1</v>
      </c>
      <c r="F851" t="s">
        <v>29</v>
      </c>
      <c r="G851" t="s">
        <v>42</v>
      </c>
      <c r="H851">
        <v>48.48</v>
      </c>
      <c r="I851" t="s">
        <v>27</v>
      </c>
      <c r="J851">
        <v>7</v>
      </c>
      <c r="K851">
        <v>135</v>
      </c>
      <c r="L851">
        <v>92.39</v>
      </c>
      <c r="M851">
        <v>22.6</v>
      </c>
      <c r="N851">
        <v>17.690000000000001</v>
      </c>
      <c r="O851">
        <v>1.42</v>
      </c>
      <c r="P851">
        <v>124.98</v>
      </c>
      <c r="Q851">
        <v>456</v>
      </c>
      <c r="R851">
        <v>1</v>
      </c>
      <c r="S851">
        <v>159</v>
      </c>
    </row>
    <row r="852" spans="1:19" x14ac:dyDescent="0.3">
      <c r="A852">
        <v>851</v>
      </c>
      <c r="B852" t="s">
        <v>546</v>
      </c>
      <c r="C852">
        <v>2022</v>
      </c>
      <c r="D852" t="s">
        <v>20</v>
      </c>
      <c r="E852">
        <v>2</v>
      </c>
      <c r="F852" t="s">
        <v>21</v>
      </c>
      <c r="G852" t="s">
        <v>35</v>
      </c>
      <c r="H852">
        <v>39.090000000000003</v>
      </c>
      <c r="I852" t="s">
        <v>32</v>
      </c>
      <c r="J852">
        <v>47</v>
      </c>
      <c r="K852">
        <v>177</v>
      </c>
      <c r="L852">
        <v>83.57</v>
      </c>
      <c r="M852">
        <v>11.79</v>
      </c>
      <c r="N852">
        <v>6.75</v>
      </c>
      <c r="O852">
        <v>13.77</v>
      </c>
      <c r="P852">
        <v>547.61</v>
      </c>
      <c r="Q852">
        <v>752</v>
      </c>
      <c r="R852">
        <v>2</v>
      </c>
      <c r="S852">
        <v>214</v>
      </c>
    </row>
    <row r="853" spans="1:19" x14ac:dyDescent="0.3">
      <c r="A853">
        <v>852</v>
      </c>
      <c r="B853" t="s">
        <v>547</v>
      </c>
      <c r="C853">
        <v>2022</v>
      </c>
      <c r="D853" t="s">
        <v>20</v>
      </c>
      <c r="E853">
        <v>2</v>
      </c>
      <c r="F853" t="s">
        <v>34</v>
      </c>
      <c r="G853" t="s">
        <v>22</v>
      </c>
      <c r="H853">
        <v>38.68</v>
      </c>
      <c r="I853" t="s">
        <v>23</v>
      </c>
      <c r="J853">
        <v>46</v>
      </c>
      <c r="K853">
        <v>489</v>
      </c>
      <c r="L853">
        <v>94.65</v>
      </c>
      <c r="M853">
        <v>5.51</v>
      </c>
      <c r="N853">
        <v>19.329999999999998</v>
      </c>
      <c r="O853">
        <v>5.86</v>
      </c>
      <c r="P853">
        <v>565.53</v>
      </c>
      <c r="Q853">
        <v>378</v>
      </c>
      <c r="R853">
        <v>2</v>
      </c>
      <c r="S853">
        <v>88</v>
      </c>
    </row>
    <row r="854" spans="1:19" x14ac:dyDescent="0.3">
      <c r="A854">
        <v>853</v>
      </c>
      <c r="B854" t="s">
        <v>548</v>
      </c>
      <c r="C854">
        <v>2022</v>
      </c>
      <c r="D854" t="s">
        <v>20</v>
      </c>
      <c r="E854">
        <v>2</v>
      </c>
      <c r="F854" t="s">
        <v>21</v>
      </c>
      <c r="G854" t="s">
        <v>35</v>
      </c>
      <c r="H854">
        <v>46.39</v>
      </c>
      <c r="I854" t="s">
        <v>27</v>
      </c>
      <c r="J854">
        <v>47</v>
      </c>
      <c r="K854">
        <v>382</v>
      </c>
      <c r="L854">
        <v>86.53</v>
      </c>
      <c r="M854">
        <v>12.92</v>
      </c>
      <c r="N854">
        <v>16.13</v>
      </c>
      <c r="O854">
        <v>3.16</v>
      </c>
      <c r="P854">
        <v>327.97</v>
      </c>
      <c r="Q854">
        <v>193</v>
      </c>
      <c r="R854">
        <v>3</v>
      </c>
      <c r="S854">
        <v>98</v>
      </c>
    </row>
    <row r="855" spans="1:19" x14ac:dyDescent="0.3">
      <c r="A855">
        <v>854</v>
      </c>
      <c r="B855" t="s">
        <v>549</v>
      </c>
      <c r="C855">
        <v>2022</v>
      </c>
      <c r="D855" t="s">
        <v>20</v>
      </c>
      <c r="E855">
        <v>2</v>
      </c>
      <c r="F855" t="s">
        <v>62</v>
      </c>
      <c r="G855" t="s">
        <v>26</v>
      </c>
      <c r="H855">
        <v>46.24</v>
      </c>
      <c r="I855" t="s">
        <v>27</v>
      </c>
      <c r="J855">
        <v>5</v>
      </c>
      <c r="K855">
        <v>216</v>
      </c>
      <c r="L855">
        <v>76.94</v>
      </c>
      <c r="M855">
        <v>5.09</v>
      </c>
      <c r="N855">
        <v>10.92</v>
      </c>
      <c r="O855">
        <v>4.7699999999999996</v>
      </c>
      <c r="P855">
        <v>184.55</v>
      </c>
      <c r="Q855">
        <v>262</v>
      </c>
      <c r="R855">
        <v>2</v>
      </c>
      <c r="S855">
        <v>204</v>
      </c>
    </row>
    <row r="856" spans="1:19" x14ac:dyDescent="0.3">
      <c r="A856">
        <v>855</v>
      </c>
      <c r="B856" t="s">
        <v>550</v>
      </c>
      <c r="C856">
        <v>2022</v>
      </c>
      <c r="D856" t="s">
        <v>20</v>
      </c>
      <c r="E856">
        <v>2</v>
      </c>
      <c r="F856" t="s">
        <v>29</v>
      </c>
      <c r="G856" t="s">
        <v>35</v>
      </c>
      <c r="H856">
        <v>52.88</v>
      </c>
      <c r="I856" t="s">
        <v>32</v>
      </c>
      <c r="J856">
        <v>48</v>
      </c>
      <c r="K856">
        <v>588</v>
      </c>
      <c r="L856">
        <v>92.63</v>
      </c>
      <c r="M856">
        <v>26.07</v>
      </c>
      <c r="N856">
        <v>19.170000000000002</v>
      </c>
      <c r="O856">
        <v>15.07</v>
      </c>
      <c r="P856">
        <v>385.02</v>
      </c>
      <c r="Q856">
        <v>700</v>
      </c>
      <c r="R856">
        <v>4</v>
      </c>
      <c r="S856">
        <v>142</v>
      </c>
    </row>
    <row r="857" spans="1:19" x14ac:dyDescent="0.3">
      <c r="A857">
        <v>856</v>
      </c>
      <c r="B857" t="s">
        <v>551</v>
      </c>
      <c r="C857">
        <v>2022</v>
      </c>
      <c r="D857" t="s">
        <v>20</v>
      </c>
      <c r="E857">
        <v>2</v>
      </c>
      <c r="F857" t="s">
        <v>21</v>
      </c>
      <c r="G857" t="s">
        <v>26</v>
      </c>
      <c r="H857">
        <v>18.16</v>
      </c>
      <c r="I857" t="s">
        <v>47</v>
      </c>
      <c r="J857">
        <v>20</v>
      </c>
      <c r="K857">
        <v>392</v>
      </c>
      <c r="L857">
        <v>81.38</v>
      </c>
      <c r="M857">
        <v>29.28</v>
      </c>
      <c r="N857">
        <v>20.47</v>
      </c>
      <c r="O857">
        <v>14.05</v>
      </c>
      <c r="P857">
        <v>589.13</v>
      </c>
      <c r="Q857">
        <v>214</v>
      </c>
      <c r="R857">
        <v>5</v>
      </c>
      <c r="S857">
        <v>198</v>
      </c>
    </row>
    <row r="858" spans="1:19" x14ac:dyDescent="0.3">
      <c r="A858">
        <v>857</v>
      </c>
      <c r="B858" t="s">
        <v>552</v>
      </c>
      <c r="C858">
        <v>2022</v>
      </c>
      <c r="D858" t="s">
        <v>20</v>
      </c>
      <c r="E858">
        <v>2</v>
      </c>
      <c r="F858" t="s">
        <v>53</v>
      </c>
      <c r="G858" t="s">
        <v>35</v>
      </c>
      <c r="H858">
        <v>25.3</v>
      </c>
      <c r="I858" t="s">
        <v>27</v>
      </c>
      <c r="J858">
        <v>17</v>
      </c>
      <c r="K858">
        <v>550</v>
      </c>
      <c r="L858">
        <v>85.64</v>
      </c>
      <c r="M858">
        <v>30.57</v>
      </c>
      <c r="N858">
        <v>7.25</v>
      </c>
      <c r="O858">
        <v>1.84</v>
      </c>
      <c r="P858">
        <v>161.61000000000001</v>
      </c>
      <c r="Q858">
        <v>515</v>
      </c>
      <c r="R858">
        <v>5</v>
      </c>
      <c r="S858">
        <v>62</v>
      </c>
    </row>
    <row r="859" spans="1:19" x14ac:dyDescent="0.3">
      <c r="A859">
        <v>858</v>
      </c>
      <c r="B859" t="s">
        <v>547</v>
      </c>
      <c r="C859">
        <v>2022</v>
      </c>
      <c r="D859" t="s">
        <v>20</v>
      </c>
      <c r="E859">
        <v>2</v>
      </c>
      <c r="F859" t="s">
        <v>62</v>
      </c>
      <c r="G859" t="s">
        <v>22</v>
      </c>
      <c r="H859">
        <v>26.61</v>
      </c>
      <c r="I859" t="s">
        <v>27</v>
      </c>
      <c r="J859">
        <v>27</v>
      </c>
      <c r="K859">
        <v>446</v>
      </c>
      <c r="L859">
        <v>88.81</v>
      </c>
      <c r="M859">
        <v>8.56</v>
      </c>
      <c r="N859">
        <v>18.440000000000001</v>
      </c>
      <c r="O859">
        <v>4.4000000000000004</v>
      </c>
      <c r="P859">
        <v>165.68</v>
      </c>
      <c r="Q859">
        <v>440</v>
      </c>
      <c r="R859">
        <v>5</v>
      </c>
      <c r="S859">
        <v>243</v>
      </c>
    </row>
    <row r="860" spans="1:19" x14ac:dyDescent="0.3">
      <c r="A860">
        <v>859</v>
      </c>
      <c r="B860" t="s">
        <v>553</v>
      </c>
      <c r="C860">
        <v>2022</v>
      </c>
      <c r="D860" t="s">
        <v>20</v>
      </c>
      <c r="E860">
        <v>2</v>
      </c>
      <c r="F860" t="s">
        <v>31</v>
      </c>
      <c r="G860" t="s">
        <v>35</v>
      </c>
      <c r="H860">
        <v>48.24</v>
      </c>
      <c r="I860" t="s">
        <v>47</v>
      </c>
      <c r="J860">
        <v>42</v>
      </c>
      <c r="K860">
        <v>375</v>
      </c>
      <c r="L860">
        <v>82.46</v>
      </c>
      <c r="M860">
        <v>18.22</v>
      </c>
      <c r="N860">
        <v>2.64</v>
      </c>
      <c r="O860">
        <v>12</v>
      </c>
      <c r="P860">
        <v>500.45</v>
      </c>
      <c r="Q860">
        <v>905</v>
      </c>
      <c r="R860">
        <v>2</v>
      </c>
      <c r="S860">
        <v>212</v>
      </c>
    </row>
    <row r="861" spans="1:19" x14ac:dyDescent="0.3">
      <c r="A861">
        <v>860</v>
      </c>
      <c r="B861" t="s">
        <v>554</v>
      </c>
      <c r="C861">
        <v>2022</v>
      </c>
      <c r="D861" t="s">
        <v>20</v>
      </c>
      <c r="E861">
        <v>2</v>
      </c>
      <c r="F861" t="s">
        <v>25</v>
      </c>
      <c r="G861" t="s">
        <v>35</v>
      </c>
      <c r="H861">
        <v>50.29</v>
      </c>
      <c r="I861" t="s">
        <v>38</v>
      </c>
      <c r="J861">
        <v>31</v>
      </c>
      <c r="K861">
        <v>236</v>
      </c>
      <c r="L861">
        <v>91.5</v>
      </c>
      <c r="M861">
        <v>22.25</v>
      </c>
      <c r="N861">
        <v>2.09</v>
      </c>
      <c r="O861">
        <v>12.32</v>
      </c>
      <c r="P861">
        <v>194.7</v>
      </c>
      <c r="Q861">
        <v>677</v>
      </c>
      <c r="R861">
        <v>5</v>
      </c>
      <c r="S861">
        <v>187</v>
      </c>
    </row>
    <row r="862" spans="1:19" x14ac:dyDescent="0.3">
      <c r="A862">
        <v>861</v>
      </c>
      <c r="B862" t="s">
        <v>555</v>
      </c>
      <c r="C862">
        <v>2022</v>
      </c>
      <c r="D862" t="s">
        <v>20</v>
      </c>
      <c r="E862">
        <v>2</v>
      </c>
      <c r="F862" t="s">
        <v>31</v>
      </c>
      <c r="G862" t="s">
        <v>40</v>
      </c>
      <c r="H862">
        <v>47.64</v>
      </c>
      <c r="I862" t="s">
        <v>32</v>
      </c>
      <c r="J862">
        <v>35</v>
      </c>
      <c r="K862">
        <v>358</v>
      </c>
      <c r="L862">
        <v>86.68</v>
      </c>
      <c r="M862">
        <v>19.510000000000002</v>
      </c>
      <c r="N862">
        <v>14.84</v>
      </c>
      <c r="O862">
        <v>3.07</v>
      </c>
      <c r="P862">
        <v>381.34</v>
      </c>
      <c r="Q862">
        <v>464</v>
      </c>
      <c r="R862">
        <v>2</v>
      </c>
      <c r="S862">
        <v>101</v>
      </c>
    </row>
    <row r="863" spans="1:19" x14ac:dyDescent="0.3">
      <c r="A863">
        <v>862</v>
      </c>
      <c r="B863" t="s">
        <v>556</v>
      </c>
      <c r="C863">
        <v>2022</v>
      </c>
      <c r="D863" t="s">
        <v>20</v>
      </c>
      <c r="E863">
        <v>2</v>
      </c>
      <c r="F863" t="s">
        <v>25</v>
      </c>
      <c r="G863" t="s">
        <v>26</v>
      </c>
      <c r="H863">
        <v>43.11</v>
      </c>
      <c r="I863" t="s">
        <v>27</v>
      </c>
      <c r="J863">
        <v>14</v>
      </c>
      <c r="K863">
        <v>114</v>
      </c>
      <c r="L863">
        <v>76.31</v>
      </c>
      <c r="M863">
        <v>25.14</v>
      </c>
      <c r="N863">
        <v>7.27</v>
      </c>
      <c r="O863">
        <v>1.91</v>
      </c>
      <c r="P863">
        <v>189.86</v>
      </c>
      <c r="Q863">
        <v>756</v>
      </c>
      <c r="R863">
        <v>2</v>
      </c>
      <c r="S863">
        <v>218</v>
      </c>
    </row>
    <row r="864" spans="1:19" x14ac:dyDescent="0.3">
      <c r="A864">
        <v>863</v>
      </c>
      <c r="B864" t="s">
        <v>557</v>
      </c>
      <c r="C864">
        <v>2022</v>
      </c>
      <c r="D864" t="s">
        <v>20</v>
      </c>
      <c r="E864">
        <v>2</v>
      </c>
      <c r="F864" t="s">
        <v>25</v>
      </c>
      <c r="G864" t="s">
        <v>26</v>
      </c>
      <c r="H864">
        <v>6.05</v>
      </c>
      <c r="I864" t="s">
        <v>32</v>
      </c>
      <c r="J864">
        <v>3</v>
      </c>
      <c r="K864">
        <v>406</v>
      </c>
      <c r="L864">
        <v>83.22</v>
      </c>
      <c r="M864">
        <v>6.27</v>
      </c>
      <c r="N864">
        <v>11.93</v>
      </c>
      <c r="O864">
        <v>11.58</v>
      </c>
      <c r="P864">
        <v>103.56</v>
      </c>
      <c r="Q864">
        <v>377</v>
      </c>
      <c r="R864">
        <v>4</v>
      </c>
      <c r="S864">
        <v>59</v>
      </c>
    </row>
    <row r="865" spans="1:19" x14ac:dyDescent="0.3">
      <c r="A865">
        <v>864</v>
      </c>
      <c r="B865" t="s">
        <v>554</v>
      </c>
      <c r="C865">
        <v>2022</v>
      </c>
      <c r="D865" t="s">
        <v>20</v>
      </c>
      <c r="E865">
        <v>2</v>
      </c>
      <c r="F865" t="s">
        <v>25</v>
      </c>
      <c r="G865" t="s">
        <v>22</v>
      </c>
      <c r="H865">
        <v>17.149999999999999</v>
      </c>
      <c r="I865" t="s">
        <v>27</v>
      </c>
      <c r="J865">
        <v>46</v>
      </c>
      <c r="K865">
        <v>297</v>
      </c>
      <c r="L865">
        <v>87.51</v>
      </c>
      <c r="M865">
        <v>11.09</v>
      </c>
      <c r="N865">
        <v>8.1199999999999992</v>
      </c>
      <c r="O865">
        <v>7.11</v>
      </c>
      <c r="P865">
        <v>222.76</v>
      </c>
      <c r="Q865">
        <v>1049</v>
      </c>
      <c r="R865">
        <v>4</v>
      </c>
      <c r="S865">
        <v>81</v>
      </c>
    </row>
    <row r="866" spans="1:19" x14ac:dyDescent="0.3">
      <c r="A866">
        <v>865</v>
      </c>
      <c r="B866" t="s">
        <v>557</v>
      </c>
      <c r="C866">
        <v>2022</v>
      </c>
      <c r="D866" t="s">
        <v>20</v>
      </c>
      <c r="E866">
        <v>2</v>
      </c>
      <c r="F866" t="s">
        <v>21</v>
      </c>
      <c r="G866" t="s">
        <v>26</v>
      </c>
      <c r="H866">
        <v>49.91</v>
      </c>
      <c r="I866" t="s">
        <v>38</v>
      </c>
      <c r="J866">
        <v>17</v>
      </c>
      <c r="K866">
        <v>235</v>
      </c>
      <c r="L866">
        <v>77.7</v>
      </c>
      <c r="M866">
        <v>18.27</v>
      </c>
      <c r="N866">
        <v>15.19</v>
      </c>
      <c r="O866">
        <v>14.78</v>
      </c>
      <c r="P866">
        <v>448.87</v>
      </c>
      <c r="Q866">
        <v>935</v>
      </c>
      <c r="R866">
        <v>4</v>
      </c>
      <c r="S866">
        <v>237</v>
      </c>
    </row>
    <row r="867" spans="1:19" x14ac:dyDescent="0.3">
      <c r="A867">
        <v>866</v>
      </c>
      <c r="B867" t="s">
        <v>554</v>
      </c>
      <c r="C867">
        <v>2022</v>
      </c>
      <c r="D867" t="s">
        <v>20</v>
      </c>
      <c r="E867">
        <v>2</v>
      </c>
      <c r="F867" t="s">
        <v>21</v>
      </c>
      <c r="G867" t="s">
        <v>35</v>
      </c>
      <c r="H867">
        <v>33.08</v>
      </c>
      <c r="I867" t="s">
        <v>47</v>
      </c>
      <c r="J867">
        <v>36</v>
      </c>
      <c r="K867">
        <v>300</v>
      </c>
      <c r="L867">
        <v>88.95</v>
      </c>
      <c r="M867">
        <v>31.47</v>
      </c>
      <c r="N867">
        <v>5.01</v>
      </c>
      <c r="O867">
        <v>6.9</v>
      </c>
      <c r="P867">
        <v>101.98</v>
      </c>
      <c r="Q867">
        <v>255</v>
      </c>
      <c r="R867">
        <v>3</v>
      </c>
      <c r="S867">
        <v>227</v>
      </c>
    </row>
    <row r="868" spans="1:19" x14ac:dyDescent="0.3">
      <c r="A868">
        <v>867</v>
      </c>
      <c r="B868" t="s">
        <v>549</v>
      </c>
      <c r="C868">
        <v>2022</v>
      </c>
      <c r="D868" t="s">
        <v>20</v>
      </c>
      <c r="E868">
        <v>2</v>
      </c>
      <c r="F868" t="s">
        <v>25</v>
      </c>
      <c r="G868" t="s">
        <v>22</v>
      </c>
      <c r="H868">
        <v>21.67</v>
      </c>
      <c r="I868" t="s">
        <v>27</v>
      </c>
      <c r="J868">
        <v>50</v>
      </c>
      <c r="K868">
        <v>417</v>
      </c>
      <c r="L868">
        <v>84.97</v>
      </c>
      <c r="M868">
        <v>27.34</v>
      </c>
      <c r="N868">
        <v>5.42</v>
      </c>
      <c r="O868">
        <v>15.92</v>
      </c>
      <c r="P868">
        <v>209.07</v>
      </c>
      <c r="Q868">
        <v>616</v>
      </c>
      <c r="R868">
        <v>3</v>
      </c>
      <c r="S868">
        <v>247</v>
      </c>
    </row>
    <row r="869" spans="1:19" x14ac:dyDescent="0.3">
      <c r="A869">
        <v>868</v>
      </c>
      <c r="B869" t="s">
        <v>550</v>
      </c>
      <c r="C869">
        <v>2022</v>
      </c>
      <c r="D869" t="s">
        <v>20</v>
      </c>
      <c r="E869">
        <v>2</v>
      </c>
      <c r="F869" t="s">
        <v>25</v>
      </c>
      <c r="G869" t="s">
        <v>42</v>
      </c>
      <c r="H869">
        <v>15.58</v>
      </c>
      <c r="I869" t="s">
        <v>47</v>
      </c>
      <c r="J869">
        <v>21</v>
      </c>
      <c r="K869">
        <v>306</v>
      </c>
      <c r="L869">
        <v>91.85</v>
      </c>
      <c r="M869">
        <v>5.95</v>
      </c>
      <c r="N869">
        <v>5.0199999999999996</v>
      </c>
      <c r="O869">
        <v>2.5299999999999998</v>
      </c>
      <c r="P869">
        <v>505.83</v>
      </c>
      <c r="Q869">
        <v>508</v>
      </c>
      <c r="R869">
        <v>5</v>
      </c>
      <c r="S869">
        <v>66</v>
      </c>
    </row>
    <row r="870" spans="1:19" x14ac:dyDescent="0.3">
      <c r="A870">
        <v>869</v>
      </c>
      <c r="B870" t="s">
        <v>558</v>
      </c>
      <c r="C870">
        <v>2022</v>
      </c>
      <c r="D870" t="s">
        <v>20</v>
      </c>
      <c r="E870">
        <v>2</v>
      </c>
      <c r="F870" t="s">
        <v>29</v>
      </c>
      <c r="G870" t="s">
        <v>35</v>
      </c>
      <c r="H870">
        <v>9.18</v>
      </c>
      <c r="I870" t="s">
        <v>47</v>
      </c>
      <c r="J870">
        <v>27</v>
      </c>
      <c r="K870">
        <v>350</v>
      </c>
      <c r="L870">
        <v>91.95</v>
      </c>
      <c r="M870">
        <v>31.07</v>
      </c>
      <c r="N870">
        <v>8.66</v>
      </c>
      <c r="O870">
        <v>9.61</v>
      </c>
      <c r="P870">
        <v>363.02</v>
      </c>
      <c r="Q870">
        <v>252</v>
      </c>
      <c r="R870">
        <v>1</v>
      </c>
      <c r="S870">
        <v>104</v>
      </c>
    </row>
    <row r="871" spans="1:19" x14ac:dyDescent="0.3">
      <c r="A871">
        <v>870</v>
      </c>
      <c r="B871" t="s">
        <v>559</v>
      </c>
      <c r="C871">
        <v>2022</v>
      </c>
      <c r="D871" t="s">
        <v>20</v>
      </c>
      <c r="E871">
        <v>2</v>
      </c>
      <c r="F871" t="s">
        <v>62</v>
      </c>
      <c r="G871" t="s">
        <v>22</v>
      </c>
      <c r="H871">
        <v>51.13</v>
      </c>
      <c r="I871" t="s">
        <v>32</v>
      </c>
      <c r="J871">
        <v>23</v>
      </c>
      <c r="K871">
        <v>327</v>
      </c>
      <c r="L871">
        <v>89</v>
      </c>
      <c r="M871">
        <v>9.41</v>
      </c>
      <c r="N871">
        <v>14.3</v>
      </c>
      <c r="O871">
        <v>9.58</v>
      </c>
      <c r="P871">
        <v>504.27</v>
      </c>
      <c r="Q871">
        <v>933</v>
      </c>
      <c r="R871">
        <v>2</v>
      </c>
      <c r="S871">
        <v>60</v>
      </c>
    </row>
    <row r="872" spans="1:19" x14ac:dyDescent="0.3">
      <c r="A872">
        <v>871</v>
      </c>
      <c r="B872" t="s">
        <v>560</v>
      </c>
      <c r="C872">
        <v>2022</v>
      </c>
      <c r="D872" t="s">
        <v>20</v>
      </c>
      <c r="E872">
        <v>2</v>
      </c>
      <c r="F872" t="s">
        <v>37</v>
      </c>
      <c r="G872" t="s">
        <v>35</v>
      </c>
      <c r="H872">
        <v>50.88</v>
      </c>
      <c r="I872" t="s">
        <v>27</v>
      </c>
      <c r="J872">
        <v>23</v>
      </c>
      <c r="K872">
        <v>265</v>
      </c>
      <c r="L872">
        <v>78.11</v>
      </c>
      <c r="M872">
        <v>15.18</v>
      </c>
      <c r="N872">
        <v>6.4</v>
      </c>
      <c r="O872">
        <v>10.83</v>
      </c>
      <c r="P872">
        <v>431.95</v>
      </c>
      <c r="Q872">
        <v>346</v>
      </c>
      <c r="R872">
        <v>3</v>
      </c>
      <c r="S872">
        <v>94</v>
      </c>
    </row>
    <row r="873" spans="1:19" x14ac:dyDescent="0.3">
      <c r="A873">
        <v>872</v>
      </c>
      <c r="B873" t="s">
        <v>558</v>
      </c>
      <c r="C873">
        <v>2022</v>
      </c>
      <c r="D873" t="s">
        <v>20</v>
      </c>
      <c r="E873">
        <v>2</v>
      </c>
      <c r="F873" t="s">
        <v>34</v>
      </c>
      <c r="G873" t="s">
        <v>42</v>
      </c>
      <c r="H873">
        <v>7.32</v>
      </c>
      <c r="I873" t="s">
        <v>23</v>
      </c>
      <c r="J873">
        <v>29</v>
      </c>
      <c r="K873">
        <v>306</v>
      </c>
      <c r="L873">
        <v>76.7</v>
      </c>
      <c r="M873">
        <v>14.11</v>
      </c>
      <c r="N873">
        <v>15.96</v>
      </c>
      <c r="O873">
        <v>11.92</v>
      </c>
      <c r="P873">
        <v>256.25</v>
      </c>
      <c r="Q873">
        <v>819</v>
      </c>
      <c r="R873">
        <v>3</v>
      </c>
      <c r="S873">
        <v>139</v>
      </c>
    </row>
    <row r="874" spans="1:19" x14ac:dyDescent="0.3">
      <c r="A874">
        <v>873</v>
      </c>
      <c r="B874" t="s">
        <v>546</v>
      </c>
      <c r="C874">
        <v>2022</v>
      </c>
      <c r="D874" t="s">
        <v>20</v>
      </c>
      <c r="E874">
        <v>2</v>
      </c>
      <c r="F874" t="s">
        <v>25</v>
      </c>
      <c r="G874" t="s">
        <v>42</v>
      </c>
      <c r="H874">
        <v>14.59</v>
      </c>
      <c r="I874" t="s">
        <v>38</v>
      </c>
      <c r="J874">
        <v>13</v>
      </c>
      <c r="K874">
        <v>250</v>
      </c>
      <c r="L874">
        <v>80.760000000000005</v>
      </c>
      <c r="M874">
        <v>5.25</v>
      </c>
      <c r="N874">
        <v>7.61</v>
      </c>
      <c r="O874">
        <v>6.82</v>
      </c>
      <c r="P874">
        <v>146.86000000000001</v>
      </c>
      <c r="Q874">
        <v>1045</v>
      </c>
      <c r="R874">
        <v>5</v>
      </c>
      <c r="S874">
        <v>234</v>
      </c>
    </row>
    <row r="875" spans="1:19" x14ac:dyDescent="0.3">
      <c r="A875">
        <v>874</v>
      </c>
      <c r="B875" t="s">
        <v>559</v>
      </c>
      <c r="C875">
        <v>2022</v>
      </c>
      <c r="D875" t="s">
        <v>20</v>
      </c>
      <c r="E875">
        <v>2</v>
      </c>
      <c r="F875" t="s">
        <v>34</v>
      </c>
      <c r="G875" t="s">
        <v>40</v>
      </c>
      <c r="H875">
        <v>10.37</v>
      </c>
      <c r="I875" t="s">
        <v>47</v>
      </c>
      <c r="J875">
        <v>31</v>
      </c>
      <c r="K875">
        <v>494</v>
      </c>
      <c r="L875">
        <v>83.82</v>
      </c>
      <c r="M875">
        <v>26.92</v>
      </c>
      <c r="N875">
        <v>11.01</v>
      </c>
      <c r="O875">
        <v>5.54</v>
      </c>
      <c r="P875">
        <v>202.36</v>
      </c>
      <c r="Q875">
        <v>169</v>
      </c>
      <c r="R875">
        <v>3</v>
      </c>
      <c r="S875">
        <v>120</v>
      </c>
    </row>
    <row r="876" spans="1:19" x14ac:dyDescent="0.3">
      <c r="A876">
        <v>875</v>
      </c>
      <c r="B876" t="s">
        <v>551</v>
      </c>
      <c r="C876">
        <v>2022</v>
      </c>
      <c r="D876" t="s">
        <v>20</v>
      </c>
      <c r="E876">
        <v>2</v>
      </c>
      <c r="F876" t="s">
        <v>31</v>
      </c>
      <c r="G876" t="s">
        <v>22</v>
      </c>
      <c r="H876">
        <v>29.41</v>
      </c>
      <c r="I876" t="s">
        <v>38</v>
      </c>
      <c r="J876">
        <v>3</v>
      </c>
      <c r="K876">
        <v>370</v>
      </c>
      <c r="L876">
        <v>83.27</v>
      </c>
      <c r="M876">
        <v>22.59</v>
      </c>
      <c r="N876">
        <v>14.64</v>
      </c>
      <c r="O876">
        <v>3.7</v>
      </c>
      <c r="P876">
        <v>469.56</v>
      </c>
      <c r="Q876">
        <v>994</v>
      </c>
      <c r="R876">
        <v>1</v>
      </c>
      <c r="S876">
        <v>77</v>
      </c>
    </row>
    <row r="877" spans="1:19" x14ac:dyDescent="0.3">
      <c r="A877">
        <v>876</v>
      </c>
      <c r="B877" t="s">
        <v>561</v>
      </c>
      <c r="C877">
        <v>2022</v>
      </c>
      <c r="D877" t="s">
        <v>20</v>
      </c>
      <c r="E877">
        <v>2</v>
      </c>
      <c r="F877" t="s">
        <v>37</v>
      </c>
      <c r="G877" t="s">
        <v>22</v>
      </c>
      <c r="H877">
        <v>36.020000000000003</v>
      </c>
      <c r="I877" t="s">
        <v>27</v>
      </c>
      <c r="J877">
        <v>1</v>
      </c>
      <c r="K877">
        <v>118</v>
      </c>
      <c r="L877">
        <v>81.93</v>
      </c>
      <c r="M877">
        <v>20.2</v>
      </c>
      <c r="N877">
        <v>15.88</v>
      </c>
      <c r="O877">
        <v>9.25</v>
      </c>
      <c r="P877">
        <v>515.34</v>
      </c>
      <c r="Q877">
        <v>115</v>
      </c>
      <c r="R877">
        <v>1</v>
      </c>
      <c r="S877">
        <v>128</v>
      </c>
    </row>
    <row r="878" spans="1:19" x14ac:dyDescent="0.3">
      <c r="A878">
        <v>877</v>
      </c>
      <c r="B878" t="s">
        <v>562</v>
      </c>
      <c r="C878">
        <v>2022</v>
      </c>
      <c r="D878" t="s">
        <v>20</v>
      </c>
      <c r="E878">
        <v>2</v>
      </c>
      <c r="F878" t="s">
        <v>62</v>
      </c>
      <c r="G878" t="s">
        <v>26</v>
      </c>
      <c r="H878">
        <v>49.92</v>
      </c>
      <c r="I878" t="s">
        <v>32</v>
      </c>
      <c r="J878">
        <v>34</v>
      </c>
      <c r="K878">
        <v>480</v>
      </c>
      <c r="L878">
        <v>87.24</v>
      </c>
      <c r="M878">
        <v>7.74</v>
      </c>
      <c r="N878">
        <v>8.5399999999999991</v>
      </c>
      <c r="O878">
        <v>4.95</v>
      </c>
      <c r="P878">
        <v>221.87</v>
      </c>
      <c r="Q878">
        <v>314</v>
      </c>
      <c r="R878">
        <v>4</v>
      </c>
      <c r="S878">
        <v>149</v>
      </c>
    </row>
    <row r="879" spans="1:19" x14ac:dyDescent="0.3">
      <c r="A879">
        <v>878</v>
      </c>
      <c r="B879" t="s">
        <v>548</v>
      </c>
      <c r="C879">
        <v>2022</v>
      </c>
      <c r="D879" t="s">
        <v>20</v>
      </c>
      <c r="E879">
        <v>2</v>
      </c>
      <c r="F879" t="s">
        <v>25</v>
      </c>
      <c r="G879" t="s">
        <v>35</v>
      </c>
      <c r="H879">
        <v>13.97</v>
      </c>
      <c r="I879" t="s">
        <v>38</v>
      </c>
      <c r="J879">
        <v>50</v>
      </c>
      <c r="K879">
        <v>257</v>
      </c>
      <c r="L879">
        <v>90.89</v>
      </c>
      <c r="M879">
        <v>21.74</v>
      </c>
      <c r="N879">
        <v>21.38</v>
      </c>
      <c r="O879">
        <v>13.02</v>
      </c>
      <c r="P879">
        <v>344.41</v>
      </c>
      <c r="Q879">
        <v>922</v>
      </c>
      <c r="R879">
        <v>5</v>
      </c>
      <c r="S879">
        <v>109</v>
      </c>
    </row>
    <row r="880" spans="1:19" x14ac:dyDescent="0.3">
      <c r="A880">
        <v>879</v>
      </c>
      <c r="B880" t="s">
        <v>563</v>
      </c>
      <c r="C880">
        <v>2022</v>
      </c>
      <c r="D880" t="s">
        <v>20</v>
      </c>
      <c r="E880">
        <v>2</v>
      </c>
      <c r="F880" t="s">
        <v>21</v>
      </c>
      <c r="G880" t="s">
        <v>22</v>
      </c>
      <c r="H880">
        <v>6.25</v>
      </c>
      <c r="I880" t="s">
        <v>23</v>
      </c>
      <c r="J880">
        <v>7</v>
      </c>
      <c r="K880">
        <v>152</v>
      </c>
      <c r="L880">
        <v>90.16</v>
      </c>
      <c r="M880">
        <v>15.22</v>
      </c>
      <c r="N880">
        <v>5.96</v>
      </c>
      <c r="O880">
        <v>6.98</v>
      </c>
      <c r="P880">
        <v>298.82</v>
      </c>
      <c r="Q880">
        <v>887</v>
      </c>
      <c r="R880">
        <v>1</v>
      </c>
      <c r="S880">
        <v>92</v>
      </c>
    </row>
    <row r="881" spans="1:19" x14ac:dyDescent="0.3">
      <c r="A881">
        <v>880</v>
      </c>
      <c r="B881" t="s">
        <v>564</v>
      </c>
      <c r="C881">
        <v>2022</v>
      </c>
      <c r="D881" t="s">
        <v>20</v>
      </c>
      <c r="E881">
        <v>2</v>
      </c>
      <c r="F881" t="s">
        <v>31</v>
      </c>
      <c r="G881" t="s">
        <v>35</v>
      </c>
      <c r="H881">
        <v>32.770000000000003</v>
      </c>
      <c r="I881" t="s">
        <v>47</v>
      </c>
      <c r="J881">
        <v>48</v>
      </c>
      <c r="K881">
        <v>410</v>
      </c>
      <c r="L881">
        <v>91.03</v>
      </c>
      <c r="M881">
        <v>12.03</v>
      </c>
      <c r="N881">
        <v>13.68</v>
      </c>
      <c r="O881">
        <v>13.76</v>
      </c>
      <c r="P881">
        <v>382.36</v>
      </c>
      <c r="Q881">
        <v>447</v>
      </c>
      <c r="R881">
        <v>5</v>
      </c>
      <c r="S881">
        <v>198</v>
      </c>
    </row>
    <row r="882" spans="1:19" x14ac:dyDescent="0.3">
      <c r="A882">
        <v>881</v>
      </c>
      <c r="B882" t="s">
        <v>565</v>
      </c>
      <c r="C882">
        <v>2022</v>
      </c>
      <c r="D882" t="s">
        <v>20</v>
      </c>
      <c r="E882">
        <v>2</v>
      </c>
      <c r="F882" t="s">
        <v>37</v>
      </c>
      <c r="G882" t="s">
        <v>22</v>
      </c>
      <c r="H882">
        <v>17.3</v>
      </c>
      <c r="I882" t="s">
        <v>23</v>
      </c>
      <c r="J882">
        <v>1</v>
      </c>
      <c r="K882">
        <v>333</v>
      </c>
      <c r="L882">
        <v>88.4</v>
      </c>
      <c r="M882">
        <v>13.73</v>
      </c>
      <c r="N882">
        <v>6.61</v>
      </c>
      <c r="O882">
        <v>1.31</v>
      </c>
      <c r="P882">
        <v>391.69</v>
      </c>
      <c r="Q882">
        <v>351</v>
      </c>
      <c r="R882">
        <v>4</v>
      </c>
      <c r="S882">
        <v>185</v>
      </c>
    </row>
    <row r="883" spans="1:19" x14ac:dyDescent="0.3">
      <c r="A883">
        <v>882</v>
      </c>
      <c r="B883" t="s">
        <v>566</v>
      </c>
      <c r="C883">
        <v>2022</v>
      </c>
      <c r="D883" t="s">
        <v>20</v>
      </c>
      <c r="E883">
        <v>2</v>
      </c>
      <c r="F883" t="s">
        <v>34</v>
      </c>
      <c r="G883" t="s">
        <v>42</v>
      </c>
      <c r="H883">
        <v>19.829999999999998</v>
      </c>
      <c r="I883" t="s">
        <v>23</v>
      </c>
      <c r="J883">
        <v>16</v>
      </c>
      <c r="K883">
        <v>580</v>
      </c>
      <c r="L883">
        <v>84.37</v>
      </c>
      <c r="M883">
        <v>32.049999999999997</v>
      </c>
      <c r="N883">
        <v>19.55</v>
      </c>
      <c r="O883">
        <v>6.08</v>
      </c>
      <c r="P883">
        <v>478.29</v>
      </c>
      <c r="Q883">
        <v>898</v>
      </c>
      <c r="R883">
        <v>3</v>
      </c>
      <c r="S883">
        <v>196</v>
      </c>
    </row>
    <row r="884" spans="1:19" x14ac:dyDescent="0.3">
      <c r="A884">
        <v>883</v>
      </c>
      <c r="B884" t="s">
        <v>567</v>
      </c>
      <c r="C884">
        <v>2022</v>
      </c>
      <c r="D884" t="s">
        <v>20</v>
      </c>
      <c r="E884">
        <v>2</v>
      </c>
      <c r="F884" t="s">
        <v>21</v>
      </c>
      <c r="G884" t="s">
        <v>42</v>
      </c>
      <c r="H884">
        <v>28.4</v>
      </c>
      <c r="I884" t="s">
        <v>47</v>
      </c>
      <c r="J884">
        <v>27</v>
      </c>
      <c r="K884">
        <v>598</v>
      </c>
      <c r="L884">
        <v>77.400000000000006</v>
      </c>
      <c r="M884">
        <v>34.81</v>
      </c>
      <c r="N884">
        <v>11.23</v>
      </c>
      <c r="O884">
        <v>1.3</v>
      </c>
      <c r="P884">
        <v>446.75</v>
      </c>
      <c r="Q884">
        <v>369</v>
      </c>
      <c r="R884">
        <v>5</v>
      </c>
      <c r="S884">
        <v>94</v>
      </c>
    </row>
    <row r="885" spans="1:19" x14ac:dyDescent="0.3">
      <c r="A885">
        <v>884</v>
      </c>
      <c r="B885" t="s">
        <v>553</v>
      </c>
      <c r="C885">
        <v>2022</v>
      </c>
      <c r="D885" t="s">
        <v>20</v>
      </c>
      <c r="E885">
        <v>2</v>
      </c>
      <c r="F885" t="s">
        <v>34</v>
      </c>
      <c r="G885" t="s">
        <v>26</v>
      </c>
      <c r="H885">
        <v>50.97</v>
      </c>
      <c r="I885" t="s">
        <v>32</v>
      </c>
      <c r="J885">
        <v>36</v>
      </c>
      <c r="K885">
        <v>228</v>
      </c>
      <c r="L885">
        <v>82.6</v>
      </c>
      <c r="M885">
        <v>25.97</v>
      </c>
      <c r="N885">
        <v>8.85</v>
      </c>
      <c r="O885">
        <v>11.62</v>
      </c>
      <c r="P885">
        <v>207.58</v>
      </c>
      <c r="Q885">
        <v>407</v>
      </c>
      <c r="R885">
        <v>2</v>
      </c>
      <c r="S885">
        <v>104</v>
      </c>
    </row>
    <row r="886" spans="1:19" x14ac:dyDescent="0.3">
      <c r="A886">
        <v>885</v>
      </c>
      <c r="B886" t="s">
        <v>568</v>
      </c>
      <c r="C886">
        <v>2022</v>
      </c>
      <c r="D886" t="s">
        <v>20</v>
      </c>
      <c r="E886">
        <v>3</v>
      </c>
      <c r="F886" t="s">
        <v>53</v>
      </c>
      <c r="G886" t="s">
        <v>42</v>
      </c>
      <c r="H886">
        <v>29.91</v>
      </c>
      <c r="I886" t="s">
        <v>32</v>
      </c>
      <c r="J886">
        <v>43</v>
      </c>
      <c r="K886">
        <v>389</v>
      </c>
      <c r="L886">
        <v>85.6</v>
      </c>
      <c r="M886">
        <v>18.850000000000001</v>
      </c>
      <c r="N886">
        <v>20.11</v>
      </c>
      <c r="O886">
        <v>15.26</v>
      </c>
      <c r="P886">
        <v>159.96</v>
      </c>
      <c r="Q886">
        <v>586</v>
      </c>
      <c r="R886">
        <v>3</v>
      </c>
      <c r="S886">
        <v>173</v>
      </c>
    </row>
    <row r="887" spans="1:19" x14ac:dyDescent="0.3">
      <c r="A887">
        <v>886</v>
      </c>
      <c r="B887" t="s">
        <v>569</v>
      </c>
      <c r="C887">
        <v>2022</v>
      </c>
      <c r="D887" t="s">
        <v>20</v>
      </c>
      <c r="E887">
        <v>3</v>
      </c>
      <c r="F887" t="s">
        <v>34</v>
      </c>
      <c r="G887" t="s">
        <v>26</v>
      </c>
      <c r="H887">
        <v>22.31</v>
      </c>
      <c r="I887" t="s">
        <v>27</v>
      </c>
      <c r="J887">
        <v>8</v>
      </c>
      <c r="K887">
        <v>242</v>
      </c>
      <c r="L887">
        <v>84.82</v>
      </c>
      <c r="M887">
        <v>29.36</v>
      </c>
      <c r="N887">
        <v>15.43</v>
      </c>
      <c r="O887">
        <v>5.95</v>
      </c>
      <c r="P887">
        <v>109.07</v>
      </c>
      <c r="Q887">
        <v>906</v>
      </c>
      <c r="R887">
        <v>4</v>
      </c>
      <c r="S887">
        <v>98</v>
      </c>
    </row>
    <row r="888" spans="1:19" x14ac:dyDescent="0.3">
      <c r="A888">
        <v>887</v>
      </c>
      <c r="B888" t="s">
        <v>570</v>
      </c>
      <c r="C888">
        <v>2022</v>
      </c>
      <c r="D888" t="s">
        <v>20</v>
      </c>
      <c r="E888">
        <v>3</v>
      </c>
      <c r="F888" t="s">
        <v>53</v>
      </c>
      <c r="G888" t="s">
        <v>26</v>
      </c>
      <c r="H888">
        <v>9.36</v>
      </c>
      <c r="I888" t="s">
        <v>27</v>
      </c>
      <c r="J888">
        <v>22</v>
      </c>
      <c r="K888">
        <v>226</v>
      </c>
      <c r="L888">
        <v>77.790000000000006</v>
      </c>
      <c r="M888">
        <v>14.85</v>
      </c>
      <c r="N888">
        <v>11.39</v>
      </c>
      <c r="O888">
        <v>8.3800000000000008</v>
      </c>
      <c r="P888">
        <v>471.6</v>
      </c>
      <c r="Q888">
        <v>173</v>
      </c>
      <c r="R888">
        <v>4</v>
      </c>
      <c r="S888">
        <v>107</v>
      </c>
    </row>
    <row r="889" spans="1:19" x14ac:dyDescent="0.3">
      <c r="A889">
        <v>888</v>
      </c>
      <c r="B889" t="s">
        <v>571</v>
      </c>
      <c r="C889">
        <v>2022</v>
      </c>
      <c r="D889" t="s">
        <v>20</v>
      </c>
      <c r="E889">
        <v>3</v>
      </c>
      <c r="F889" t="s">
        <v>34</v>
      </c>
      <c r="G889" t="s">
        <v>26</v>
      </c>
      <c r="H889">
        <v>31.65</v>
      </c>
      <c r="I889" t="s">
        <v>38</v>
      </c>
      <c r="J889">
        <v>34</v>
      </c>
      <c r="K889">
        <v>568</v>
      </c>
      <c r="L889">
        <v>86.8</v>
      </c>
      <c r="M889">
        <v>20.39</v>
      </c>
      <c r="N889">
        <v>12.24</v>
      </c>
      <c r="O889">
        <v>12.35</v>
      </c>
      <c r="P889">
        <v>371.91</v>
      </c>
      <c r="Q889">
        <v>884</v>
      </c>
      <c r="R889">
        <v>3</v>
      </c>
      <c r="S889">
        <v>72</v>
      </c>
    </row>
    <row r="890" spans="1:19" x14ac:dyDescent="0.3">
      <c r="A890">
        <v>889</v>
      </c>
      <c r="B890" t="s">
        <v>572</v>
      </c>
      <c r="C890">
        <v>2022</v>
      </c>
      <c r="D890" t="s">
        <v>20</v>
      </c>
      <c r="E890">
        <v>3</v>
      </c>
      <c r="F890" t="s">
        <v>62</v>
      </c>
      <c r="G890" t="s">
        <v>40</v>
      </c>
      <c r="H890">
        <v>28.69</v>
      </c>
      <c r="I890" t="s">
        <v>38</v>
      </c>
      <c r="J890">
        <v>38</v>
      </c>
      <c r="K890">
        <v>564</v>
      </c>
      <c r="L890">
        <v>76.53</v>
      </c>
      <c r="M890">
        <v>14.67</v>
      </c>
      <c r="N890">
        <v>10.45</v>
      </c>
      <c r="O890">
        <v>14.66</v>
      </c>
      <c r="P890">
        <v>104.91</v>
      </c>
      <c r="Q890">
        <v>947</v>
      </c>
      <c r="R890">
        <v>5</v>
      </c>
      <c r="S890">
        <v>92</v>
      </c>
    </row>
    <row r="891" spans="1:19" x14ac:dyDescent="0.3">
      <c r="A891">
        <v>890</v>
      </c>
      <c r="B891" t="s">
        <v>573</v>
      </c>
      <c r="C891">
        <v>2022</v>
      </c>
      <c r="D891" t="s">
        <v>20</v>
      </c>
      <c r="E891">
        <v>3</v>
      </c>
      <c r="F891" t="s">
        <v>29</v>
      </c>
      <c r="G891" t="s">
        <v>42</v>
      </c>
      <c r="H891">
        <v>32.29</v>
      </c>
      <c r="I891" t="s">
        <v>47</v>
      </c>
      <c r="J891">
        <v>4</v>
      </c>
      <c r="K891">
        <v>348</v>
      </c>
      <c r="L891">
        <v>87</v>
      </c>
      <c r="M891">
        <v>7.93</v>
      </c>
      <c r="N891">
        <v>2.76</v>
      </c>
      <c r="O891">
        <v>1.79</v>
      </c>
      <c r="P891">
        <v>201.86</v>
      </c>
      <c r="Q891">
        <v>573</v>
      </c>
      <c r="R891">
        <v>5</v>
      </c>
      <c r="S891">
        <v>191</v>
      </c>
    </row>
    <row r="892" spans="1:19" x14ac:dyDescent="0.3">
      <c r="A892">
        <v>891</v>
      </c>
      <c r="B892" t="s">
        <v>573</v>
      </c>
      <c r="C892">
        <v>2022</v>
      </c>
      <c r="D892" t="s">
        <v>20</v>
      </c>
      <c r="E892">
        <v>3</v>
      </c>
      <c r="F892" t="s">
        <v>62</v>
      </c>
      <c r="G892" t="s">
        <v>40</v>
      </c>
      <c r="H892">
        <v>6.5</v>
      </c>
      <c r="I892" t="s">
        <v>38</v>
      </c>
      <c r="J892">
        <v>19</v>
      </c>
      <c r="K892">
        <v>560</v>
      </c>
      <c r="L892">
        <v>75.819999999999993</v>
      </c>
      <c r="M892">
        <v>11.5</v>
      </c>
      <c r="N892">
        <v>7.72</v>
      </c>
      <c r="O892">
        <v>11.79</v>
      </c>
      <c r="P892">
        <v>246.01</v>
      </c>
      <c r="Q892">
        <v>777</v>
      </c>
      <c r="R892">
        <v>5</v>
      </c>
      <c r="S892">
        <v>129</v>
      </c>
    </row>
    <row r="893" spans="1:19" x14ac:dyDescent="0.3">
      <c r="A893">
        <v>892</v>
      </c>
      <c r="B893" t="s">
        <v>574</v>
      </c>
      <c r="C893">
        <v>2022</v>
      </c>
      <c r="D893" t="s">
        <v>20</v>
      </c>
      <c r="E893">
        <v>3</v>
      </c>
      <c r="F893" t="s">
        <v>34</v>
      </c>
      <c r="G893" t="s">
        <v>42</v>
      </c>
      <c r="H893">
        <v>31.85</v>
      </c>
      <c r="I893" t="s">
        <v>23</v>
      </c>
      <c r="J893">
        <v>23</v>
      </c>
      <c r="K893">
        <v>306</v>
      </c>
      <c r="L893">
        <v>77.87</v>
      </c>
      <c r="M893">
        <v>6.19</v>
      </c>
      <c r="N893">
        <v>6.72</v>
      </c>
      <c r="O893">
        <v>11.76</v>
      </c>
      <c r="P893">
        <v>290.52999999999997</v>
      </c>
      <c r="Q893">
        <v>1099</v>
      </c>
      <c r="R893">
        <v>5</v>
      </c>
      <c r="S893">
        <v>118</v>
      </c>
    </row>
    <row r="894" spans="1:19" x14ac:dyDescent="0.3">
      <c r="A894">
        <v>893</v>
      </c>
      <c r="B894" t="s">
        <v>573</v>
      </c>
      <c r="C894">
        <v>2022</v>
      </c>
      <c r="D894" t="s">
        <v>20</v>
      </c>
      <c r="E894">
        <v>3</v>
      </c>
      <c r="F894" t="s">
        <v>25</v>
      </c>
      <c r="G894" t="s">
        <v>40</v>
      </c>
      <c r="H894">
        <v>36.69</v>
      </c>
      <c r="I894" t="s">
        <v>32</v>
      </c>
      <c r="J894">
        <v>18</v>
      </c>
      <c r="K894">
        <v>391</v>
      </c>
      <c r="L894">
        <v>81.180000000000007</v>
      </c>
      <c r="M894">
        <v>20.34</v>
      </c>
      <c r="N894">
        <v>6.78</v>
      </c>
      <c r="O894">
        <v>2.9</v>
      </c>
      <c r="P894">
        <v>166.28</v>
      </c>
      <c r="Q894">
        <v>349</v>
      </c>
      <c r="R894">
        <v>2</v>
      </c>
      <c r="S894">
        <v>249</v>
      </c>
    </row>
    <row r="895" spans="1:19" x14ac:dyDescent="0.3">
      <c r="A895">
        <v>894</v>
      </c>
      <c r="B895" t="s">
        <v>572</v>
      </c>
      <c r="C895">
        <v>2022</v>
      </c>
      <c r="D895" t="s">
        <v>20</v>
      </c>
      <c r="E895">
        <v>3</v>
      </c>
      <c r="F895" t="s">
        <v>53</v>
      </c>
      <c r="G895" t="s">
        <v>42</v>
      </c>
      <c r="H895">
        <v>28.29</v>
      </c>
      <c r="I895" t="s">
        <v>23</v>
      </c>
      <c r="J895">
        <v>16</v>
      </c>
      <c r="K895">
        <v>406</v>
      </c>
      <c r="L895">
        <v>78.58</v>
      </c>
      <c r="M895">
        <v>12.02</v>
      </c>
      <c r="N895">
        <v>4.7</v>
      </c>
      <c r="O895">
        <v>4.51</v>
      </c>
      <c r="P895">
        <v>224.95</v>
      </c>
      <c r="Q895">
        <v>897</v>
      </c>
      <c r="R895">
        <v>2</v>
      </c>
      <c r="S895">
        <v>147</v>
      </c>
    </row>
    <row r="896" spans="1:19" x14ac:dyDescent="0.3">
      <c r="A896">
        <v>895</v>
      </c>
      <c r="B896" t="s">
        <v>575</v>
      </c>
      <c r="C896">
        <v>2022</v>
      </c>
      <c r="D896" t="s">
        <v>20</v>
      </c>
      <c r="E896">
        <v>3</v>
      </c>
      <c r="F896" t="s">
        <v>29</v>
      </c>
      <c r="G896" t="s">
        <v>40</v>
      </c>
      <c r="H896">
        <v>13.76</v>
      </c>
      <c r="I896" t="s">
        <v>23</v>
      </c>
      <c r="J896">
        <v>39</v>
      </c>
      <c r="K896">
        <v>151</v>
      </c>
      <c r="L896">
        <v>88.73</v>
      </c>
      <c r="M896">
        <v>27.7</v>
      </c>
      <c r="N896">
        <v>10.97</v>
      </c>
      <c r="O896">
        <v>2.97</v>
      </c>
      <c r="P896">
        <v>298.62</v>
      </c>
      <c r="Q896">
        <v>602</v>
      </c>
      <c r="R896">
        <v>5</v>
      </c>
      <c r="S896">
        <v>113</v>
      </c>
    </row>
    <row r="897" spans="1:19" x14ac:dyDescent="0.3">
      <c r="A897">
        <v>896</v>
      </c>
      <c r="B897" t="s">
        <v>575</v>
      </c>
      <c r="C897">
        <v>2022</v>
      </c>
      <c r="D897" t="s">
        <v>20</v>
      </c>
      <c r="E897">
        <v>3</v>
      </c>
      <c r="F897" t="s">
        <v>29</v>
      </c>
      <c r="G897" t="s">
        <v>35</v>
      </c>
      <c r="H897">
        <v>30.15</v>
      </c>
      <c r="I897" t="s">
        <v>23</v>
      </c>
      <c r="J897">
        <v>22</v>
      </c>
      <c r="K897">
        <v>313</v>
      </c>
      <c r="L897">
        <v>89.9</v>
      </c>
      <c r="M897">
        <v>8.9</v>
      </c>
      <c r="N897">
        <v>7.75</v>
      </c>
      <c r="O897">
        <v>14.15</v>
      </c>
      <c r="P897">
        <v>275.26</v>
      </c>
      <c r="Q897">
        <v>459</v>
      </c>
      <c r="R897">
        <v>3</v>
      </c>
      <c r="S897">
        <v>112</v>
      </c>
    </row>
    <row r="898" spans="1:19" x14ac:dyDescent="0.3">
      <c r="A898">
        <v>897</v>
      </c>
      <c r="B898" t="s">
        <v>574</v>
      </c>
      <c r="C898">
        <v>2022</v>
      </c>
      <c r="D898" t="s">
        <v>20</v>
      </c>
      <c r="E898">
        <v>3</v>
      </c>
      <c r="F898" t="s">
        <v>31</v>
      </c>
      <c r="G898" t="s">
        <v>42</v>
      </c>
      <c r="H898">
        <v>19.36</v>
      </c>
      <c r="I898" t="s">
        <v>47</v>
      </c>
      <c r="J898">
        <v>46</v>
      </c>
      <c r="K898">
        <v>202</v>
      </c>
      <c r="L898">
        <v>86.15</v>
      </c>
      <c r="M898">
        <v>25.62</v>
      </c>
      <c r="N898">
        <v>9.61</v>
      </c>
      <c r="O898">
        <v>3.14</v>
      </c>
      <c r="P898">
        <v>485.04</v>
      </c>
      <c r="Q898">
        <v>558</v>
      </c>
      <c r="R898">
        <v>5</v>
      </c>
      <c r="S898">
        <v>101</v>
      </c>
    </row>
    <row r="899" spans="1:19" x14ac:dyDescent="0.3">
      <c r="A899">
        <v>898</v>
      </c>
      <c r="B899" t="s">
        <v>576</v>
      </c>
      <c r="C899">
        <v>2022</v>
      </c>
      <c r="D899" t="s">
        <v>20</v>
      </c>
      <c r="E899">
        <v>3</v>
      </c>
      <c r="F899" t="s">
        <v>53</v>
      </c>
      <c r="G899" t="s">
        <v>26</v>
      </c>
      <c r="H899">
        <v>37.97</v>
      </c>
      <c r="I899" t="s">
        <v>47</v>
      </c>
      <c r="J899">
        <v>9</v>
      </c>
      <c r="K899">
        <v>465</v>
      </c>
      <c r="L899">
        <v>91.55</v>
      </c>
      <c r="M899">
        <v>29.5</v>
      </c>
      <c r="N899">
        <v>5.8</v>
      </c>
      <c r="O899">
        <v>8.5299999999999994</v>
      </c>
      <c r="P899">
        <v>305.74</v>
      </c>
      <c r="Q899">
        <v>244</v>
      </c>
      <c r="R899">
        <v>1</v>
      </c>
      <c r="S899">
        <v>128</v>
      </c>
    </row>
    <row r="900" spans="1:19" x14ac:dyDescent="0.3">
      <c r="A900">
        <v>899</v>
      </c>
      <c r="B900" t="s">
        <v>577</v>
      </c>
      <c r="C900">
        <v>2022</v>
      </c>
      <c r="D900" t="s">
        <v>20</v>
      </c>
      <c r="E900">
        <v>3</v>
      </c>
      <c r="F900" t="s">
        <v>25</v>
      </c>
      <c r="G900" t="s">
        <v>40</v>
      </c>
      <c r="H900">
        <v>6.21</v>
      </c>
      <c r="I900" t="s">
        <v>27</v>
      </c>
      <c r="J900">
        <v>20</v>
      </c>
      <c r="K900">
        <v>215</v>
      </c>
      <c r="L900">
        <v>80.260000000000005</v>
      </c>
      <c r="M900">
        <v>34.520000000000003</v>
      </c>
      <c r="N900">
        <v>12.41</v>
      </c>
      <c r="O900">
        <v>13.86</v>
      </c>
      <c r="P900">
        <v>469.56</v>
      </c>
      <c r="Q900">
        <v>602</v>
      </c>
      <c r="R900">
        <v>4</v>
      </c>
      <c r="S900">
        <v>207</v>
      </c>
    </row>
    <row r="901" spans="1:19" x14ac:dyDescent="0.3">
      <c r="A901">
        <v>900</v>
      </c>
      <c r="B901" t="s">
        <v>578</v>
      </c>
      <c r="C901">
        <v>2022</v>
      </c>
      <c r="D901" t="s">
        <v>20</v>
      </c>
      <c r="E901">
        <v>3</v>
      </c>
      <c r="F901" t="s">
        <v>53</v>
      </c>
      <c r="G901" t="s">
        <v>35</v>
      </c>
      <c r="H901">
        <v>44.72</v>
      </c>
      <c r="I901" t="s">
        <v>47</v>
      </c>
      <c r="J901">
        <v>29</v>
      </c>
      <c r="K901">
        <v>460</v>
      </c>
      <c r="L901">
        <v>89.57</v>
      </c>
      <c r="M901">
        <v>34.76</v>
      </c>
      <c r="N901">
        <v>7.5</v>
      </c>
      <c r="O901">
        <v>9.5299999999999994</v>
      </c>
      <c r="P901">
        <v>553.37</v>
      </c>
      <c r="Q901">
        <v>1033</v>
      </c>
      <c r="R901">
        <v>1</v>
      </c>
      <c r="S901">
        <v>112</v>
      </c>
    </row>
    <row r="902" spans="1:19" x14ac:dyDescent="0.3">
      <c r="A902">
        <v>901</v>
      </c>
      <c r="B902" t="s">
        <v>577</v>
      </c>
      <c r="C902">
        <v>2022</v>
      </c>
      <c r="D902" t="s">
        <v>20</v>
      </c>
      <c r="E902">
        <v>3</v>
      </c>
      <c r="F902" t="s">
        <v>62</v>
      </c>
      <c r="G902" t="s">
        <v>35</v>
      </c>
      <c r="H902">
        <v>15.3</v>
      </c>
      <c r="I902" t="s">
        <v>32</v>
      </c>
      <c r="J902">
        <v>17</v>
      </c>
      <c r="K902">
        <v>482</v>
      </c>
      <c r="L902">
        <v>91.36</v>
      </c>
      <c r="M902">
        <v>13.37</v>
      </c>
      <c r="N902">
        <v>13.4</v>
      </c>
      <c r="O902">
        <v>13.07</v>
      </c>
      <c r="P902">
        <v>351.88</v>
      </c>
      <c r="Q902">
        <v>145</v>
      </c>
      <c r="R902">
        <v>1</v>
      </c>
      <c r="S902">
        <v>240</v>
      </c>
    </row>
    <row r="903" spans="1:19" x14ac:dyDescent="0.3">
      <c r="A903">
        <v>902</v>
      </c>
      <c r="B903" t="s">
        <v>579</v>
      </c>
      <c r="C903">
        <v>2022</v>
      </c>
      <c r="D903" t="s">
        <v>20</v>
      </c>
      <c r="E903">
        <v>3</v>
      </c>
      <c r="F903" t="s">
        <v>29</v>
      </c>
      <c r="G903" t="s">
        <v>35</v>
      </c>
      <c r="H903">
        <v>13.45</v>
      </c>
      <c r="I903" t="s">
        <v>27</v>
      </c>
      <c r="J903">
        <v>45</v>
      </c>
      <c r="K903">
        <v>248</v>
      </c>
      <c r="L903">
        <v>79.62</v>
      </c>
      <c r="M903">
        <v>15.56</v>
      </c>
      <c r="N903">
        <v>2.64</v>
      </c>
      <c r="O903">
        <v>3.03</v>
      </c>
      <c r="P903">
        <v>425.83</v>
      </c>
      <c r="Q903">
        <v>785</v>
      </c>
      <c r="R903">
        <v>4</v>
      </c>
      <c r="S903">
        <v>95</v>
      </c>
    </row>
    <row r="904" spans="1:19" x14ac:dyDescent="0.3">
      <c r="A904">
        <v>903</v>
      </c>
      <c r="B904" t="s">
        <v>580</v>
      </c>
      <c r="C904">
        <v>2022</v>
      </c>
      <c r="D904" t="s">
        <v>20</v>
      </c>
      <c r="E904">
        <v>3</v>
      </c>
      <c r="F904" t="s">
        <v>31</v>
      </c>
      <c r="G904" t="s">
        <v>42</v>
      </c>
      <c r="H904">
        <v>46.91</v>
      </c>
      <c r="I904" t="s">
        <v>32</v>
      </c>
      <c r="J904">
        <v>18</v>
      </c>
      <c r="K904">
        <v>265</v>
      </c>
      <c r="L904">
        <v>81.290000000000006</v>
      </c>
      <c r="M904">
        <v>22.55</v>
      </c>
      <c r="N904">
        <v>12.5</v>
      </c>
      <c r="O904">
        <v>15.82</v>
      </c>
      <c r="P904">
        <v>159.75</v>
      </c>
      <c r="Q904">
        <v>462</v>
      </c>
      <c r="R904">
        <v>4</v>
      </c>
      <c r="S904">
        <v>168</v>
      </c>
    </row>
    <row r="905" spans="1:19" x14ac:dyDescent="0.3">
      <c r="A905">
        <v>904</v>
      </c>
      <c r="B905" t="s">
        <v>581</v>
      </c>
      <c r="C905">
        <v>2022</v>
      </c>
      <c r="D905" t="s">
        <v>20</v>
      </c>
      <c r="E905">
        <v>3</v>
      </c>
      <c r="F905" t="s">
        <v>21</v>
      </c>
      <c r="G905" t="s">
        <v>42</v>
      </c>
      <c r="H905">
        <v>22.92</v>
      </c>
      <c r="I905" t="s">
        <v>27</v>
      </c>
      <c r="J905">
        <v>3</v>
      </c>
      <c r="K905">
        <v>565</v>
      </c>
      <c r="L905">
        <v>94.96</v>
      </c>
      <c r="M905">
        <v>16.149999999999999</v>
      </c>
      <c r="N905">
        <v>9.49</v>
      </c>
      <c r="O905">
        <v>10.119999999999999</v>
      </c>
      <c r="P905">
        <v>466.25</v>
      </c>
      <c r="Q905">
        <v>380</v>
      </c>
      <c r="R905">
        <v>4</v>
      </c>
      <c r="S905">
        <v>54</v>
      </c>
    </row>
    <row r="906" spans="1:19" x14ac:dyDescent="0.3">
      <c r="A906">
        <v>905</v>
      </c>
      <c r="B906" t="s">
        <v>581</v>
      </c>
      <c r="C906">
        <v>2022</v>
      </c>
      <c r="D906" t="s">
        <v>20</v>
      </c>
      <c r="E906">
        <v>3</v>
      </c>
      <c r="F906" t="s">
        <v>31</v>
      </c>
      <c r="G906" t="s">
        <v>22</v>
      </c>
      <c r="H906">
        <v>51.86</v>
      </c>
      <c r="I906" t="s">
        <v>38</v>
      </c>
      <c r="J906">
        <v>22</v>
      </c>
      <c r="K906">
        <v>181</v>
      </c>
      <c r="L906">
        <v>76.400000000000006</v>
      </c>
      <c r="M906">
        <v>26.24</v>
      </c>
      <c r="N906">
        <v>10.63</v>
      </c>
      <c r="O906">
        <v>4.1500000000000004</v>
      </c>
      <c r="P906">
        <v>230.74</v>
      </c>
      <c r="Q906">
        <v>553</v>
      </c>
      <c r="R906">
        <v>1</v>
      </c>
      <c r="S906">
        <v>76</v>
      </c>
    </row>
    <row r="907" spans="1:19" x14ac:dyDescent="0.3">
      <c r="A907">
        <v>906</v>
      </c>
      <c r="B907" t="s">
        <v>581</v>
      </c>
      <c r="C907">
        <v>2022</v>
      </c>
      <c r="D907" t="s">
        <v>20</v>
      </c>
      <c r="E907">
        <v>3</v>
      </c>
      <c r="F907" t="s">
        <v>21</v>
      </c>
      <c r="G907" t="s">
        <v>35</v>
      </c>
      <c r="H907">
        <v>29.59</v>
      </c>
      <c r="I907" t="s">
        <v>47</v>
      </c>
      <c r="J907">
        <v>13</v>
      </c>
      <c r="K907">
        <v>466</v>
      </c>
      <c r="L907">
        <v>82.2</v>
      </c>
      <c r="M907">
        <v>5.05</v>
      </c>
      <c r="N907">
        <v>16.07</v>
      </c>
      <c r="O907">
        <v>13.8</v>
      </c>
      <c r="P907">
        <v>533.53</v>
      </c>
      <c r="Q907">
        <v>573</v>
      </c>
      <c r="R907">
        <v>3</v>
      </c>
      <c r="S907">
        <v>183</v>
      </c>
    </row>
    <row r="908" spans="1:19" x14ac:dyDescent="0.3">
      <c r="A908">
        <v>907</v>
      </c>
      <c r="B908" t="s">
        <v>582</v>
      </c>
      <c r="C908">
        <v>2022</v>
      </c>
      <c r="D908" t="s">
        <v>20</v>
      </c>
      <c r="E908">
        <v>3</v>
      </c>
      <c r="F908" t="s">
        <v>53</v>
      </c>
      <c r="G908" t="s">
        <v>40</v>
      </c>
      <c r="H908">
        <v>43.83</v>
      </c>
      <c r="I908" t="s">
        <v>47</v>
      </c>
      <c r="J908">
        <v>28</v>
      </c>
      <c r="K908">
        <v>377</v>
      </c>
      <c r="L908">
        <v>83.1</v>
      </c>
      <c r="M908">
        <v>10.67</v>
      </c>
      <c r="N908">
        <v>5.07</v>
      </c>
      <c r="O908">
        <v>13.18</v>
      </c>
      <c r="P908">
        <v>130.54</v>
      </c>
      <c r="Q908">
        <v>293</v>
      </c>
      <c r="R908">
        <v>4</v>
      </c>
      <c r="S908">
        <v>135</v>
      </c>
    </row>
    <row r="909" spans="1:19" x14ac:dyDescent="0.3">
      <c r="A909">
        <v>908</v>
      </c>
      <c r="B909" t="s">
        <v>583</v>
      </c>
      <c r="C909">
        <v>2022</v>
      </c>
      <c r="D909" t="s">
        <v>20</v>
      </c>
      <c r="E909">
        <v>3</v>
      </c>
      <c r="F909" t="s">
        <v>25</v>
      </c>
      <c r="G909" t="s">
        <v>40</v>
      </c>
      <c r="H909">
        <v>16.07</v>
      </c>
      <c r="I909" t="s">
        <v>32</v>
      </c>
      <c r="J909">
        <v>24</v>
      </c>
      <c r="K909">
        <v>308</v>
      </c>
      <c r="L909">
        <v>75.22</v>
      </c>
      <c r="M909">
        <v>27.23</v>
      </c>
      <c r="N909">
        <v>4.2300000000000004</v>
      </c>
      <c r="O909">
        <v>12.31</v>
      </c>
      <c r="P909">
        <v>536.02</v>
      </c>
      <c r="Q909">
        <v>391</v>
      </c>
      <c r="R909">
        <v>5</v>
      </c>
      <c r="S909">
        <v>91</v>
      </c>
    </row>
    <row r="910" spans="1:19" x14ac:dyDescent="0.3">
      <c r="A910">
        <v>909</v>
      </c>
      <c r="B910" t="s">
        <v>584</v>
      </c>
      <c r="C910">
        <v>2022</v>
      </c>
      <c r="D910" t="s">
        <v>20</v>
      </c>
      <c r="E910">
        <v>3</v>
      </c>
      <c r="F910" t="s">
        <v>34</v>
      </c>
      <c r="G910" t="s">
        <v>26</v>
      </c>
      <c r="H910">
        <v>25.66</v>
      </c>
      <c r="I910" t="s">
        <v>27</v>
      </c>
      <c r="J910">
        <v>40</v>
      </c>
      <c r="K910">
        <v>350</v>
      </c>
      <c r="L910">
        <v>78.08</v>
      </c>
      <c r="M910">
        <v>24.51</v>
      </c>
      <c r="N910">
        <v>7.78</v>
      </c>
      <c r="O910">
        <v>7.03</v>
      </c>
      <c r="P910">
        <v>294.67</v>
      </c>
      <c r="Q910">
        <v>380</v>
      </c>
      <c r="R910">
        <v>4</v>
      </c>
      <c r="S910">
        <v>52</v>
      </c>
    </row>
    <row r="911" spans="1:19" x14ac:dyDescent="0.3">
      <c r="A911">
        <v>910</v>
      </c>
      <c r="B911" t="s">
        <v>580</v>
      </c>
      <c r="C911">
        <v>2022</v>
      </c>
      <c r="D911" t="s">
        <v>20</v>
      </c>
      <c r="E911">
        <v>3</v>
      </c>
      <c r="F911" t="s">
        <v>53</v>
      </c>
      <c r="G911" t="s">
        <v>40</v>
      </c>
      <c r="H911">
        <v>50.88</v>
      </c>
      <c r="I911" t="s">
        <v>27</v>
      </c>
      <c r="J911">
        <v>36</v>
      </c>
      <c r="K911">
        <v>293</v>
      </c>
      <c r="L911">
        <v>79.62</v>
      </c>
      <c r="M911">
        <v>31.42</v>
      </c>
      <c r="N911">
        <v>8.8699999999999992</v>
      </c>
      <c r="O911">
        <v>12.77</v>
      </c>
      <c r="P911">
        <v>285.02999999999997</v>
      </c>
      <c r="Q911">
        <v>830</v>
      </c>
      <c r="R911">
        <v>5</v>
      </c>
      <c r="S911">
        <v>141</v>
      </c>
    </row>
    <row r="912" spans="1:19" x14ac:dyDescent="0.3">
      <c r="A912">
        <v>911</v>
      </c>
      <c r="B912" t="s">
        <v>585</v>
      </c>
      <c r="C912">
        <v>2022</v>
      </c>
      <c r="D912" t="s">
        <v>20</v>
      </c>
      <c r="E912">
        <v>3</v>
      </c>
      <c r="F912" t="s">
        <v>25</v>
      </c>
      <c r="G912" t="s">
        <v>35</v>
      </c>
      <c r="H912">
        <v>21.55</v>
      </c>
      <c r="I912" t="s">
        <v>27</v>
      </c>
      <c r="J912">
        <v>37</v>
      </c>
      <c r="K912">
        <v>485</v>
      </c>
      <c r="L912">
        <v>77.37</v>
      </c>
      <c r="M912">
        <v>28.84</v>
      </c>
      <c r="N912">
        <v>15.66</v>
      </c>
      <c r="O912">
        <v>10.84</v>
      </c>
      <c r="P912">
        <v>444.15</v>
      </c>
      <c r="Q912">
        <v>223</v>
      </c>
      <c r="R912">
        <v>4</v>
      </c>
      <c r="S912">
        <v>207</v>
      </c>
    </row>
    <row r="913" spans="1:19" x14ac:dyDescent="0.3">
      <c r="A913">
        <v>912</v>
      </c>
      <c r="B913" t="s">
        <v>581</v>
      </c>
      <c r="C913">
        <v>2022</v>
      </c>
      <c r="D913" t="s">
        <v>20</v>
      </c>
      <c r="E913">
        <v>3</v>
      </c>
      <c r="F913" t="s">
        <v>31</v>
      </c>
      <c r="G913" t="s">
        <v>35</v>
      </c>
      <c r="H913">
        <v>24</v>
      </c>
      <c r="I913" t="s">
        <v>38</v>
      </c>
      <c r="J913">
        <v>19</v>
      </c>
      <c r="K913">
        <v>406</v>
      </c>
      <c r="L913">
        <v>83.37</v>
      </c>
      <c r="M913">
        <v>6.5</v>
      </c>
      <c r="N913">
        <v>9.31</v>
      </c>
      <c r="O913">
        <v>13.31</v>
      </c>
      <c r="P913">
        <v>392.62</v>
      </c>
      <c r="Q913">
        <v>735</v>
      </c>
      <c r="R913">
        <v>3</v>
      </c>
      <c r="S913">
        <v>160</v>
      </c>
    </row>
    <row r="914" spans="1:19" x14ac:dyDescent="0.3">
      <c r="A914">
        <v>913</v>
      </c>
      <c r="B914" t="s">
        <v>586</v>
      </c>
      <c r="C914">
        <v>2022</v>
      </c>
      <c r="D914" t="s">
        <v>20</v>
      </c>
      <c r="E914">
        <v>3</v>
      </c>
      <c r="F914" t="s">
        <v>34</v>
      </c>
      <c r="G914" t="s">
        <v>42</v>
      </c>
      <c r="H914">
        <v>47.87</v>
      </c>
      <c r="I914" t="s">
        <v>23</v>
      </c>
      <c r="J914">
        <v>45</v>
      </c>
      <c r="K914">
        <v>505</v>
      </c>
      <c r="L914">
        <v>77.64</v>
      </c>
      <c r="M914">
        <v>10.119999999999999</v>
      </c>
      <c r="N914">
        <v>20.149999999999999</v>
      </c>
      <c r="O914">
        <v>5.63</v>
      </c>
      <c r="P914">
        <v>389.92</v>
      </c>
      <c r="Q914">
        <v>700</v>
      </c>
      <c r="R914">
        <v>4</v>
      </c>
      <c r="S914">
        <v>213</v>
      </c>
    </row>
    <row r="915" spans="1:19" x14ac:dyDescent="0.3">
      <c r="A915">
        <v>914</v>
      </c>
      <c r="B915" t="s">
        <v>571</v>
      </c>
      <c r="C915">
        <v>2022</v>
      </c>
      <c r="D915" t="s">
        <v>20</v>
      </c>
      <c r="E915">
        <v>3</v>
      </c>
      <c r="F915" t="s">
        <v>34</v>
      </c>
      <c r="G915" t="s">
        <v>22</v>
      </c>
      <c r="H915">
        <v>45.82</v>
      </c>
      <c r="I915" t="s">
        <v>23</v>
      </c>
      <c r="J915">
        <v>18</v>
      </c>
      <c r="K915">
        <v>579</v>
      </c>
      <c r="L915">
        <v>87.04</v>
      </c>
      <c r="M915">
        <v>5.13</v>
      </c>
      <c r="N915">
        <v>12.25</v>
      </c>
      <c r="O915">
        <v>8.19</v>
      </c>
      <c r="P915">
        <v>134.41999999999999</v>
      </c>
      <c r="Q915">
        <v>1065</v>
      </c>
      <c r="R915">
        <v>2</v>
      </c>
      <c r="S915">
        <v>88</v>
      </c>
    </row>
    <row r="916" spans="1:19" x14ac:dyDescent="0.3">
      <c r="A916">
        <v>915</v>
      </c>
      <c r="B916" t="s">
        <v>587</v>
      </c>
      <c r="C916">
        <v>2022</v>
      </c>
      <c r="D916" t="s">
        <v>20</v>
      </c>
      <c r="E916">
        <v>3</v>
      </c>
      <c r="F916" t="s">
        <v>21</v>
      </c>
      <c r="G916" t="s">
        <v>26</v>
      </c>
      <c r="H916">
        <v>19.829999999999998</v>
      </c>
      <c r="I916" t="s">
        <v>47</v>
      </c>
      <c r="J916">
        <v>25</v>
      </c>
      <c r="K916">
        <v>514</v>
      </c>
      <c r="L916">
        <v>94</v>
      </c>
      <c r="M916">
        <v>25.25</v>
      </c>
      <c r="N916">
        <v>6.18</v>
      </c>
      <c r="O916">
        <v>1.51</v>
      </c>
      <c r="P916">
        <v>118.08</v>
      </c>
      <c r="Q916">
        <v>1056</v>
      </c>
      <c r="R916">
        <v>2</v>
      </c>
      <c r="S916">
        <v>220</v>
      </c>
    </row>
    <row r="917" spans="1:19" x14ac:dyDescent="0.3">
      <c r="A917">
        <v>916</v>
      </c>
      <c r="B917" t="s">
        <v>576</v>
      </c>
      <c r="C917">
        <v>2022</v>
      </c>
      <c r="D917" t="s">
        <v>20</v>
      </c>
      <c r="E917">
        <v>3</v>
      </c>
      <c r="F917" t="s">
        <v>29</v>
      </c>
      <c r="G917" t="s">
        <v>22</v>
      </c>
      <c r="H917">
        <v>22.33</v>
      </c>
      <c r="I917" t="s">
        <v>32</v>
      </c>
      <c r="J917">
        <v>19</v>
      </c>
      <c r="K917">
        <v>462</v>
      </c>
      <c r="L917">
        <v>76.319999999999993</v>
      </c>
      <c r="M917">
        <v>14.83</v>
      </c>
      <c r="N917">
        <v>11.52</v>
      </c>
      <c r="O917">
        <v>13.85</v>
      </c>
      <c r="P917">
        <v>464.42</v>
      </c>
      <c r="Q917">
        <v>959</v>
      </c>
      <c r="R917">
        <v>1</v>
      </c>
      <c r="S917">
        <v>158</v>
      </c>
    </row>
    <row r="918" spans="1:19" x14ac:dyDescent="0.3">
      <c r="A918">
        <v>917</v>
      </c>
      <c r="B918" t="s">
        <v>571</v>
      </c>
      <c r="C918">
        <v>2022</v>
      </c>
      <c r="D918" t="s">
        <v>20</v>
      </c>
      <c r="E918">
        <v>3</v>
      </c>
      <c r="F918" t="s">
        <v>25</v>
      </c>
      <c r="G918" t="s">
        <v>40</v>
      </c>
      <c r="H918">
        <v>9.59</v>
      </c>
      <c r="I918" t="s">
        <v>38</v>
      </c>
      <c r="J918">
        <v>29</v>
      </c>
      <c r="K918">
        <v>413</v>
      </c>
      <c r="L918">
        <v>93.58</v>
      </c>
      <c r="M918">
        <v>25.84</v>
      </c>
      <c r="N918">
        <v>9.5399999999999991</v>
      </c>
      <c r="O918">
        <v>8.4600000000000009</v>
      </c>
      <c r="P918">
        <v>318.64</v>
      </c>
      <c r="Q918">
        <v>483</v>
      </c>
      <c r="R918">
        <v>3</v>
      </c>
      <c r="S918">
        <v>230</v>
      </c>
    </row>
    <row r="919" spans="1:19" x14ac:dyDescent="0.3">
      <c r="A919">
        <v>918</v>
      </c>
      <c r="B919" t="s">
        <v>582</v>
      </c>
      <c r="C919">
        <v>2022</v>
      </c>
      <c r="D919" t="s">
        <v>20</v>
      </c>
      <c r="E919">
        <v>3</v>
      </c>
      <c r="F919" t="s">
        <v>29</v>
      </c>
      <c r="G919" t="s">
        <v>26</v>
      </c>
      <c r="H919">
        <v>52.31</v>
      </c>
      <c r="I919" t="s">
        <v>23</v>
      </c>
      <c r="J919">
        <v>8</v>
      </c>
      <c r="K919">
        <v>226</v>
      </c>
      <c r="L919">
        <v>93.22</v>
      </c>
      <c r="M919">
        <v>32.64</v>
      </c>
      <c r="N919">
        <v>7.01</v>
      </c>
      <c r="O919">
        <v>10.75</v>
      </c>
      <c r="P919">
        <v>376.41</v>
      </c>
      <c r="Q919">
        <v>886</v>
      </c>
      <c r="R919">
        <v>5</v>
      </c>
      <c r="S919">
        <v>96</v>
      </c>
    </row>
    <row r="920" spans="1:19" x14ac:dyDescent="0.3">
      <c r="A920">
        <v>919</v>
      </c>
      <c r="B920" t="s">
        <v>588</v>
      </c>
      <c r="C920">
        <v>2022</v>
      </c>
      <c r="D920" t="s">
        <v>96</v>
      </c>
      <c r="E920">
        <v>4</v>
      </c>
      <c r="F920" t="s">
        <v>62</v>
      </c>
      <c r="G920" t="s">
        <v>40</v>
      </c>
      <c r="H920">
        <v>33.17</v>
      </c>
      <c r="I920" t="s">
        <v>38</v>
      </c>
      <c r="J920">
        <v>22</v>
      </c>
      <c r="K920">
        <v>476</v>
      </c>
      <c r="L920">
        <v>91.98</v>
      </c>
      <c r="M920">
        <v>16.84</v>
      </c>
      <c r="N920">
        <v>21.77</v>
      </c>
      <c r="O920">
        <v>13.97</v>
      </c>
      <c r="P920">
        <v>415.83</v>
      </c>
      <c r="Q920">
        <v>943</v>
      </c>
      <c r="R920">
        <v>5</v>
      </c>
      <c r="S920">
        <v>69</v>
      </c>
    </row>
    <row r="921" spans="1:19" x14ac:dyDescent="0.3">
      <c r="A921">
        <v>920</v>
      </c>
      <c r="B921" t="s">
        <v>589</v>
      </c>
      <c r="C921">
        <v>2022</v>
      </c>
      <c r="D921" t="s">
        <v>96</v>
      </c>
      <c r="E921">
        <v>4</v>
      </c>
      <c r="F921" t="s">
        <v>62</v>
      </c>
      <c r="G921" t="s">
        <v>35</v>
      </c>
      <c r="H921">
        <v>47.55</v>
      </c>
      <c r="I921" t="s">
        <v>38</v>
      </c>
      <c r="J921">
        <v>47</v>
      </c>
      <c r="K921">
        <v>232</v>
      </c>
      <c r="L921">
        <v>86.73</v>
      </c>
      <c r="M921">
        <v>12.86</v>
      </c>
      <c r="N921">
        <v>19.14</v>
      </c>
      <c r="O921">
        <v>12.35</v>
      </c>
      <c r="P921">
        <v>501.05</v>
      </c>
      <c r="Q921">
        <v>126</v>
      </c>
      <c r="R921">
        <v>3</v>
      </c>
      <c r="S921">
        <v>229</v>
      </c>
    </row>
    <row r="922" spans="1:19" x14ac:dyDescent="0.3">
      <c r="A922">
        <v>921</v>
      </c>
      <c r="B922" t="s">
        <v>590</v>
      </c>
      <c r="C922">
        <v>2022</v>
      </c>
      <c r="D922" t="s">
        <v>96</v>
      </c>
      <c r="E922">
        <v>4</v>
      </c>
      <c r="F922" t="s">
        <v>25</v>
      </c>
      <c r="G922" t="s">
        <v>22</v>
      </c>
      <c r="H922">
        <v>47.69</v>
      </c>
      <c r="I922" t="s">
        <v>27</v>
      </c>
      <c r="J922">
        <v>1</v>
      </c>
      <c r="K922">
        <v>169</v>
      </c>
      <c r="L922">
        <v>92.49</v>
      </c>
      <c r="M922">
        <v>12.88</v>
      </c>
      <c r="N922">
        <v>7.24</v>
      </c>
      <c r="O922">
        <v>1.35</v>
      </c>
      <c r="P922">
        <v>293.33</v>
      </c>
      <c r="Q922">
        <v>363</v>
      </c>
      <c r="R922">
        <v>5</v>
      </c>
      <c r="S922">
        <v>156</v>
      </c>
    </row>
    <row r="923" spans="1:19" x14ac:dyDescent="0.3">
      <c r="A923">
        <v>922</v>
      </c>
      <c r="B923" t="s">
        <v>591</v>
      </c>
      <c r="C923">
        <v>2022</v>
      </c>
      <c r="D923" t="s">
        <v>96</v>
      </c>
      <c r="E923">
        <v>4</v>
      </c>
      <c r="F923" t="s">
        <v>62</v>
      </c>
      <c r="G923" t="s">
        <v>42</v>
      </c>
      <c r="H923">
        <v>29.45</v>
      </c>
      <c r="I923" t="s">
        <v>47</v>
      </c>
      <c r="J923">
        <v>22</v>
      </c>
      <c r="K923">
        <v>371</v>
      </c>
      <c r="L923">
        <v>75.67</v>
      </c>
      <c r="M923">
        <v>13.57</v>
      </c>
      <c r="N923">
        <v>12.86</v>
      </c>
      <c r="O923">
        <v>11.17</v>
      </c>
      <c r="P923">
        <v>177.55</v>
      </c>
      <c r="Q923">
        <v>1003</v>
      </c>
      <c r="R923">
        <v>3</v>
      </c>
      <c r="S923">
        <v>192</v>
      </c>
    </row>
    <row r="924" spans="1:19" x14ac:dyDescent="0.3">
      <c r="A924">
        <v>923</v>
      </c>
      <c r="B924" t="s">
        <v>590</v>
      </c>
      <c r="C924">
        <v>2022</v>
      </c>
      <c r="D924" t="s">
        <v>96</v>
      </c>
      <c r="E924">
        <v>4</v>
      </c>
      <c r="F924" t="s">
        <v>25</v>
      </c>
      <c r="G924" t="s">
        <v>42</v>
      </c>
      <c r="H924">
        <v>18.510000000000002</v>
      </c>
      <c r="I924" t="s">
        <v>27</v>
      </c>
      <c r="J924">
        <v>21</v>
      </c>
      <c r="K924">
        <v>138</v>
      </c>
      <c r="L924">
        <v>94.17</v>
      </c>
      <c r="M924">
        <v>29.99</v>
      </c>
      <c r="N924">
        <v>5.18</v>
      </c>
      <c r="O924">
        <v>6.78</v>
      </c>
      <c r="P924">
        <v>275.89999999999998</v>
      </c>
      <c r="Q924">
        <v>158</v>
      </c>
      <c r="R924">
        <v>1</v>
      </c>
      <c r="S924">
        <v>103</v>
      </c>
    </row>
    <row r="925" spans="1:19" x14ac:dyDescent="0.3">
      <c r="A925">
        <v>924</v>
      </c>
      <c r="B925" t="s">
        <v>592</v>
      </c>
      <c r="C925">
        <v>2022</v>
      </c>
      <c r="D925" t="s">
        <v>96</v>
      </c>
      <c r="E925">
        <v>4</v>
      </c>
      <c r="F925" t="s">
        <v>62</v>
      </c>
      <c r="G925" t="s">
        <v>42</v>
      </c>
      <c r="H925">
        <v>19.02</v>
      </c>
      <c r="I925" t="s">
        <v>27</v>
      </c>
      <c r="J925">
        <v>42</v>
      </c>
      <c r="K925">
        <v>281</v>
      </c>
      <c r="L925">
        <v>90.43</v>
      </c>
      <c r="M925">
        <v>14.09</v>
      </c>
      <c r="N925">
        <v>10.92</v>
      </c>
      <c r="O925">
        <v>5.89</v>
      </c>
      <c r="P925">
        <v>588.01</v>
      </c>
      <c r="Q925">
        <v>386</v>
      </c>
      <c r="R925">
        <v>1</v>
      </c>
      <c r="S925">
        <v>77</v>
      </c>
    </row>
    <row r="926" spans="1:19" x14ac:dyDescent="0.3">
      <c r="A926">
        <v>925</v>
      </c>
      <c r="B926" t="s">
        <v>593</v>
      </c>
      <c r="C926">
        <v>2022</v>
      </c>
      <c r="D926" t="s">
        <v>96</v>
      </c>
      <c r="E926">
        <v>4</v>
      </c>
      <c r="F926" t="s">
        <v>53</v>
      </c>
      <c r="G926" t="s">
        <v>35</v>
      </c>
      <c r="H926">
        <v>8.0500000000000007</v>
      </c>
      <c r="I926" t="s">
        <v>32</v>
      </c>
      <c r="J926">
        <v>43</v>
      </c>
      <c r="K926">
        <v>133</v>
      </c>
      <c r="L926">
        <v>93.02</v>
      </c>
      <c r="M926">
        <v>17.25</v>
      </c>
      <c r="N926">
        <v>11.47</v>
      </c>
      <c r="O926">
        <v>9.67</v>
      </c>
      <c r="P926">
        <v>155.46</v>
      </c>
      <c r="Q926">
        <v>554</v>
      </c>
      <c r="R926">
        <v>4</v>
      </c>
      <c r="S926">
        <v>245</v>
      </c>
    </row>
    <row r="927" spans="1:19" x14ac:dyDescent="0.3">
      <c r="A927">
        <v>926</v>
      </c>
      <c r="B927" t="s">
        <v>594</v>
      </c>
      <c r="C927">
        <v>2022</v>
      </c>
      <c r="D927" t="s">
        <v>96</v>
      </c>
      <c r="E927">
        <v>4</v>
      </c>
      <c r="F927" t="s">
        <v>25</v>
      </c>
      <c r="G927" t="s">
        <v>35</v>
      </c>
      <c r="H927">
        <v>26.93</v>
      </c>
      <c r="I927" t="s">
        <v>47</v>
      </c>
      <c r="J927">
        <v>43</v>
      </c>
      <c r="K927">
        <v>316</v>
      </c>
      <c r="L927">
        <v>87.14</v>
      </c>
      <c r="M927">
        <v>25.79</v>
      </c>
      <c r="N927">
        <v>19.43</v>
      </c>
      <c r="O927">
        <v>14.12</v>
      </c>
      <c r="P927">
        <v>479.68</v>
      </c>
      <c r="Q927">
        <v>255</v>
      </c>
      <c r="R927">
        <v>3</v>
      </c>
      <c r="S927">
        <v>69</v>
      </c>
    </row>
    <row r="928" spans="1:19" x14ac:dyDescent="0.3">
      <c r="A928">
        <v>927</v>
      </c>
      <c r="B928" t="s">
        <v>595</v>
      </c>
      <c r="C928">
        <v>2022</v>
      </c>
      <c r="D928" t="s">
        <v>96</v>
      </c>
      <c r="E928">
        <v>4</v>
      </c>
      <c r="F928" t="s">
        <v>37</v>
      </c>
      <c r="G928" t="s">
        <v>26</v>
      </c>
      <c r="H928">
        <v>9.84</v>
      </c>
      <c r="I928" t="s">
        <v>38</v>
      </c>
      <c r="J928">
        <v>47</v>
      </c>
      <c r="K928">
        <v>474</v>
      </c>
      <c r="L928">
        <v>80.41</v>
      </c>
      <c r="M928">
        <v>11.41</v>
      </c>
      <c r="N928">
        <v>9.34</v>
      </c>
      <c r="O928">
        <v>4.2699999999999996</v>
      </c>
      <c r="P928">
        <v>521.96</v>
      </c>
      <c r="Q928">
        <v>505</v>
      </c>
      <c r="R928">
        <v>4</v>
      </c>
      <c r="S928">
        <v>61</v>
      </c>
    </row>
    <row r="929" spans="1:19" x14ac:dyDescent="0.3">
      <c r="A929">
        <v>928</v>
      </c>
      <c r="B929" t="s">
        <v>596</v>
      </c>
      <c r="C929">
        <v>2022</v>
      </c>
      <c r="D929" t="s">
        <v>96</v>
      </c>
      <c r="E929">
        <v>4</v>
      </c>
      <c r="F929" t="s">
        <v>62</v>
      </c>
      <c r="G929" t="s">
        <v>42</v>
      </c>
      <c r="H929">
        <v>45.11</v>
      </c>
      <c r="I929" t="s">
        <v>32</v>
      </c>
      <c r="J929">
        <v>36</v>
      </c>
      <c r="K929">
        <v>390</v>
      </c>
      <c r="L929">
        <v>77.22</v>
      </c>
      <c r="M929">
        <v>15.59</v>
      </c>
      <c r="N929">
        <v>5.45</v>
      </c>
      <c r="O929">
        <v>13.61</v>
      </c>
      <c r="P929">
        <v>289.13</v>
      </c>
      <c r="Q929">
        <v>249</v>
      </c>
      <c r="R929">
        <v>3</v>
      </c>
      <c r="S929">
        <v>246</v>
      </c>
    </row>
    <row r="930" spans="1:19" x14ac:dyDescent="0.3">
      <c r="A930">
        <v>929</v>
      </c>
      <c r="B930" t="s">
        <v>597</v>
      </c>
      <c r="C930">
        <v>2022</v>
      </c>
      <c r="D930" t="s">
        <v>96</v>
      </c>
      <c r="E930">
        <v>4</v>
      </c>
      <c r="F930" t="s">
        <v>29</v>
      </c>
      <c r="G930" t="s">
        <v>35</v>
      </c>
      <c r="H930">
        <v>53.67</v>
      </c>
      <c r="I930" t="s">
        <v>32</v>
      </c>
      <c r="J930">
        <v>36</v>
      </c>
      <c r="K930">
        <v>459</v>
      </c>
      <c r="L930">
        <v>86.77</v>
      </c>
      <c r="M930">
        <v>21.07</v>
      </c>
      <c r="N930">
        <v>6.13</v>
      </c>
      <c r="O930">
        <v>4.9800000000000004</v>
      </c>
      <c r="P930">
        <v>546.23</v>
      </c>
      <c r="Q930">
        <v>1049</v>
      </c>
      <c r="R930">
        <v>4</v>
      </c>
      <c r="S930">
        <v>52</v>
      </c>
    </row>
    <row r="931" spans="1:19" x14ac:dyDescent="0.3">
      <c r="A931">
        <v>930</v>
      </c>
      <c r="B931" t="s">
        <v>589</v>
      </c>
      <c r="C931">
        <v>2022</v>
      </c>
      <c r="D931" t="s">
        <v>96</v>
      </c>
      <c r="E931">
        <v>4</v>
      </c>
      <c r="F931" t="s">
        <v>31</v>
      </c>
      <c r="G931" t="s">
        <v>26</v>
      </c>
      <c r="H931">
        <v>32.5</v>
      </c>
      <c r="I931" t="s">
        <v>38</v>
      </c>
      <c r="J931">
        <v>24</v>
      </c>
      <c r="K931">
        <v>559</v>
      </c>
      <c r="L931">
        <v>93.99</v>
      </c>
      <c r="M931">
        <v>33.090000000000003</v>
      </c>
      <c r="N931">
        <v>19.32</v>
      </c>
      <c r="O931">
        <v>9.4</v>
      </c>
      <c r="P931">
        <v>329.81</v>
      </c>
      <c r="Q931">
        <v>215</v>
      </c>
      <c r="R931">
        <v>2</v>
      </c>
      <c r="S931">
        <v>177</v>
      </c>
    </row>
    <row r="932" spans="1:19" x14ac:dyDescent="0.3">
      <c r="A932">
        <v>931</v>
      </c>
      <c r="B932" t="s">
        <v>598</v>
      </c>
      <c r="C932">
        <v>2022</v>
      </c>
      <c r="D932" t="s">
        <v>96</v>
      </c>
      <c r="E932">
        <v>4</v>
      </c>
      <c r="F932" t="s">
        <v>34</v>
      </c>
      <c r="G932" t="s">
        <v>26</v>
      </c>
      <c r="H932">
        <v>30.14</v>
      </c>
      <c r="I932" t="s">
        <v>38</v>
      </c>
      <c r="J932">
        <v>1</v>
      </c>
      <c r="K932">
        <v>146</v>
      </c>
      <c r="L932">
        <v>78.569999999999993</v>
      </c>
      <c r="M932">
        <v>27.28</v>
      </c>
      <c r="N932">
        <v>10.47</v>
      </c>
      <c r="O932">
        <v>5.22</v>
      </c>
      <c r="P932">
        <v>296.19</v>
      </c>
      <c r="Q932">
        <v>434</v>
      </c>
      <c r="R932">
        <v>4</v>
      </c>
      <c r="S932">
        <v>69</v>
      </c>
    </row>
    <row r="933" spans="1:19" x14ac:dyDescent="0.3">
      <c r="A933">
        <v>932</v>
      </c>
      <c r="B933" t="s">
        <v>599</v>
      </c>
      <c r="C933">
        <v>2022</v>
      </c>
      <c r="D933" t="s">
        <v>96</v>
      </c>
      <c r="E933">
        <v>4</v>
      </c>
      <c r="F933" t="s">
        <v>31</v>
      </c>
      <c r="G933" t="s">
        <v>40</v>
      </c>
      <c r="H933">
        <v>22.44</v>
      </c>
      <c r="I933" t="s">
        <v>27</v>
      </c>
      <c r="J933">
        <v>21</v>
      </c>
      <c r="K933">
        <v>422</v>
      </c>
      <c r="L933">
        <v>90.01</v>
      </c>
      <c r="M933">
        <v>19.190000000000001</v>
      </c>
      <c r="N933">
        <v>5.43</v>
      </c>
      <c r="O933">
        <v>2.86</v>
      </c>
      <c r="P933">
        <v>118.44</v>
      </c>
      <c r="Q933">
        <v>1047</v>
      </c>
      <c r="R933">
        <v>4</v>
      </c>
      <c r="S933">
        <v>134</v>
      </c>
    </row>
    <row r="934" spans="1:19" x14ac:dyDescent="0.3">
      <c r="A934">
        <v>933</v>
      </c>
      <c r="B934" t="s">
        <v>591</v>
      </c>
      <c r="C934">
        <v>2022</v>
      </c>
      <c r="D934" t="s">
        <v>96</v>
      </c>
      <c r="E934">
        <v>4</v>
      </c>
      <c r="F934" t="s">
        <v>53</v>
      </c>
      <c r="G934" t="s">
        <v>42</v>
      </c>
      <c r="H934">
        <v>31.09</v>
      </c>
      <c r="I934" t="s">
        <v>32</v>
      </c>
      <c r="J934">
        <v>1</v>
      </c>
      <c r="K934">
        <v>585</v>
      </c>
      <c r="L934">
        <v>87.43</v>
      </c>
      <c r="M934">
        <v>24.42</v>
      </c>
      <c r="N934">
        <v>17.170000000000002</v>
      </c>
      <c r="O934">
        <v>3.78</v>
      </c>
      <c r="P934">
        <v>514.4</v>
      </c>
      <c r="Q934">
        <v>967</v>
      </c>
      <c r="R934">
        <v>4</v>
      </c>
      <c r="S934">
        <v>172</v>
      </c>
    </row>
    <row r="935" spans="1:19" x14ac:dyDescent="0.3">
      <c r="A935">
        <v>934</v>
      </c>
      <c r="B935" t="s">
        <v>593</v>
      </c>
      <c r="C935">
        <v>2022</v>
      </c>
      <c r="D935" t="s">
        <v>96</v>
      </c>
      <c r="E935">
        <v>4</v>
      </c>
      <c r="F935" t="s">
        <v>29</v>
      </c>
      <c r="G935" t="s">
        <v>35</v>
      </c>
      <c r="H935">
        <v>38.75</v>
      </c>
      <c r="I935" t="s">
        <v>47</v>
      </c>
      <c r="J935">
        <v>47</v>
      </c>
      <c r="K935">
        <v>176</v>
      </c>
      <c r="L935">
        <v>82.12</v>
      </c>
      <c r="M935">
        <v>8.9499999999999993</v>
      </c>
      <c r="N935">
        <v>15.86</v>
      </c>
      <c r="O935">
        <v>4.41</v>
      </c>
      <c r="P935">
        <v>393.35</v>
      </c>
      <c r="Q935">
        <v>571</v>
      </c>
      <c r="R935">
        <v>4</v>
      </c>
      <c r="S935">
        <v>199</v>
      </c>
    </row>
    <row r="936" spans="1:19" x14ac:dyDescent="0.3">
      <c r="A936">
        <v>935</v>
      </c>
      <c r="B936" t="s">
        <v>600</v>
      </c>
      <c r="C936">
        <v>2022</v>
      </c>
      <c r="D936" t="s">
        <v>96</v>
      </c>
      <c r="E936">
        <v>4</v>
      </c>
      <c r="F936" t="s">
        <v>34</v>
      </c>
      <c r="G936" t="s">
        <v>42</v>
      </c>
      <c r="H936">
        <v>39.36</v>
      </c>
      <c r="I936" t="s">
        <v>47</v>
      </c>
      <c r="J936">
        <v>5</v>
      </c>
      <c r="K936">
        <v>235</v>
      </c>
      <c r="L936">
        <v>77.5</v>
      </c>
      <c r="M936">
        <v>7.8</v>
      </c>
      <c r="N936">
        <v>14.08</v>
      </c>
      <c r="O936">
        <v>6.5</v>
      </c>
      <c r="P936">
        <v>350.17</v>
      </c>
      <c r="Q936">
        <v>367</v>
      </c>
      <c r="R936">
        <v>1</v>
      </c>
      <c r="S936">
        <v>229</v>
      </c>
    </row>
    <row r="937" spans="1:19" x14ac:dyDescent="0.3">
      <c r="A937">
        <v>936</v>
      </c>
      <c r="B937" t="s">
        <v>601</v>
      </c>
      <c r="C937">
        <v>2022</v>
      </c>
      <c r="D937" t="s">
        <v>96</v>
      </c>
      <c r="E937">
        <v>4</v>
      </c>
      <c r="F937" t="s">
        <v>21</v>
      </c>
      <c r="G937" t="s">
        <v>26</v>
      </c>
      <c r="H937">
        <v>33.96</v>
      </c>
      <c r="I937" t="s">
        <v>32</v>
      </c>
      <c r="J937">
        <v>20</v>
      </c>
      <c r="K937">
        <v>320</v>
      </c>
      <c r="L937">
        <v>91.74</v>
      </c>
      <c r="M937">
        <v>14.73</v>
      </c>
      <c r="N937">
        <v>18.91</v>
      </c>
      <c r="O937">
        <v>4.57</v>
      </c>
      <c r="P937">
        <v>556.79999999999995</v>
      </c>
      <c r="Q937">
        <v>440</v>
      </c>
      <c r="R937">
        <v>4</v>
      </c>
      <c r="S937">
        <v>89</v>
      </c>
    </row>
    <row r="938" spans="1:19" x14ac:dyDescent="0.3">
      <c r="A938">
        <v>937</v>
      </c>
      <c r="B938" t="s">
        <v>602</v>
      </c>
      <c r="C938">
        <v>2022</v>
      </c>
      <c r="D938" t="s">
        <v>96</v>
      </c>
      <c r="E938">
        <v>4</v>
      </c>
      <c r="F938" t="s">
        <v>37</v>
      </c>
      <c r="G938" t="s">
        <v>40</v>
      </c>
      <c r="H938">
        <v>15.14</v>
      </c>
      <c r="I938" t="s">
        <v>32</v>
      </c>
      <c r="J938">
        <v>25</v>
      </c>
      <c r="K938">
        <v>582</v>
      </c>
      <c r="L938">
        <v>81.150000000000006</v>
      </c>
      <c r="M938">
        <v>7.81</v>
      </c>
      <c r="N938">
        <v>18.22</v>
      </c>
      <c r="O938">
        <v>8.6</v>
      </c>
      <c r="P938">
        <v>106.35</v>
      </c>
      <c r="Q938">
        <v>610</v>
      </c>
      <c r="R938">
        <v>3</v>
      </c>
      <c r="S938">
        <v>173</v>
      </c>
    </row>
    <row r="939" spans="1:19" x14ac:dyDescent="0.3">
      <c r="A939">
        <v>938</v>
      </c>
      <c r="B939" t="s">
        <v>603</v>
      </c>
      <c r="C939">
        <v>2022</v>
      </c>
      <c r="D939" t="s">
        <v>96</v>
      </c>
      <c r="E939">
        <v>4</v>
      </c>
      <c r="F939" t="s">
        <v>21</v>
      </c>
      <c r="G939" t="s">
        <v>26</v>
      </c>
      <c r="H939">
        <v>43.12</v>
      </c>
      <c r="I939" t="s">
        <v>38</v>
      </c>
      <c r="J939">
        <v>1</v>
      </c>
      <c r="K939">
        <v>165</v>
      </c>
      <c r="L939">
        <v>92.14</v>
      </c>
      <c r="M939">
        <v>31.83</v>
      </c>
      <c r="N939">
        <v>11.23</v>
      </c>
      <c r="O939">
        <v>2.58</v>
      </c>
      <c r="P939">
        <v>316.16000000000003</v>
      </c>
      <c r="Q939">
        <v>946</v>
      </c>
      <c r="R939">
        <v>3</v>
      </c>
      <c r="S939">
        <v>188</v>
      </c>
    </row>
    <row r="940" spans="1:19" x14ac:dyDescent="0.3">
      <c r="A940">
        <v>939</v>
      </c>
      <c r="B940" t="s">
        <v>603</v>
      </c>
      <c r="C940">
        <v>2022</v>
      </c>
      <c r="D940" t="s">
        <v>96</v>
      </c>
      <c r="E940">
        <v>4</v>
      </c>
      <c r="F940" t="s">
        <v>21</v>
      </c>
      <c r="G940" t="s">
        <v>35</v>
      </c>
      <c r="H940">
        <v>53.08</v>
      </c>
      <c r="I940" t="s">
        <v>23</v>
      </c>
      <c r="J940">
        <v>32</v>
      </c>
      <c r="K940">
        <v>533</v>
      </c>
      <c r="L940">
        <v>85.8</v>
      </c>
      <c r="M940">
        <v>22.66</v>
      </c>
      <c r="N940">
        <v>5.64</v>
      </c>
      <c r="O940">
        <v>8.73</v>
      </c>
      <c r="P940">
        <v>284.61</v>
      </c>
      <c r="Q940">
        <v>807</v>
      </c>
      <c r="R940">
        <v>3</v>
      </c>
      <c r="S940">
        <v>199</v>
      </c>
    </row>
    <row r="941" spans="1:19" x14ac:dyDescent="0.3">
      <c r="A941">
        <v>940</v>
      </c>
      <c r="B941" t="s">
        <v>604</v>
      </c>
      <c r="C941">
        <v>2022</v>
      </c>
      <c r="D941" t="s">
        <v>96</v>
      </c>
      <c r="E941">
        <v>4</v>
      </c>
      <c r="F941" t="s">
        <v>31</v>
      </c>
      <c r="G941" t="s">
        <v>22</v>
      </c>
      <c r="H941">
        <v>18.510000000000002</v>
      </c>
      <c r="I941" t="s">
        <v>47</v>
      </c>
      <c r="J941">
        <v>31</v>
      </c>
      <c r="K941">
        <v>564</v>
      </c>
      <c r="L941">
        <v>88.34</v>
      </c>
      <c r="M941">
        <v>30.72</v>
      </c>
      <c r="N941">
        <v>16.05</v>
      </c>
      <c r="O941">
        <v>6.89</v>
      </c>
      <c r="P941">
        <v>165.58</v>
      </c>
      <c r="Q941">
        <v>261</v>
      </c>
      <c r="R941">
        <v>4</v>
      </c>
      <c r="S941">
        <v>239</v>
      </c>
    </row>
    <row r="942" spans="1:19" x14ac:dyDescent="0.3">
      <c r="A942">
        <v>941</v>
      </c>
      <c r="B942" t="s">
        <v>605</v>
      </c>
      <c r="C942">
        <v>2022</v>
      </c>
      <c r="D942" t="s">
        <v>96</v>
      </c>
      <c r="E942">
        <v>4</v>
      </c>
      <c r="F942" t="s">
        <v>25</v>
      </c>
      <c r="G942" t="s">
        <v>35</v>
      </c>
      <c r="H942">
        <v>48.99</v>
      </c>
      <c r="I942" t="s">
        <v>23</v>
      </c>
      <c r="J942">
        <v>48</v>
      </c>
      <c r="K942">
        <v>285</v>
      </c>
      <c r="L942">
        <v>91.79</v>
      </c>
      <c r="M942">
        <v>21.42</v>
      </c>
      <c r="N942">
        <v>7.87</v>
      </c>
      <c r="O942">
        <v>6.17</v>
      </c>
      <c r="P942">
        <v>408.53</v>
      </c>
      <c r="Q942">
        <v>998</v>
      </c>
      <c r="R942">
        <v>5</v>
      </c>
      <c r="S942">
        <v>184</v>
      </c>
    </row>
    <row r="943" spans="1:19" x14ac:dyDescent="0.3">
      <c r="A943">
        <v>942</v>
      </c>
      <c r="B943" t="s">
        <v>597</v>
      </c>
      <c r="C943">
        <v>2022</v>
      </c>
      <c r="D943" t="s">
        <v>96</v>
      </c>
      <c r="E943">
        <v>4</v>
      </c>
      <c r="F943" t="s">
        <v>34</v>
      </c>
      <c r="G943" t="s">
        <v>26</v>
      </c>
      <c r="H943">
        <v>31.34</v>
      </c>
      <c r="I943" t="s">
        <v>27</v>
      </c>
      <c r="J943">
        <v>45</v>
      </c>
      <c r="K943">
        <v>168</v>
      </c>
      <c r="L943">
        <v>93.77</v>
      </c>
      <c r="M943">
        <v>10.25</v>
      </c>
      <c r="N943">
        <v>7.52</v>
      </c>
      <c r="O943">
        <v>12.1</v>
      </c>
      <c r="P943">
        <v>282.56</v>
      </c>
      <c r="Q943">
        <v>487</v>
      </c>
      <c r="R943">
        <v>3</v>
      </c>
      <c r="S943">
        <v>248</v>
      </c>
    </row>
    <row r="944" spans="1:19" x14ac:dyDescent="0.3">
      <c r="A944">
        <v>943</v>
      </c>
      <c r="B944" t="s">
        <v>590</v>
      </c>
      <c r="C944">
        <v>2022</v>
      </c>
      <c r="D944" t="s">
        <v>96</v>
      </c>
      <c r="E944">
        <v>4</v>
      </c>
      <c r="F944" t="s">
        <v>62</v>
      </c>
      <c r="G944" t="s">
        <v>26</v>
      </c>
      <c r="H944">
        <v>29.55</v>
      </c>
      <c r="I944" t="s">
        <v>47</v>
      </c>
      <c r="J944">
        <v>16</v>
      </c>
      <c r="K944">
        <v>345</v>
      </c>
      <c r="L944">
        <v>87.33</v>
      </c>
      <c r="M944">
        <v>33.97</v>
      </c>
      <c r="N944">
        <v>2.92</v>
      </c>
      <c r="O944">
        <v>13.46</v>
      </c>
      <c r="P944">
        <v>368.27</v>
      </c>
      <c r="Q944">
        <v>132</v>
      </c>
      <c r="R944">
        <v>3</v>
      </c>
      <c r="S944">
        <v>61</v>
      </c>
    </row>
    <row r="945" spans="1:19" x14ac:dyDescent="0.3">
      <c r="A945">
        <v>944</v>
      </c>
      <c r="B945" t="s">
        <v>603</v>
      </c>
      <c r="C945">
        <v>2022</v>
      </c>
      <c r="D945" t="s">
        <v>96</v>
      </c>
      <c r="E945">
        <v>4</v>
      </c>
      <c r="F945" t="s">
        <v>31</v>
      </c>
      <c r="G945" t="s">
        <v>26</v>
      </c>
      <c r="H945">
        <v>38.46</v>
      </c>
      <c r="I945" t="s">
        <v>27</v>
      </c>
      <c r="J945">
        <v>26</v>
      </c>
      <c r="K945">
        <v>394</v>
      </c>
      <c r="L945">
        <v>94.03</v>
      </c>
      <c r="M945">
        <v>26.62</v>
      </c>
      <c r="N945">
        <v>20.77</v>
      </c>
      <c r="O945">
        <v>1.39</v>
      </c>
      <c r="P945">
        <v>136.32</v>
      </c>
      <c r="Q945">
        <v>610</v>
      </c>
      <c r="R945">
        <v>2</v>
      </c>
      <c r="S945">
        <v>145</v>
      </c>
    </row>
    <row r="946" spans="1:19" x14ac:dyDescent="0.3">
      <c r="A946">
        <v>945</v>
      </c>
      <c r="B946" t="s">
        <v>606</v>
      </c>
      <c r="C946">
        <v>2022</v>
      </c>
      <c r="D946" t="s">
        <v>96</v>
      </c>
      <c r="E946">
        <v>4</v>
      </c>
      <c r="F946" t="s">
        <v>62</v>
      </c>
      <c r="G946" t="s">
        <v>40</v>
      </c>
      <c r="H946">
        <v>47.2</v>
      </c>
      <c r="I946" t="s">
        <v>23</v>
      </c>
      <c r="J946">
        <v>40</v>
      </c>
      <c r="K946">
        <v>566</v>
      </c>
      <c r="L946">
        <v>80.349999999999994</v>
      </c>
      <c r="M946">
        <v>26.34</v>
      </c>
      <c r="N946">
        <v>5.56</v>
      </c>
      <c r="O946">
        <v>1.4</v>
      </c>
      <c r="P946">
        <v>223.54</v>
      </c>
      <c r="Q946">
        <v>494</v>
      </c>
      <c r="R946">
        <v>3</v>
      </c>
      <c r="S946">
        <v>113</v>
      </c>
    </row>
    <row r="947" spans="1:19" x14ac:dyDescent="0.3">
      <c r="A947">
        <v>946</v>
      </c>
      <c r="B947" t="s">
        <v>607</v>
      </c>
      <c r="C947">
        <v>2022</v>
      </c>
      <c r="D947" t="s">
        <v>96</v>
      </c>
      <c r="E947">
        <v>4</v>
      </c>
      <c r="F947" t="s">
        <v>21</v>
      </c>
      <c r="G947" t="s">
        <v>22</v>
      </c>
      <c r="H947">
        <v>49.26</v>
      </c>
      <c r="I947" t="s">
        <v>23</v>
      </c>
      <c r="J947">
        <v>13</v>
      </c>
      <c r="K947">
        <v>421</v>
      </c>
      <c r="L947">
        <v>85.3</v>
      </c>
      <c r="M947">
        <v>34.159999999999997</v>
      </c>
      <c r="N947">
        <v>10.9</v>
      </c>
      <c r="O947">
        <v>4.74</v>
      </c>
      <c r="P947">
        <v>344.77</v>
      </c>
      <c r="Q947">
        <v>285</v>
      </c>
      <c r="R947">
        <v>1</v>
      </c>
      <c r="S947">
        <v>111</v>
      </c>
    </row>
    <row r="948" spans="1:19" x14ac:dyDescent="0.3">
      <c r="A948">
        <v>947</v>
      </c>
      <c r="B948" t="s">
        <v>602</v>
      </c>
      <c r="C948">
        <v>2022</v>
      </c>
      <c r="D948" t="s">
        <v>96</v>
      </c>
      <c r="E948">
        <v>4</v>
      </c>
      <c r="F948" t="s">
        <v>21</v>
      </c>
      <c r="G948" t="s">
        <v>22</v>
      </c>
      <c r="H948">
        <v>9.2200000000000006</v>
      </c>
      <c r="I948" t="s">
        <v>47</v>
      </c>
      <c r="J948">
        <v>17</v>
      </c>
      <c r="K948">
        <v>483</v>
      </c>
      <c r="L948">
        <v>87.06</v>
      </c>
      <c r="M948">
        <v>32.54</v>
      </c>
      <c r="N948">
        <v>16.21</v>
      </c>
      <c r="O948">
        <v>3.15</v>
      </c>
      <c r="P948">
        <v>436.44</v>
      </c>
      <c r="Q948">
        <v>712</v>
      </c>
      <c r="R948">
        <v>3</v>
      </c>
      <c r="S948">
        <v>94</v>
      </c>
    </row>
    <row r="949" spans="1:19" x14ac:dyDescent="0.3">
      <c r="A949">
        <v>948</v>
      </c>
      <c r="B949" t="s">
        <v>589</v>
      </c>
      <c r="C949">
        <v>2022</v>
      </c>
      <c r="D949" t="s">
        <v>96</v>
      </c>
      <c r="E949">
        <v>4</v>
      </c>
      <c r="F949" t="s">
        <v>25</v>
      </c>
      <c r="G949" t="s">
        <v>42</v>
      </c>
      <c r="H949">
        <v>42.37</v>
      </c>
      <c r="I949" t="s">
        <v>23</v>
      </c>
      <c r="J949">
        <v>39</v>
      </c>
      <c r="K949">
        <v>145</v>
      </c>
      <c r="L949">
        <v>82.43</v>
      </c>
      <c r="M949">
        <v>8.7100000000000009</v>
      </c>
      <c r="N949">
        <v>5.41</v>
      </c>
      <c r="O949">
        <v>8.2899999999999991</v>
      </c>
      <c r="P949">
        <v>113.14</v>
      </c>
      <c r="Q949">
        <v>1012</v>
      </c>
      <c r="R949">
        <v>3</v>
      </c>
      <c r="S949">
        <v>101</v>
      </c>
    </row>
    <row r="950" spans="1:19" x14ac:dyDescent="0.3">
      <c r="A950">
        <v>949</v>
      </c>
      <c r="B950" t="s">
        <v>588</v>
      </c>
      <c r="C950">
        <v>2022</v>
      </c>
      <c r="D950" t="s">
        <v>96</v>
      </c>
      <c r="E950">
        <v>4</v>
      </c>
      <c r="F950" t="s">
        <v>31</v>
      </c>
      <c r="G950" t="s">
        <v>35</v>
      </c>
      <c r="H950">
        <v>34.21</v>
      </c>
      <c r="I950" t="s">
        <v>32</v>
      </c>
      <c r="J950">
        <v>12</v>
      </c>
      <c r="K950">
        <v>251</v>
      </c>
      <c r="L950">
        <v>85.27</v>
      </c>
      <c r="M950">
        <v>10.85</v>
      </c>
      <c r="N950">
        <v>9.9</v>
      </c>
      <c r="O950">
        <v>14.54</v>
      </c>
      <c r="P950">
        <v>535.89</v>
      </c>
      <c r="Q950">
        <v>957</v>
      </c>
      <c r="R950">
        <v>3</v>
      </c>
      <c r="S950">
        <v>110</v>
      </c>
    </row>
    <row r="951" spans="1:19" x14ac:dyDescent="0.3">
      <c r="A951">
        <v>950</v>
      </c>
      <c r="B951" t="s">
        <v>604</v>
      </c>
      <c r="C951">
        <v>2022</v>
      </c>
      <c r="D951" t="s">
        <v>96</v>
      </c>
      <c r="E951">
        <v>4</v>
      </c>
      <c r="F951" t="s">
        <v>37</v>
      </c>
      <c r="G951" t="s">
        <v>22</v>
      </c>
      <c r="H951">
        <v>44.6</v>
      </c>
      <c r="I951" t="s">
        <v>47</v>
      </c>
      <c r="J951">
        <v>8</v>
      </c>
      <c r="K951">
        <v>185</v>
      </c>
      <c r="L951">
        <v>87.8</v>
      </c>
      <c r="M951">
        <v>17.53</v>
      </c>
      <c r="N951">
        <v>18.420000000000002</v>
      </c>
      <c r="O951">
        <v>14.14</v>
      </c>
      <c r="P951">
        <v>131.83000000000001</v>
      </c>
      <c r="Q951">
        <v>448</v>
      </c>
      <c r="R951">
        <v>5</v>
      </c>
      <c r="S951">
        <v>133</v>
      </c>
    </row>
    <row r="952" spans="1:19" x14ac:dyDescent="0.3">
      <c r="A952">
        <v>951</v>
      </c>
      <c r="B952" t="s">
        <v>607</v>
      </c>
      <c r="C952">
        <v>2022</v>
      </c>
      <c r="D952" t="s">
        <v>96</v>
      </c>
      <c r="E952">
        <v>4</v>
      </c>
      <c r="F952" t="s">
        <v>21</v>
      </c>
      <c r="G952" t="s">
        <v>42</v>
      </c>
      <c r="H952">
        <v>22.47</v>
      </c>
      <c r="I952" t="s">
        <v>38</v>
      </c>
      <c r="J952">
        <v>23</v>
      </c>
      <c r="K952">
        <v>139</v>
      </c>
      <c r="L952">
        <v>78.540000000000006</v>
      </c>
      <c r="M952">
        <v>16.79</v>
      </c>
      <c r="N952">
        <v>3.99</v>
      </c>
      <c r="O952">
        <v>15.93</v>
      </c>
      <c r="P952">
        <v>473.66</v>
      </c>
      <c r="Q952">
        <v>274</v>
      </c>
      <c r="R952">
        <v>4</v>
      </c>
      <c r="S952">
        <v>168</v>
      </c>
    </row>
    <row r="953" spans="1:19" x14ac:dyDescent="0.3">
      <c r="A953">
        <v>952</v>
      </c>
      <c r="B953" t="s">
        <v>608</v>
      </c>
      <c r="C953">
        <v>2022</v>
      </c>
      <c r="D953" t="s">
        <v>96</v>
      </c>
      <c r="E953">
        <v>4</v>
      </c>
      <c r="F953" t="s">
        <v>21</v>
      </c>
      <c r="G953" t="s">
        <v>35</v>
      </c>
      <c r="H953">
        <v>12.79</v>
      </c>
      <c r="I953" t="s">
        <v>47</v>
      </c>
      <c r="J953">
        <v>12</v>
      </c>
      <c r="K953">
        <v>198</v>
      </c>
      <c r="L953">
        <v>92.81</v>
      </c>
      <c r="M953">
        <v>10.119999999999999</v>
      </c>
      <c r="N953">
        <v>13.68</v>
      </c>
      <c r="O953">
        <v>6.28</v>
      </c>
      <c r="P953">
        <v>453.32</v>
      </c>
      <c r="Q953">
        <v>673</v>
      </c>
      <c r="R953">
        <v>5</v>
      </c>
      <c r="S953">
        <v>60</v>
      </c>
    </row>
    <row r="954" spans="1:19" x14ac:dyDescent="0.3">
      <c r="A954">
        <v>953</v>
      </c>
      <c r="B954" t="s">
        <v>609</v>
      </c>
      <c r="C954">
        <v>2022</v>
      </c>
      <c r="D954" t="s">
        <v>96</v>
      </c>
      <c r="E954">
        <v>5</v>
      </c>
      <c r="F954" t="s">
        <v>34</v>
      </c>
      <c r="G954" t="s">
        <v>26</v>
      </c>
      <c r="H954">
        <v>35.22</v>
      </c>
      <c r="I954" t="s">
        <v>23</v>
      </c>
      <c r="J954">
        <v>14</v>
      </c>
      <c r="K954">
        <v>300</v>
      </c>
      <c r="L954">
        <v>77.66</v>
      </c>
      <c r="M954">
        <v>15.97</v>
      </c>
      <c r="N954">
        <v>3.66</v>
      </c>
      <c r="O954">
        <v>13.82</v>
      </c>
      <c r="P954">
        <v>399.55</v>
      </c>
      <c r="Q954">
        <v>472</v>
      </c>
      <c r="R954">
        <v>4</v>
      </c>
      <c r="S954">
        <v>101</v>
      </c>
    </row>
    <row r="955" spans="1:19" x14ac:dyDescent="0.3">
      <c r="A955">
        <v>954</v>
      </c>
      <c r="B955" t="s">
        <v>610</v>
      </c>
      <c r="C955">
        <v>2022</v>
      </c>
      <c r="D955" t="s">
        <v>96</v>
      </c>
      <c r="E955">
        <v>5</v>
      </c>
      <c r="F955" t="s">
        <v>31</v>
      </c>
      <c r="G955" t="s">
        <v>40</v>
      </c>
      <c r="H955">
        <v>8.33</v>
      </c>
      <c r="I955" t="s">
        <v>32</v>
      </c>
      <c r="J955">
        <v>21</v>
      </c>
      <c r="K955">
        <v>315</v>
      </c>
      <c r="L955">
        <v>93.57</v>
      </c>
      <c r="M955">
        <v>16.47</v>
      </c>
      <c r="N955">
        <v>19.420000000000002</v>
      </c>
      <c r="O955">
        <v>9.3800000000000008</v>
      </c>
      <c r="P955">
        <v>595.9</v>
      </c>
      <c r="Q955">
        <v>912</v>
      </c>
      <c r="R955">
        <v>4</v>
      </c>
      <c r="S955">
        <v>202</v>
      </c>
    </row>
    <row r="956" spans="1:19" x14ac:dyDescent="0.3">
      <c r="A956">
        <v>955</v>
      </c>
      <c r="B956" t="s">
        <v>611</v>
      </c>
      <c r="C956">
        <v>2022</v>
      </c>
      <c r="D956" t="s">
        <v>96</v>
      </c>
      <c r="E956">
        <v>5</v>
      </c>
      <c r="F956" t="s">
        <v>31</v>
      </c>
      <c r="G956" t="s">
        <v>35</v>
      </c>
      <c r="H956">
        <v>45.63</v>
      </c>
      <c r="I956" t="s">
        <v>47</v>
      </c>
      <c r="J956">
        <v>39</v>
      </c>
      <c r="K956">
        <v>510</v>
      </c>
      <c r="L956">
        <v>89.53</v>
      </c>
      <c r="M956">
        <v>16.309999999999999</v>
      </c>
      <c r="N956">
        <v>5.17</v>
      </c>
      <c r="O956">
        <v>5.43</v>
      </c>
      <c r="P956">
        <v>255.19</v>
      </c>
      <c r="Q956">
        <v>948</v>
      </c>
      <c r="R956">
        <v>4</v>
      </c>
      <c r="S956">
        <v>77</v>
      </c>
    </row>
    <row r="957" spans="1:19" x14ac:dyDescent="0.3">
      <c r="A957">
        <v>956</v>
      </c>
      <c r="B957" t="s">
        <v>612</v>
      </c>
      <c r="C957">
        <v>2022</v>
      </c>
      <c r="D957" t="s">
        <v>96</v>
      </c>
      <c r="E957">
        <v>5</v>
      </c>
      <c r="F957" t="s">
        <v>62</v>
      </c>
      <c r="G957" t="s">
        <v>35</v>
      </c>
      <c r="H957">
        <v>7.99</v>
      </c>
      <c r="I957" t="s">
        <v>32</v>
      </c>
      <c r="J957">
        <v>24</v>
      </c>
      <c r="K957">
        <v>430</v>
      </c>
      <c r="L957">
        <v>89.87</v>
      </c>
      <c r="M957">
        <v>21.64</v>
      </c>
      <c r="N957">
        <v>18.37</v>
      </c>
      <c r="O957">
        <v>4.4400000000000004</v>
      </c>
      <c r="P957">
        <v>405.54</v>
      </c>
      <c r="Q957">
        <v>561</v>
      </c>
      <c r="R957">
        <v>1</v>
      </c>
      <c r="S957">
        <v>63</v>
      </c>
    </row>
    <row r="958" spans="1:19" x14ac:dyDescent="0.3">
      <c r="A958">
        <v>957</v>
      </c>
      <c r="B958" t="s">
        <v>613</v>
      </c>
      <c r="C958">
        <v>2022</v>
      </c>
      <c r="D958" t="s">
        <v>96</v>
      </c>
      <c r="E958">
        <v>5</v>
      </c>
      <c r="F958" t="s">
        <v>62</v>
      </c>
      <c r="G958" t="s">
        <v>22</v>
      </c>
      <c r="H958">
        <v>12.44</v>
      </c>
      <c r="I958" t="s">
        <v>32</v>
      </c>
      <c r="J958">
        <v>42</v>
      </c>
      <c r="K958">
        <v>368</v>
      </c>
      <c r="L958">
        <v>82.82</v>
      </c>
      <c r="M958">
        <v>12.46</v>
      </c>
      <c r="N958">
        <v>18.32</v>
      </c>
      <c r="O958">
        <v>15.95</v>
      </c>
      <c r="P958">
        <v>175.8</v>
      </c>
      <c r="Q958">
        <v>822</v>
      </c>
      <c r="R958">
        <v>4</v>
      </c>
      <c r="S958">
        <v>231</v>
      </c>
    </row>
    <row r="959" spans="1:19" x14ac:dyDescent="0.3">
      <c r="A959">
        <v>958</v>
      </c>
      <c r="B959" t="s">
        <v>614</v>
      </c>
      <c r="C959">
        <v>2022</v>
      </c>
      <c r="D959" t="s">
        <v>96</v>
      </c>
      <c r="E959">
        <v>5</v>
      </c>
      <c r="F959" t="s">
        <v>62</v>
      </c>
      <c r="G959" t="s">
        <v>35</v>
      </c>
      <c r="H959">
        <v>20.34</v>
      </c>
      <c r="I959" t="s">
        <v>47</v>
      </c>
      <c r="J959">
        <v>33</v>
      </c>
      <c r="K959">
        <v>169</v>
      </c>
      <c r="L959">
        <v>80.27</v>
      </c>
      <c r="M959">
        <v>21.42</v>
      </c>
      <c r="N959">
        <v>17.41</v>
      </c>
      <c r="O959">
        <v>8.6999999999999993</v>
      </c>
      <c r="P959">
        <v>348.1</v>
      </c>
      <c r="Q959">
        <v>622</v>
      </c>
      <c r="R959">
        <v>1</v>
      </c>
      <c r="S959">
        <v>128</v>
      </c>
    </row>
    <row r="960" spans="1:19" x14ac:dyDescent="0.3">
      <c r="A960">
        <v>959</v>
      </c>
      <c r="B960" t="s">
        <v>615</v>
      </c>
      <c r="C960">
        <v>2022</v>
      </c>
      <c r="D960" t="s">
        <v>96</v>
      </c>
      <c r="E960">
        <v>5</v>
      </c>
      <c r="F960" t="s">
        <v>34</v>
      </c>
      <c r="G960" t="s">
        <v>40</v>
      </c>
      <c r="H960">
        <v>42.45</v>
      </c>
      <c r="I960" t="s">
        <v>27</v>
      </c>
      <c r="J960">
        <v>48</v>
      </c>
      <c r="K960">
        <v>103</v>
      </c>
      <c r="L960">
        <v>76.92</v>
      </c>
      <c r="M960">
        <v>11.5</v>
      </c>
      <c r="N960">
        <v>3.75</v>
      </c>
      <c r="O960">
        <v>1.03</v>
      </c>
      <c r="P960">
        <v>304.08999999999997</v>
      </c>
      <c r="Q960">
        <v>884</v>
      </c>
      <c r="R960">
        <v>2</v>
      </c>
      <c r="S960">
        <v>216</v>
      </c>
    </row>
    <row r="961" spans="1:19" x14ac:dyDescent="0.3">
      <c r="A961">
        <v>960</v>
      </c>
      <c r="B961" t="s">
        <v>609</v>
      </c>
      <c r="C961">
        <v>2022</v>
      </c>
      <c r="D961" t="s">
        <v>96</v>
      </c>
      <c r="E961">
        <v>5</v>
      </c>
      <c r="F961" t="s">
        <v>29</v>
      </c>
      <c r="G961" t="s">
        <v>22</v>
      </c>
      <c r="H961">
        <v>40.85</v>
      </c>
      <c r="I961" t="s">
        <v>23</v>
      </c>
      <c r="J961">
        <v>45</v>
      </c>
      <c r="K961">
        <v>536</v>
      </c>
      <c r="L961">
        <v>83.51</v>
      </c>
      <c r="M961">
        <v>12.89</v>
      </c>
      <c r="N961">
        <v>7.31</v>
      </c>
      <c r="O961">
        <v>10.039999999999999</v>
      </c>
      <c r="P961">
        <v>419.3</v>
      </c>
      <c r="Q961">
        <v>1092</v>
      </c>
      <c r="R961">
        <v>3</v>
      </c>
      <c r="S961">
        <v>224</v>
      </c>
    </row>
    <row r="962" spans="1:19" x14ac:dyDescent="0.3">
      <c r="A962">
        <v>961</v>
      </c>
      <c r="B962" t="s">
        <v>616</v>
      </c>
      <c r="C962">
        <v>2022</v>
      </c>
      <c r="D962" t="s">
        <v>96</v>
      </c>
      <c r="E962">
        <v>5</v>
      </c>
      <c r="F962" t="s">
        <v>62</v>
      </c>
      <c r="G962" t="s">
        <v>40</v>
      </c>
      <c r="H962">
        <v>50.4</v>
      </c>
      <c r="I962" t="s">
        <v>27</v>
      </c>
      <c r="J962">
        <v>42</v>
      </c>
      <c r="K962">
        <v>430</v>
      </c>
      <c r="L962">
        <v>89.56</v>
      </c>
      <c r="M962">
        <v>8.81</v>
      </c>
      <c r="N962">
        <v>5.18</v>
      </c>
      <c r="O962">
        <v>6.91</v>
      </c>
      <c r="P962">
        <v>242</v>
      </c>
      <c r="Q962">
        <v>728</v>
      </c>
      <c r="R962">
        <v>4</v>
      </c>
      <c r="S962">
        <v>228</v>
      </c>
    </row>
    <row r="963" spans="1:19" x14ac:dyDescent="0.3">
      <c r="A963">
        <v>962</v>
      </c>
      <c r="B963" t="s">
        <v>615</v>
      </c>
      <c r="C963">
        <v>2022</v>
      </c>
      <c r="D963" t="s">
        <v>96</v>
      </c>
      <c r="E963">
        <v>5</v>
      </c>
      <c r="F963" t="s">
        <v>31</v>
      </c>
      <c r="G963" t="s">
        <v>42</v>
      </c>
      <c r="H963">
        <v>16.98</v>
      </c>
      <c r="I963" t="s">
        <v>23</v>
      </c>
      <c r="J963">
        <v>33</v>
      </c>
      <c r="K963">
        <v>478</v>
      </c>
      <c r="L963">
        <v>94.3</v>
      </c>
      <c r="M963">
        <v>11.28</v>
      </c>
      <c r="N963">
        <v>9.77</v>
      </c>
      <c r="O963">
        <v>13.42</v>
      </c>
      <c r="P963">
        <v>394.94</v>
      </c>
      <c r="Q963">
        <v>787</v>
      </c>
      <c r="R963">
        <v>3</v>
      </c>
      <c r="S963">
        <v>151</v>
      </c>
    </row>
    <row r="964" spans="1:19" x14ac:dyDescent="0.3">
      <c r="A964">
        <v>963</v>
      </c>
      <c r="B964" t="s">
        <v>617</v>
      </c>
      <c r="C964">
        <v>2022</v>
      </c>
      <c r="D964" t="s">
        <v>96</v>
      </c>
      <c r="E964">
        <v>5</v>
      </c>
      <c r="F964" t="s">
        <v>21</v>
      </c>
      <c r="G964" t="s">
        <v>40</v>
      </c>
      <c r="H964">
        <v>37.19</v>
      </c>
      <c r="I964" t="s">
        <v>27</v>
      </c>
      <c r="J964">
        <v>15</v>
      </c>
      <c r="K964">
        <v>212</v>
      </c>
      <c r="L964">
        <v>90.69</v>
      </c>
      <c r="M964">
        <v>28.23</v>
      </c>
      <c r="N964">
        <v>17.170000000000002</v>
      </c>
      <c r="O964">
        <v>10.58</v>
      </c>
      <c r="P964">
        <v>235.63</v>
      </c>
      <c r="Q964">
        <v>936</v>
      </c>
      <c r="R964">
        <v>2</v>
      </c>
      <c r="S964">
        <v>153</v>
      </c>
    </row>
    <row r="965" spans="1:19" x14ac:dyDescent="0.3">
      <c r="A965">
        <v>964</v>
      </c>
      <c r="B965" t="s">
        <v>616</v>
      </c>
      <c r="C965">
        <v>2022</v>
      </c>
      <c r="D965" t="s">
        <v>96</v>
      </c>
      <c r="E965">
        <v>5</v>
      </c>
      <c r="F965" t="s">
        <v>21</v>
      </c>
      <c r="G965" t="s">
        <v>26</v>
      </c>
      <c r="H965">
        <v>33.22</v>
      </c>
      <c r="I965" t="s">
        <v>38</v>
      </c>
      <c r="J965">
        <v>22</v>
      </c>
      <c r="K965">
        <v>544</v>
      </c>
      <c r="L965">
        <v>87.08</v>
      </c>
      <c r="M965">
        <v>8.2100000000000009</v>
      </c>
      <c r="N965">
        <v>15.23</v>
      </c>
      <c r="O965">
        <v>8.56</v>
      </c>
      <c r="P965">
        <v>490.01</v>
      </c>
      <c r="Q965">
        <v>623</v>
      </c>
      <c r="R965">
        <v>1</v>
      </c>
      <c r="S965">
        <v>95</v>
      </c>
    </row>
    <row r="966" spans="1:19" x14ac:dyDescent="0.3">
      <c r="A966">
        <v>965</v>
      </c>
      <c r="B966" t="s">
        <v>618</v>
      </c>
      <c r="C966">
        <v>2022</v>
      </c>
      <c r="D966" t="s">
        <v>96</v>
      </c>
      <c r="E966">
        <v>5</v>
      </c>
      <c r="F966" t="s">
        <v>62</v>
      </c>
      <c r="G966" t="s">
        <v>26</v>
      </c>
      <c r="H966">
        <v>24.77</v>
      </c>
      <c r="I966" t="s">
        <v>23</v>
      </c>
      <c r="J966">
        <v>43</v>
      </c>
      <c r="K966">
        <v>442</v>
      </c>
      <c r="L966">
        <v>87.24</v>
      </c>
      <c r="M966">
        <v>33.97</v>
      </c>
      <c r="N966">
        <v>21.34</v>
      </c>
      <c r="O966">
        <v>3.18</v>
      </c>
      <c r="P966">
        <v>392.73</v>
      </c>
      <c r="Q966">
        <v>475</v>
      </c>
      <c r="R966">
        <v>1</v>
      </c>
      <c r="S966">
        <v>150</v>
      </c>
    </row>
    <row r="967" spans="1:19" x14ac:dyDescent="0.3">
      <c r="A967">
        <v>966</v>
      </c>
      <c r="B967" t="s">
        <v>615</v>
      </c>
      <c r="C967">
        <v>2022</v>
      </c>
      <c r="D967" t="s">
        <v>96</v>
      </c>
      <c r="E967">
        <v>5</v>
      </c>
      <c r="F967" t="s">
        <v>31</v>
      </c>
      <c r="G967" t="s">
        <v>40</v>
      </c>
      <c r="H967">
        <v>20.420000000000002</v>
      </c>
      <c r="I967" t="s">
        <v>23</v>
      </c>
      <c r="J967">
        <v>8</v>
      </c>
      <c r="K967">
        <v>230</v>
      </c>
      <c r="L967">
        <v>77.95</v>
      </c>
      <c r="M967">
        <v>31.08</v>
      </c>
      <c r="N967">
        <v>2.62</v>
      </c>
      <c r="O967">
        <v>11.8</v>
      </c>
      <c r="P967">
        <v>392.51</v>
      </c>
      <c r="Q967">
        <v>447</v>
      </c>
      <c r="R967">
        <v>1</v>
      </c>
      <c r="S967">
        <v>152</v>
      </c>
    </row>
    <row r="968" spans="1:19" x14ac:dyDescent="0.3">
      <c r="A968">
        <v>967</v>
      </c>
      <c r="B968" t="s">
        <v>619</v>
      </c>
      <c r="C968">
        <v>2022</v>
      </c>
      <c r="D968" t="s">
        <v>96</v>
      </c>
      <c r="E968">
        <v>5</v>
      </c>
      <c r="F968" t="s">
        <v>37</v>
      </c>
      <c r="G968" t="s">
        <v>22</v>
      </c>
      <c r="H968">
        <v>14.87</v>
      </c>
      <c r="I968" t="s">
        <v>47</v>
      </c>
      <c r="J968">
        <v>9</v>
      </c>
      <c r="K968">
        <v>237</v>
      </c>
      <c r="L968">
        <v>86.6</v>
      </c>
      <c r="M968">
        <v>7.72</v>
      </c>
      <c r="N968">
        <v>12.9</v>
      </c>
      <c r="O968">
        <v>1.75</v>
      </c>
      <c r="P968">
        <v>463.77</v>
      </c>
      <c r="Q968">
        <v>755</v>
      </c>
      <c r="R968">
        <v>1</v>
      </c>
      <c r="S968">
        <v>238</v>
      </c>
    </row>
    <row r="969" spans="1:19" x14ac:dyDescent="0.3">
      <c r="A969">
        <v>968</v>
      </c>
      <c r="B969" t="s">
        <v>620</v>
      </c>
      <c r="C969">
        <v>2022</v>
      </c>
      <c r="D969" t="s">
        <v>96</v>
      </c>
      <c r="E969">
        <v>5</v>
      </c>
      <c r="F969" t="s">
        <v>25</v>
      </c>
      <c r="G969" t="s">
        <v>42</v>
      </c>
      <c r="H969">
        <v>44.97</v>
      </c>
      <c r="I969" t="s">
        <v>38</v>
      </c>
      <c r="J969">
        <v>20</v>
      </c>
      <c r="K969">
        <v>367</v>
      </c>
      <c r="L969">
        <v>81.61</v>
      </c>
      <c r="M969">
        <v>13.33</v>
      </c>
      <c r="N969">
        <v>20.420000000000002</v>
      </c>
      <c r="O969">
        <v>2.63</v>
      </c>
      <c r="P969">
        <v>179.79</v>
      </c>
      <c r="Q969">
        <v>361</v>
      </c>
      <c r="R969">
        <v>1</v>
      </c>
      <c r="S969">
        <v>130</v>
      </c>
    </row>
    <row r="970" spans="1:19" x14ac:dyDescent="0.3">
      <c r="A970">
        <v>969</v>
      </c>
      <c r="B970" t="s">
        <v>618</v>
      </c>
      <c r="C970">
        <v>2022</v>
      </c>
      <c r="D970" t="s">
        <v>96</v>
      </c>
      <c r="E970">
        <v>5</v>
      </c>
      <c r="F970" t="s">
        <v>31</v>
      </c>
      <c r="G970" t="s">
        <v>26</v>
      </c>
      <c r="H970">
        <v>28.83</v>
      </c>
      <c r="I970" t="s">
        <v>47</v>
      </c>
      <c r="J970">
        <v>22</v>
      </c>
      <c r="K970">
        <v>126</v>
      </c>
      <c r="L970">
        <v>90.01</v>
      </c>
      <c r="M970">
        <v>21.66</v>
      </c>
      <c r="N970">
        <v>2.86</v>
      </c>
      <c r="O970">
        <v>10.17</v>
      </c>
      <c r="P970">
        <v>396.18</v>
      </c>
      <c r="Q970">
        <v>477</v>
      </c>
      <c r="R970">
        <v>3</v>
      </c>
      <c r="S970">
        <v>196</v>
      </c>
    </row>
    <row r="971" spans="1:19" x14ac:dyDescent="0.3">
      <c r="A971">
        <v>970</v>
      </c>
      <c r="B971" t="s">
        <v>621</v>
      </c>
      <c r="C971">
        <v>2022</v>
      </c>
      <c r="D971" t="s">
        <v>96</v>
      </c>
      <c r="E971">
        <v>5</v>
      </c>
      <c r="F971" t="s">
        <v>31</v>
      </c>
      <c r="G971" t="s">
        <v>35</v>
      </c>
      <c r="H971">
        <v>16.649999999999999</v>
      </c>
      <c r="I971" t="s">
        <v>47</v>
      </c>
      <c r="J971">
        <v>9</v>
      </c>
      <c r="K971">
        <v>334</v>
      </c>
      <c r="L971">
        <v>80.900000000000006</v>
      </c>
      <c r="M971">
        <v>27.63</v>
      </c>
      <c r="N971">
        <v>6.92</v>
      </c>
      <c r="O971">
        <v>12.84</v>
      </c>
      <c r="P971">
        <v>438.31</v>
      </c>
      <c r="Q971">
        <v>1011</v>
      </c>
      <c r="R971">
        <v>5</v>
      </c>
      <c r="S971">
        <v>247</v>
      </c>
    </row>
    <row r="972" spans="1:19" x14ac:dyDescent="0.3">
      <c r="A972">
        <v>971</v>
      </c>
      <c r="B972" t="s">
        <v>622</v>
      </c>
      <c r="C972">
        <v>2022</v>
      </c>
      <c r="D972" t="s">
        <v>96</v>
      </c>
      <c r="E972">
        <v>5</v>
      </c>
      <c r="F972" t="s">
        <v>21</v>
      </c>
      <c r="G972" t="s">
        <v>35</v>
      </c>
      <c r="H972">
        <v>21.72</v>
      </c>
      <c r="I972" t="s">
        <v>38</v>
      </c>
      <c r="J972">
        <v>35</v>
      </c>
      <c r="K972">
        <v>135</v>
      </c>
      <c r="L972">
        <v>86.83</v>
      </c>
      <c r="M972">
        <v>22.93</v>
      </c>
      <c r="N972">
        <v>13.17</v>
      </c>
      <c r="O972">
        <v>3.23</v>
      </c>
      <c r="P972">
        <v>302.57</v>
      </c>
      <c r="Q972">
        <v>1003</v>
      </c>
      <c r="R972">
        <v>1</v>
      </c>
      <c r="S972">
        <v>246</v>
      </c>
    </row>
    <row r="973" spans="1:19" x14ac:dyDescent="0.3">
      <c r="A973">
        <v>972</v>
      </c>
      <c r="B973" t="s">
        <v>620</v>
      </c>
      <c r="C973">
        <v>2022</v>
      </c>
      <c r="D973" t="s">
        <v>96</v>
      </c>
      <c r="E973">
        <v>5</v>
      </c>
      <c r="F973" t="s">
        <v>62</v>
      </c>
      <c r="G973" t="s">
        <v>26</v>
      </c>
      <c r="H973">
        <v>28.25</v>
      </c>
      <c r="I973" t="s">
        <v>27</v>
      </c>
      <c r="J973">
        <v>45</v>
      </c>
      <c r="K973">
        <v>351</v>
      </c>
      <c r="L973">
        <v>89.56</v>
      </c>
      <c r="M973">
        <v>9.84</v>
      </c>
      <c r="N973">
        <v>4.01</v>
      </c>
      <c r="O973">
        <v>15.12</v>
      </c>
      <c r="P973">
        <v>369.88</v>
      </c>
      <c r="Q973">
        <v>407</v>
      </c>
      <c r="R973">
        <v>4</v>
      </c>
      <c r="S973">
        <v>223</v>
      </c>
    </row>
    <row r="974" spans="1:19" x14ac:dyDescent="0.3">
      <c r="A974">
        <v>973</v>
      </c>
      <c r="B974" t="s">
        <v>623</v>
      </c>
      <c r="C974">
        <v>2022</v>
      </c>
      <c r="D974" t="s">
        <v>96</v>
      </c>
      <c r="E974">
        <v>5</v>
      </c>
      <c r="F974" t="s">
        <v>29</v>
      </c>
      <c r="G974" t="s">
        <v>26</v>
      </c>
      <c r="H974">
        <v>29.48</v>
      </c>
      <c r="I974" t="s">
        <v>32</v>
      </c>
      <c r="J974">
        <v>33</v>
      </c>
      <c r="K974">
        <v>344</v>
      </c>
      <c r="L974">
        <v>92.52</v>
      </c>
      <c r="M974">
        <v>6.68</v>
      </c>
      <c r="N974">
        <v>17.63</v>
      </c>
      <c r="O974">
        <v>14.37</v>
      </c>
      <c r="P974">
        <v>417.72</v>
      </c>
      <c r="Q974">
        <v>355</v>
      </c>
      <c r="R974">
        <v>3</v>
      </c>
      <c r="S974">
        <v>94</v>
      </c>
    </row>
    <row r="975" spans="1:19" x14ac:dyDescent="0.3">
      <c r="A975">
        <v>974</v>
      </c>
      <c r="B975" t="s">
        <v>624</v>
      </c>
      <c r="C975">
        <v>2022</v>
      </c>
      <c r="D975" t="s">
        <v>96</v>
      </c>
      <c r="E975">
        <v>5</v>
      </c>
      <c r="F975" t="s">
        <v>29</v>
      </c>
      <c r="G975" t="s">
        <v>26</v>
      </c>
      <c r="H975">
        <v>54.58</v>
      </c>
      <c r="I975" t="s">
        <v>38</v>
      </c>
      <c r="J975">
        <v>46</v>
      </c>
      <c r="K975">
        <v>107</v>
      </c>
      <c r="L975">
        <v>85.97</v>
      </c>
      <c r="M975">
        <v>23.94</v>
      </c>
      <c r="N975">
        <v>20.96</v>
      </c>
      <c r="O975">
        <v>2.52</v>
      </c>
      <c r="P975">
        <v>444.53</v>
      </c>
      <c r="Q975">
        <v>738</v>
      </c>
      <c r="R975">
        <v>1</v>
      </c>
      <c r="S975">
        <v>101</v>
      </c>
    </row>
    <row r="976" spans="1:19" x14ac:dyDescent="0.3">
      <c r="A976">
        <v>975</v>
      </c>
      <c r="B976" t="s">
        <v>621</v>
      </c>
      <c r="C976">
        <v>2022</v>
      </c>
      <c r="D976" t="s">
        <v>96</v>
      </c>
      <c r="E976">
        <v>5</v>
      </c>
      <c r="F976" t="s">
        <v>34</v>
      </c>
      <c r="G976" t="s">
        <v>22</v>
      </c>
      <c r="H976">
        <v>50.5</v>
      </c>
      <c r="I976" t="s">
        <v>27</v>
      </c>
      <c r="J976">
        <v>43</v>
      </c>
      <c r="K976">
        <v>308</v>
      </c>
      <c r="L976">
        <v>76.36</v>
      </c>
      <c r="M976">
        <v>18.170000000000002</v>
      </c>
      <c r="N976">
        <v>17.399999999999999</v>
      </c>
      <c r="O976">
        <v>9.68</v>
      </c>
      <c r="P976">
        <v>406.7</v>
      </c>
      <c r="Q976">
        <v>443</v>
      </c>
      <c r="R976">
        <v>5</v>
      </c>
      <c r="S976">
        <v>228</v>
      </c>
    </row>
    <row r="977" spans="1:19" x14ac:dyDescent="0.3">
      <c r="A977">
        <v>976</v>
      </c>
      <c r="B977" t="s">
        <v>625</v>
      </c>
      <c r="C977">
        <v>2022</v>
      </c>
      <c r="D977" t="s">
        <v>96</v>
      </c>
      <c r="E977">
        <v>5</v>
      </c>
      <c r="F977" t="s">
        <v>37</v>
      </c>
      <c r="G977" t="s">
        <v>35</v>
      </c>
      <c r="H977">
        <v>40.340000000000003</v>
      </c>
      <c r="I977" t="s">
        <v>23</v>
      </c>
      <c r="J977">
        <v>42</v>
      </c>
      <c r="K977">
        <v>258</v>
      </c>
      <c r="L977">
        <v>90.82</v>
      </c>
      <c r="M977">
        <v>33.630000000000003</v>
      </c>
      <c r="N977">
        <v>2.13</v>
      </c>
      <c r="O977">
        <v>14.53</v>
      </c>
      <c r="P977">
        <v>491.89</v>
      </c>
      <c r="Q977">
        <v>348</v>
      </c>
      <c r="R977">
        <v>2</v>
      </c>
      <c r="S977">
        <v>193</v>
      </c>
    </row>
    <row r="978" spans="1:19" x14ac:dyDescent="0.3">
      <c r="A978">
        <v>977</v>
      </c>
      <c r="B978" t="s">
        <v>609</v>
      </c>
      <c r="C978">
        <v>2022</v>
      </c>
      <c r="D978" t="s">
        <v>96</v>
      </c>
      <c r="E978">
        <v>5</v>
      </c>
      <c r="F978" t="s">
        <v>29</v>
      </c>
      <c r="G978" t="s">
        <v>40</v>
      </c>
      <c r="H978">
        <v>31.68</v>
      </c>
      <c r="I978" t="s">
        <v>47</v>
      </c>
      <c r="J978">
        <v>15</v>
      </c>
      <c r="K978">
        <v>568</v>
      </c>
      <c r="L978">
        <v>86.9</v>
      </c>
      <c r="M978">
        <v>7.57</v>
      </c>
      <c r="N978">
        <v>3.89</v>
      </c>
      <c r="O978">
        <v>15.25</v>
      </c>
      <c r="P978">
        <v>392.09</v>
      </c>
      <c r="Q978">
        <v>288</v>
      </c>
      <c r="R978">
        <v>4</v>
      </c>
      <c r="S978">
        <v>188</v>
      </c>
    </row>
    <row r="979" spans="1:19" x14ac:dyDescent="0.3">
      <c r="A979">
        <v>978</v>
      </c>
      <c r="B979" t="s">
        <v>610</v>
      </c>
      <c r="C979">
        <v>2022</v>
      </c>
      <c r="D979" t="s">
        <v>96</v>
      </c>
      <c r="E979">
        <v>5</v>
      </c>
      <c r="F979" t="s">
        <v>31</v>
      </c>
      <c r="G979" t="s">
        <v>35</v>
      </c>
      <c r="H979">
        <v>7.18</v>
      </c>
      <c r="I979" t="s">
        <v>27</v>
      </c>
      <c r="J979">
        <v>6</v>
      </c>
      <c r="K979">
        <v>553</v>
      </c>
      <c r="L979">
        <v>93.62</v>
      </c>
      <c r="M979">
        <v>18.760000000000002</v>
      </c>
      <c r="N979">
        <v>21.24</v>
      </c>
      <c r="O979">
        <v>4.62</v>
      </c>
      <c r="P979">
        <v>551.32000000000005</v>
      </c>
      <c r="Q979">
        <v>238</v>
      </c>
      <c r="R979">
        <v>2</v>
      </c>
      <c r="S979">
        <v>161</v>
      </c>
    </row>
    <row r="980" spans="1:19" x14ac:dyDescent="0.3">
      <c r="A980">
        <v>979</v>
      </c>
      <c r="B980" t="s">
        <v>625</v>
      </c>
      <c r="C980">
        <v>2022</v>
      </c>
      <c r="D980" t="s">
        <v>96</v>
      </c>
      <c r="E980">
        <v>5</v>
      </c>
      <c r="F980" t="s">
        <v>34</v>
      </c>
      <c r="G980" t="s">
        <v>26</v>
      </c>
      <c r="H980">
        <v>51.17</v>
      </c>
      <c r="I980" t="s">
        <v>32</v>
      </c>
      <c r="J980">
        <v>9</v>
      </c>
      <c r="K980">
        <v>383</v>
      </c>
      <c r="L980">
        <v>84.09</v>
      </c>
      <c r="M980">
        <v>15.07</v>
      </c>
      <c r="N980">
        <v>9.77</v>
      </c>
      <c r="O980">
        <v>2.4700000000000002</v>
      </c>
      <c r="P980">
        <v>302.56</v>
      </c>
      <c r="Q980">
        <v>907</v>
      </c>
      <c r="R980">
        <v>2</v>
      </c>
      <c r="S980">
        <v>126</v>
      </c>
    </row>
    <row r="981" spans="1:19" x14ac:dyDescent="0.3">
      <c r="A981">
        <v>980</v>
      </c>
      <c r="B981" t="s">
        <v>622</v>
      </c>
      <c r="C981">
        <v>2022</v>
      </c>
      <c r="D981" t="s">
        <v>96</v>
      </c>
      <c r="E981">
        <v>5</v>
      </c>
      <c r="F981" t="s">
        <v>25</v>
      </c>
      <c r="G981" t="s">
        <v>40</v>
      </c>
      <c r="H981">
        <v>23.42</v>
      </c>
      <c r="I981" t="s">
        <v>32</v>
      </c>
      <c r="J981">
        <v>31</v>
      </c>
      <c r="K981">
        <v>507</v>
      </c>
      <c r="L981">
        <v>89.98</v>
      </c>
      <c r="M981">
        <v>11.35</v>
      </c>
      <c r="N981">
        <v>19.600000000000001</v>
      </c>
      <c r="O981">
        <v>10.42</v>
      </c>
      <c r="P981">
        <v>547.94000000000005</v>
      </c>
      <c r="Q981">
        <v>135</v>
      </c>
      <c r="R981">
        <v>5</v>
      </c>
      <c r="S981">
        <v>128</v>
      </c>
    </row>
    <row r="982" spans="1:19" x14ac:dyDescent="0.3">
      <c r="A982">
        <v>981</v>
      </c>
      <c r="B982" t="s">
        <v>623</v>
      </c>
      <c r="C982">
        <v>2022</v>
      </c>
      <c r="D982" t="s">
        <v>96</v>
      </c>
      <c r="E982">
        <v>5</v>
      </c>
      <c r="F982" t="s">
        <v>25</v>
      </c>
      <c r="G982" t="s">
        <v>26</v>
      </c>
      <c r="H982">
        <v>17.579999999999998</v>
      </c>
      <c r="I982" t="s">
        <v>47</v>
      </c>
      <c r="J982">
        <v>40</v>
      </c>
      <c r="K982">
        <v>485</v>
      </c>
      <c r="L982">
        <v>77.64</v>
      </c>
      <c r="M982">
        <v>23.13</v>
      </c>
      <c r="N982">
        <v>3.47</v>
      </c>
      <c r="O982">
        <v>1.1299999999999999</v>
      </c>
      <c r="P982">
        <v>434.56</v>
      </c>
      <c r="Q982">
        <v>896</v>
      </c>
      <c r="R982">
        <v>3</v>
      </c>
      <c r="S982">
        <v>116</v>
      </c>
    </row>
    <row r="983" spans="1:19" x14ac:dyDescent="0.3">
      <c r="A983">
        <v>982</v>
      </c>
      <c r="B983" t="s">
        <v>626</v>
      </c>
      <c r="C983">
        <v>2022</v>
      </c>
      <c r="D983" t="s">
        <v>96</v>
      </c>
      <c r="E983">
        <v>5</v>
      </c>
      <c r="F983" t="s">
        <v>53</v>
      </c>
      <c r="G983" t="s">
        <v>26</v>
      </c>
      <c r="H983">
        <v>19.010000000000002</v>
      </c>
      <c r="I983" t="s">
        <v>27</v>
      </c>
      <c r="J983">
        <v>27</v>
      </c>
      <c r="K983">
        <v>126</v>
      </c>
      <c r="L983">
        <v>81.98</v>
      </c>
      <c r="M983">
        <v>30.69</v>
      </c>
      <c r="N983">
        <v>5.86</v>
      </c>
      <c r="O983">
        <v>12.72</v>
      </c>
      <c r="P983">
        <v>421.29</v>
      </c>
      <c r="Q983">
        <v>987</v>
      </c>
      <c r="R983">
        <v>4</v>
      </c>
      <c r="S983">
        <v>138</v>
      </c>
    </row>
    <row r="984" spans="1:19" x14ac:dyDescent="0.3">
      <c r="A984">
        <v>983</v>
      </c>
      <c r="B984" t="s">
        <v>610</v>
      </c>
      <c r="C984">
        <v>2022</v>
      </c>
      <c r="D984" t="s">
        <v>96</v>
      </c>
      <c r="E984">
        <v>5</v>
      </c>
      <c r="F984" t="s">
        <v>31</v>
      </c>
      <c r="G984" t="s">
        <v>22</v>
      </c>
      <c r="H984">
        <v>25.49</v>
      </c>
      <c r="I984" t="s">
        <v>47</v>
      </c>
      <c r="J984">
        <v>31</v>
      </c>
      <c r="K984">
        <v>524</v>
      </c>
      <c r="L984">
        <v>79.2</v>
      </c>
      <c r="M984">
        <v>33.659999999999997</v>
      </c>
      <c r="N984">
        <v>6.27</v>
      </c>
      <c r="O984">
        <v>9.17</v>
      </c>
      <c r="P984">
        <v>216.55</v>
      </c>
      <c r="Q984">
        <v>470</v>
      </c>
      <c r="R984">
        <v>4</v>
      </c>
      <c r="S984">
        <v>179</v>
      </c>
    </row>
    <row r="985" spans="1:19" x14ac:dyDescent="0.3">
      <c r="A985">
        <v>984</v>
      </c>
      <c r="B985" t="s">
        <v>627</v>
      </c>
      <c r="C985">
        <v>2022</v>
      </c>
      <c r="D985" t="s">
        <v>96</v>
      </c>
      <c r="E985">
        <v>5</v>
      </c>
      <c r="F985" t="s">
        <v>62</v>
      </c>
      <c r="G985" t="s">
        <v>22</v>
      </c>
      <c r="H985">
        <v>30.85</v>
      </c>
      <c r="I985" t="s">
        <v>38</v>
      </c>
      <c r="J985">
        <v>26</v>
      </c>
      <c r="K985">
        <v>284</v>
      </c>
      <c r="L985">
        <v>89.97</v>
      </c>
      <c r="M985">
        <v>20.61</v>
      </c>
      <c r="N985">
        <v>4.08</v>
      </c>
      <c r="O985">
        <v>7.69</v>
      </c>
      <c r="P985">
        <v>430.75</v>
      </c>
      <c r="Q985">
        <v>944</v>
      </c>
      <c r="R985">
        <v>1</v>
      </c>
      <c r="S985">
        <v>243</v>
      </c>
    </row>
    <row r="986" spans="1:19" x14ac:dyDescent="0.3">
      <c r="A986">
        <v>985</v>
      </c>
      <c r="B986" t="s">
        <v>609</v>
      </c>
      <c r="C986">
        <v>2022</v>
      </c>
      <c r="D986" t="s">
        <v>96</v>
      </c>
      <c r="E986">
        <v>5</v>
      </c>
      <c r="F986" t="s">
        <v>25</v>
      </c>
      <c r="G986" t="s">
        <v>22</v>
      </c>
      <c r="H986">
        <v>14.44</v>
      </c>
      <c r="I986" t="s">
        <v>32</v>
      </c>
      <c r="J986">
        <v>43</v>
      </c>
      <c r="K986">
        <v>464</v>
      </c>
      <c r="L986">
        <v>86.37</v>
      </c>
      <c r="M986">
        <v>22.31</v>
      </c>
      <c r="N986">
        <v>12.68</v>
      </c>
      <c r="O986">
        <v>7.3</v>
      </c>
      <c r="P986">
        <v>433.58</v>
      </c>
      <c r="Q986">
        <v>824</v>
      </c>
      <c r="R986">
        <v>2</v>
      </c>
      <c r="S986">
        <v>197</v>
      </c>
    </row>
    <row r="987" spans="1:19" x14ac:dyDescent="0.3">
      <c r="A987">
        <v>986</v>
      </c>
      <c r="B987" t="s">
        <v>610</v>
      </c>
      <c r="C987">
        <v>2022</v>
      </c>
      <c r="D987" t="s">
        <v>96</v>
      </c>
      <c r="E987">
        <v>5</v>
      </c>
      <c r="F987" t="s">
        <v>31</v>
      </c>
      <c r="G987" t="s">
        <v>22</v>
      </c>
      <c r="H987">
        <v>38.79</v>
      </c>
      <c r="I987" t="s">
        <v>38</v>
      </c>
      <c r="J987">
        <v>38</v>
      </c>
      <c r="K987">
        <v>289</v>
      </c>
      <c r="L987">
        <v>81.95</v>
      </c>
      <c r="M987">
        <v>17.440000000000001</v>
      </c>
      <c r="N987">
        <v>7.22</v>
      </c>
      <c r="O987">
        <v>11.68</v>
      </c>
      <c r="P987">
        <v>196.31</v>
      </c>
      <c r="Q987">
        <v>997</v>
      </c>
      <c r="R987">
        <v>4</v>
      </c>
      <c r="S987">
        <v>190</v>
      </c>
    </row>
    <row r="988" spans="1:19" x14ac:dyDescent="0.3">
      <c r="A988">
        <v>987</v>
      </c>
      <c r="B988" t="s">
        <v>628</v>
      </c>
      <c r="C988">
        <v>2022</v>
      </c>
      <c r="D988" t="s">
        <v>96</v>
      </c>
      <c r="E988">
        <v>6</v>
      </c>
      <c r="F988" t="s">
        <v>37</v>
      </c>
      <c r="G988" t="s">
        <v>22</v>
      </c>
      <c r="H988">
        <v>30.84</v>
      </c>
      <c r="I988" t="s">
        <v>32</v>
      </c>
      <c r="J988">
        <v>39</v>
      </c>
      <c r="K988">
        <v>403</v>
      </c>
      <c r="L988">
        <v>83.01</v>
      </c>
      <c r="M988">
        <v>29.13</v>
      </c>
      <c r="N988">
        <v>14.31</v>
      </c>
      <c r="O988">
        <v>12.18</v>
      </c>
      <c r="P988">
        <v>505.71</v>
      </c>
      <c r="Q988">
        <v>725</v>
      </c>
      <c r="R988">
        <v>2</v>
      </c>
      <c r="S988">
        <v>202</v>
      </c>
    </row>
    <row r="989" spans="1:19" x14ac:dyDescent="0.3">
      <c r="A989">
        <v>988</v>
      </c>
      <c r="B989" t="s">
        <v>629</v>
      </c>
      <c r="C989">
        <v>2022</v>
      </c>
      <c r="D989" t="s">
        <v>96</v>
      </c>
      <c r="E989">
        <v>6</v>
      </c>
      <c r="F989" t="s">
        <v>34</v>
      </c>
      <c r="G989" t="s">
        <v>22</v>
      </c>
      <c r="H989">
        <v>15.12</v>
      </c>
      <c r="I989" t="s">
        <v>32</v>
      </c>
      <c r="J989">
        <v>20</v>
      </c>
      <c r="K989">
        <v>512</v>
      </c>
      <c r="L989">
        <v>87.28</v>
      </c>
      <c r="M989">
        <v>11.79</v>
      </c>
      <c r="N989">
        <v>19.29</v>
      </c>
      <c r="O989">
        <v>5.94</v>
      </c>
      <c r="P989">
        <v>240.93</v>
      </c>
      <c r="Q989">
        <v>797</v>
      </c>
      <c r="R989">
        <v>2</v>
      </c>
      <c r="S989">
        <v>148</v>
      </c>
    </row>
    <row r="990" spans="1:19" x14ac:dyDescent="0.3">
      <c r="A990">
        <v>989</v>
      </c>
      <c r="B990" t="s">
        <v>630</v>
      </c>
      <c r="C990">
        <v>2022</v>
      </c>
      <c r="D990" t="s">
        <v>96</v>
      </c>
      <c r="E990">
        <v>6</v>
      </c>
      <c r="F990" t="s">
        <v>21</v>
      </c>
      <c r="G990" t="s">
        <v>35</v>
      </c>
      <c r="H990">
        <v>45.42</v>
      </c>
      <c r="I990" t="s">
        <v>27</v>
      </c>
      <c r="J990">
        <v>40</v>
      </c>
      <c r="K990">
        <v>216</v>
      </c>
      <c r="L990">
        <v>76.19</v>
      </c>
      <c r="M990">
        <v>16.3</v>
      </c>
      <c r="N990">
        <v>8.14</v>
      </c>
      <c r="O990">
        <v>1.83</v>
      </c>
      <c r="P990">
        <v>589.26</v>
      </c>
      <c r="Q990">
        <v>225</v>
      </c>
      <c r="R990">
        <v>4</v>
      </c>
      <c r="S990">
        <v>222</v>
      </c>
    </row>
    <row r="991" spans="1:19" x14ac:dyDescent="0.3">
      <c r="A991">
        <v>990</v>
      </c>
      <c r="B991" t="s">
        <v>631</v>
      </c>
      <c r="C991">
        <v>2022</v>
      </c>
      <c r="D991" t="s">
        <v>96</v>
      </c>
      <c r="E991">
        <v>6</v>
      </c>
      <c r="F991" t="s">
        <v>53</v>
      </c>
      <c r="G991" t="s">
        <v>26</v>
      </c>
      <c r="H991">
        <v>42.46</v>
      </c>
      <c r="I991" t="s">
        <v>47</v>
      </c>
      <c r="J991">
        <v>15</v>
      </c>
      <c r="K991">
        <v>430</v>
      </c>
      <c r="L991">
        <v>90.64</v>
      </c>
      <c r="M991">
        <v>10.39</v>
      </c>
      <c r="N991">
        <v>19.63</v>
      </c>
      <c r="O991">
        <v>3.14</v>
      </c>
      <c r="P991">
        <v>288.49</v>
      </c>
      <c r="Q991">
        <v>913</v>
      </c>
      <c r="R991">
        <v>5</v>
      </c>
      <c r="S991">
        <v>143</v>
      </c>
    </row>
    <row r="992" spans="1:19" x14ac:dyDescent="0.3">
      <c r="A992">
        <v>991</v>
      </c>
      <c r="B992" t="s">
        <v>632</v>
      </c>
      <c r="C992">
        <v>2022</v>
      </c>
      <c r="D992" t="s">
        <v>96</v>
      </c>
      <c r="E992">
        <v>6</v>
      </c>
      <c r="F992" t="s">
        <v>31</v>
      </c>
      <c r="G992" t="s">
        <v>26</v>
      </c>
      <c r="H992">
        <v>50.12</v>
      </c>
      <c r="I992" t="s">
        <v>27</v>
      </c>
      <c r="J992">
        <v>5</v>
      </c>
      <c r="K992">
        <v>235</v>
      </c>
      <c r="L992">
        <v>92.46</v>
      </c>
      <c r="M992">
        <v>17.75</v>
      </c>
      <c r="N992">
        <v>12.27</v>
      </c>
      <c r="O992">
        <v>13.25</v>
      </c>
      <c r="P992">
        <v>556.84</v>
      </c>
      <c r="Q992">
        <v>855</v>
      </c>
      <c r="R992">
        <v>4</v>
      </c>
      <c r="S992">
        <v>240</v>
      </c>
    </row>
    <row r="993" spans="1:19" x14ac:dyDescent="0.3">
      <c r="A993">
        <v>992</v>
      </c>
      <c r="B993" t="s">
        <v>633</v>
      </c>
      <c r="C993">
        <v>2022</v>
      </c>
      <c r="D993" t="s">
        <v>96</v>
      </c>
      <c r="E993">
        <v>6</v>
      </c>
      <c r="F993" t="s">
        <v>34</v>
      </c>
      <c r="G993" t="s">
        <v>35</v>
      </c>
      <c r="H993">
        <v>8.3800000000000008</v>
      </c>
      <c r="I993" t="s">
        <v>27</v>
      </c>
      <c r="J993">
        <v>45</v>
      </c>
      <c r="K993">
        <v>318</v>
      </c>
      <c r="L993">
        <v>94.96</v>
      </c>
      <c r="M993">
        <v>12.69</v>
      </c>
      <c r="N993">
        <v>13.34</v>
      </c>
      <c r="O993">
        <v>4.25</v>
      </c>
      <c r="P993">
        <v>116.45</v>
      </c>
      <c r="Q993">
        <v>578</v>
      </c>
      <c r="R993">
        <v>1</v>
      </c>
      <c r="S993">
        <v>93</v>
      </c>
    </row>
    <row r="994" spans="1:19" x14ac:dyDescent="0.3">
      <c r="A994">
        <v>993</v>
      </c>
      <c r="B994" t="s">
        <v>629</v>
      </c>
      <c r="C994">
        <v>2022</v>
      </c>
      <c r="D994" t="s">
        <v>96</v>
      </c>
      <c r="E994">
        <v>6</v>
      </c>
      <c r="F994" t="s">
        <v>53</v>
      </c>
      <c r="G994" t="s">
        <v>26</v>
      </c>
      <c r="H994">
        <v>50.25</v>
      </c>
      <c r="I994" t="s">
        <v>38</v>
      </c>
      <c r="J994">
        <v>47</v>
      </c>
      <c r="K994">
        <v>279</v>
      </c>
      <c r="L994">
        <v>77.87</v>
      </c>
      <c r="M994">
        <v>28.16</v>
      </c>
      <c r="N994">
        <v>15.62</v>
      </c>
      <c r="O994">
        <v>15.05</v>
      </c>
      <c r="P994">
        <v>523.21</v>
      </c>
      <c r="Q994">
        <v>148</v>
      </c>
      <c r="R994">
        <v>3</v>
      </c>
      <c r="S994">
        <v>154</v>
      </c>
    </row>
    <row r="995" spans="1:19" x14ac:dyDescent="0.3">
      <c r="A995">
        <v>994</v>
      </c>
      <c r="B995" t="s">
        <v>634</v>
      </c>
      <c r="C995">
        <v>2022</v>
      </c>
      <c r="D995" t="s">
        <v>96</v>
      </c>
      <c r="E995">
        <v>6</v>
      </c>
      <c r="F995" t="s">
        <v>37</v>
      </c>
      <c r="G995" t="s">
        <v>22</v>
      </c>
      <c r="H995">
        <v>15.79</v>
      </c>
      <c r="I995" t="s">
        <v>23</v>
      </c>
      <c r="J995">
        <v>37</v>
      </c>
      <c r="K995">
        <v>380</v>
      </c>
      <c r="L995">
        <v>81.2</v>
      </c>
      <c r="M995">
        <v>8.5399999999999991</v>
      </c>
      <c r="N995">
        <v>21.99</v>
      </c>
      <c r="O995">
        <v>8.6300000000000008</v>
      </c>
      <c r="P995">
        <v>155.9</v>
      </c>
      <c r="Q995">
        <v>367</v>
      </c>
      <c r="R995">
        <v>1</v>
      </c>
      <c r="S995">
        <v>247</v>
      </c>
    </row>
    <row r="996" spans="1:19" x14ac:dyDescent="0.3">
      <c r="A996">
        <v>995</v>
      </c>
      <c r="B996" t="s">
        <v>635</v>
      </c>
      <c r="C996">
        <v>2022</v>
      </c>
      <c r="D996" t="s">
        <v>96</v>
      </c>
      <c r="E996">
        <v>6</v>
      </c>
      <c r="F996" t="s">
        <v>25</v>
      </c>
      <c r="G996" t="s">
        <v>40</v>
      </c>
      <c r="H996">
        <v>54.35</v>
      </c>
      <c r="I996" t="s">
        <v>32</v>
      </c>
      <c r="J996">
        <v>50</v>
      </c>
      <c r="K996">
        <v>324</v>
      </c>
      <c r="L996">
        <v>83.61</v>
      </c>
      <c r="M996">
        <v>31.04</v>
      </c>
      <c r="N996">
        <v>12.86</v>
      </c>
      <c r="O996">
        <v>7.84</v>
      </c>
      <c r="P996">
        <v>394.72</v>
      </c>
      <c r="Q996">
        <v>306</v>
      </c>
      <c r="R996">
        <v>3</v>
      </c>
      <c r="S996">
        <v>157</v>
      </c>
    </row>
    <row r="997" spans="1:19" x14ac:dyDescent="0.3">
      <c r="A997">
        <v>996</v>
      </c>
      <c r="B997" t="s">
        <v>636</v>
      </c>
      <c r="C997">
        <v>2022</v>
      </c>
      <c r="D997" t="s">
        <v>96</v>
      </c>
      <c r="E997">
        <v>6</v>
      </c>
      <c r="F997" t="s">
        <v>62</v>
      </c>
      <c r="G997" t="s">
        <v>42</v>
      </c>
      <c r="H997">
        <v>54.9</v>
      </c>
      <c r="I997" t="s">
        <v>27</v>
      </c>
      <c r="J997">
        <v>30</v>
      </c>
      <c r="K997">
        <v>543</v>
      </c>
      <c r="L997">
        <v>80.209999999999994</v>
      </c>
      <c r="M997">
        <v>11.02</v>
      </c>
      <c r="N997">
        <v>5.35</v>
      </c>
      <c r="O997">
        <v>8.77</v>
      </c>
      <c r="P997">
        <v>595.53</v>
      </c>
      <c r="Q997">
        <v>909</v>
      </c>
      <c r="R997">
        <v>4</v>
      </c>
      <c r="S997">
        <v>125</v>
      </c>
    </row>
    <row r="998" spans="1:19" x14ac:dyDescent="0.3">
      <c r="A998">
        <v>997</v>
      </c>
      <c r="B998" t="s">
        <v>631</v>
      </c>
      <c r="C998">
        <v>2022</v>
      </c>
      <c r="D998" t="s">
        <v>96</v>
      </c>
      <c r="E998">
        <v>6</v>
      </c>
      <c r="F998" t="s">
        <v>31</v>
      </c>
      <c r="G998" t="s">
        <v>26</v>
      </c>
      <c r="H998">
        <v>44.95</v>
      </c>
      <c r="I998" t="s">
        <v>23</v>
      </c>
      <c r="J998">
        <v>10</v>
      </c>
      <c r="K998">
        <v>307</v>
      </c>
      <c r="L998">
        <v>93.98</v>
      </c>
      <c r="M998">
        <v>15.82</v>
      </c>
      <c r="N998">
        <v>2.65</v>
      </c>
      <c r="O998">
        <v>7.64</v>
      </c>
      <c r="P998">
        <v>590.59</v>
      </c>
      <c r="Q998">
        <v>327</v>
      </c>
      <c r="R998">
        <v>3</v>
      </c>
      <c r="S998">
        <v>135</v>
      </c>
    </row>
    <row r="999" spans="1:19" x14ac:dyDescent="0.3">
      <c r="A999">
        <v>998</v>
      </c>
      <c r="B999" t="s">
        <v>637</v>
      </c>
      <c r="C999">
        <v>2022</v>
      </c>
      <c r="D999" t="s">
        <v>96</v>
      </c>
      <c r="E999">
        <v>6</v>
      </c>
      <c r="F999" t="s">
        <v>62</v>
      </c>
      <c r="G999" t="s">
        <v>35</v>
      </c>
      <c r="H999">
        <v>39.21</v>
      </c>
      <c r="I999" t="s">
        <v>23</v>
      </c>
      <c r="J999">
        <v>43</v>
      </c>
      <c r="K999">
        <v>198</v>
      </c>
      <c r="L999">
        <v>80.22</v>
      </c>
      <c r="M999">
        <v>6.89</v>
      </c>
      <c r="N999">
        <v>20.23</v>
      </c>
      <c r="O999">
        <v>3.55</v>
      </c>
      <c r="P999">
        <v>562.94000000000005</v>
      </c>
      <c r="Q999">
        <v>997</v>
      </c>
      <c r="R999">
        <v>5</v>
      </c>
      <c r="S999">
        <v>228</v>
      </c>
    </row>
    <row r="1000" spans="1:19" x14ac:dyDescent="0.3">
      <c r="A1000">
        <v>999</v>
      </c>
      <c r="B1000" t="s">
        <v>638</v>
      </c>
      <c r="C1000">
        <v>2022</v>
      </c>
      <c r="D1000" t="s">
        <v>96</v>
      </c>
      <c r="E1000">
        <v>6</v>
      </c>
      <c r="F1000" t="s">
        <v>21</v>
      </c>
      <c r="G1000" t="s">
        <v>22</v>
      </c>
      <c r="H1000">
        <v>17.95</v>
      </c>
      <c r="I1000" t="s">
        <v>23</v>
      </c>
      <c r="J1000">
        <v>13</v>
      </c>
      <c r="K1000">
        <v>195</v>
      </c>
      <c r="L1000">
        <v>86.49</v>
      </c>
      <c r="M1000">
        <v>28.72</v>
      </c>
      <c r="N1000">
        <v>12.73</v>
      </c>
      <c r="O1000">
        <v>10.75</v>
      </c>
      <c r="P1000">
        <v>520.42999999999995</v>
      </c>
      <c r="Q1000">
        <v>886</v>
      </c>
      <c r="R1000">
        <v>3</v>
      </c>
      <c r="S1000">
        <v>174</v>
      </c>
    </row>
    <row r="1001" spans="1:19" x14ac:dyDescent="0.3">
      <c r="A1001">
        <v>1000</v>
      </c>
      <c r="B1001" t="s">
        <v>639</v>
      </c>
      <c r="C1001">
        <v>2022</v>
      </c>
      <c r="D1001" t="s">
        <v>96</v>
      </c>
      <c r="E1001">
        <v>6</v>
      </c>
      <c r="F1001" t="s">
        <v>62</v>
      </c>
      <c r="G1001" t="s">
        <v>22</v>
      </c>
      <c r="H1001">
        <v>50.43</v>
      </c>
      <c r="I1001" t="s">
        <v>23</v>
      </c>
      <c r="J1001">
        <v>22</v>
      </c>
      <c r="K1001">
        <v>306</v>
      </c>
      <c r="L1001">
        <v>93.13</v>
      </c>
      <c r="M1001">
        <v>9.6</v>
      </c>
      <c r="N1001">
        <v>17.91</v>
      </c>
      <c r="O1001">
        <v>14.48</v>
      </c>
      <c r="P1001">
        <v>146.41999999999999</v>
      </c>
      <c r="Q1001">
        <v>196</v>
      </c>
      <c r="R1001">
        <v>1</v>
      </c>
      <c r="S1001">
        <v>212</v>
      </c>
    </row>
    <row r="1002" spans="1:19" x14ac:dyDescent="0.3">
      <c r="A1002">
        <v>1001</v>
      </c>
      <c r="B1002" t="s">
        <v>639</v>
      </c>
      <c r="C1002">
        <v>2022</v>
      </c>
      <c r="D1002" t="s">
        <v>96</v>
      </c>
      <c r="E1002">
        <v>6</v>
      </c>
      <c r="F1002" t="s">
        <v>34</v>
      </c>
      <c r="G1002" t="s">
        <v>40</v>
      </c>
      <c r="H1002">
        <v>23.53</v>
      </c>
      <c r="I1002" t="s">
        <v>23</v>
      </c>
      <c r="J1002">
        <v>35</v>
      </c>
      <c r="K1002">
        <v>483</v>
      </c>
      <c r="L1002">
        <v>90.43</v>
      </c>
      <c r="M1002">
        <v>28.13</v>
      </c>
      <c r="N1002">
        <v>10.55</v>
      </c>
      <c r="O1002">
        <v>1.52</v>
      </c>
      <c r="P1002">
        <v>163.47999999999999</v>
      </c>
      <c r="Q1002">
        <v>542</v>
      </c>
      <c r="R1002">
        <v>2</v>
      </c>
      <c r="S1002">
        <v>244</v>
      </c>
    </row>
    <row r="1003" spans="1:19" x14ac:dyDescent="0.3">
      <c r="A1003">
        <v>1002</v>
      </c>
      <c r="B1003" t="s">
        <v>640</v>
      </c>
      <c r="C1003">
        <v>2022</v>
      </c>
      <c r="D1003" t="s">
        <v>96</v>
      </c>
      <c r="E1003">
        <v>6</v>
      </c>
      <c r="F1003" t="s">
        <v>34</v>
      </c>
      <c r="G1003" t="s">
        <v>26</v>
      </c>
      <c r="H1003">
        <v>25.81</v>
      </c>
      <c r="I1003" t="s">
        <v>32</v>
      </c>
      <c r="J1003">
        <v>31</v>
      </c>
      <c r="K1003">
        <v>482</v>
      </c>
      <c r="L1003">
        <v>83.34</v>
      </c>
      <c r="M1003">
        <v>13.23</v>
      </c>
      <c r="N1003">
        <v>19.079999999999998</v>
      </c>
      <c r="O1003">
        <v>10.62</v>
      </c>
      <c r="P1003">
        <v>520.95000000000005</v>
      </c>
      <c r="Q1003">
        <v>331</v>
      </c>
      <c r="R1003">
        <v>2</v>
      </c>
      <c r="S1003">
        <v>118</v>
      </c>
    </row>
    <row r="1004" spans="1:19" x14ac:dyDescent="0.3">
      <c r="A1004">
        <v>1003</v>
      </c>
      <c r="B1004" t="s">
        <v>641</v>
      </c>
      <c r="C1004">
        <v>2022</v>
      </c>
      <c r="D1004" t="s">
        <v>96</v>
      </c>
      <c r="E1004">
        <v>6</v>
      </c>
      <c r="F1004" t="s">
        <v>21</v>
      </c>
      <c r="G1004" t="s">
        <v>42</v>
      </c>
      <c r="H1004">
        <v>43.52</v>
      </c>
      <c r="I1004" t="s">
        <v>32</v>
      </c>
      <c r="J1004">
        <v>14</v>
      </c>
      <c r="K1004">
        <v>254</v>
      </c>
      <c r="L1004">
        <v>87.57</v>
      </c>
      <c r="M1004">
        <v>22.84</v>
      </c>
      <c r="N1004">
        <v>3.52</v>
      </c>
      <c r="O1004">
        <v>15.3</v>
      </c>
      <c r="P1004">
        <v>531.71</v>
      </c>
      <c r="Q1004">
        <v>282</v>
      </c>
      <c r="R1004">
        <v>1</v>
      </c>
      <c r="S1004">
        <v>178</v>
      </c>
    </row>
    <row r="1005" spans="1:19" x14ac:dyDescent="0.3">
      <c r="A1005">
        <v>1004</v>
      </c>
      <c r="B1005" t="s">
        <v>642</v>
      </c>
      <c r="C1005">
        <v>2022</v>
      </c>
      <c r="D1005" t="s">
        <v>96</v>
      </c>
      <c r="E1005">
        <v>6</v>
      </c>
      <c r="F1005" t="s">
        <v>62</v>
      </c>
      <c r="G1005" t="s">
        <v>26</v>
      </c>
      <c r="H1005">
        <v>26.57</v>
      </c>
      <c r="I1005" t="s">
        <v>32</v>
      </c>
      <c r="J1005">
        <v>1</v>
      </c>
      <c r="K1005">
        <v>541</v>
      </c>
      <c r="L1005">
        <v>82.67</v>
      </c>
      <c r="M1005">
        <v>24.01</v>
      </c>
      <c r="N1005">
        <v>20.25</v>
      </c>
      <c r="O1005">
        <v>12.76</v>
      </c>
      <c r="P1005">
        <v>259.57</v>
      </c>
      <c r="Q1005">
        <v>144</v>
      </c>
      <c r="R1005">
        <v>4</v>
      </c>
      <c r="S1005">
        <v>112</v>
      </c>
    </row>
    <row r="1006" spans="1:19" x14ac:dyDescent="0.3">
      <c r="A1006">
        <v>1005</v>
      </c>
      <c r="B1006" t="s">
        <v>631</v>
      </c>
      <c r="C1006">
        <v>2022</v>
      </c>
      <c r="D1006" t="s">
        <v>96</v>
      </c>
      <c r="E1006">
        <v>6</v>
      </c>
      <c r="F1006" t="s">
        <v>34</v>
      </c>
      <c r="G1006" t="s">
        <v>40</v>
      </c>
      <c r="H1006">
        <v>25.8</v>
      </c>
      <c r="I1006" t="s">
        <v>38</v>
      </c>
      <c r="J1006">
        <v>30</v>
      </c>
      <c r="K1006">
        <v>337</v>
      </c>
      <c r="L1006">
        <v>94.53</v>
      </c>
      <c r="M1006">
        <v>11.39</v>
      </c>
      <c r="N1006">
        <v>3.97</v>
      </c>
      <c r="O1006">
        <v>9.75</v>
      </c>
      <c r="P1006">
        <v>206.59</v>
      </c>
      <c r="Q1006">
        <v>1035</v>
      </c>
      <c r="R1006">
        <v>1</v>
      </c>
      <c r="S1006">
        <v>101</v>
      </c>
    </row>
    <row r="1007" spans="1:19" x14ac:dyDescent="0.3">
      <c r="A1007">
        <v>1006</v>
      </c>
      <c r="B1007" t="s">
        <v>636</v>
      </c>
      <c r="C1007">
        <v>2022</v>
      </c>
      <c r="D1007" t="s">
        <v>96</v>
      </c>
      <c r="E1007">
        <v>6</v>
      </c>
      <c r="F1007" t="s">
        <v>29</v>
      </c>
      <c r="G1007" t="s">
        <v>35</v>
      </c>
      <c r="H1007">
        <v>35.799999999999997</v>
      </c>
      <c r="I1007" t="s">
        <v>32</v>
      </c>
      <c r="J1007">
        <v>45</v>
      </c>
      <c r="K1007">
        <v>486</v>
      </c>
      <c r="L1007">
        <v>81.34</v>
      </c>
      <c r="M1007">
        <v>10.29</v>
      </c>
      <c r="N1007">
        <v>17.059999999999999</v>
      </c>
      <c r="O1007">
        <v>4.09</v>
      </c>
      <c r="P1007">
        <v>499.32</v>
      </c>
      <c r="Q1007">
        <v>187</v>
      </c>
      <c r="R1007">
        <v>4</v>
      </c>
      <c r="S1007">
        <v>100</v>
      </c>
    </row>
    <row r="1008" spans="1:19" x14ac:dyDescent="0.3">
      <c r="A1008">
        <v>1007</v>
      </c>
      <c r="B1008" t="s">
        <v>643</v>
      </c>
      <c r="C1008">
        <v>2022</v>
      </c>
      <c r="D1008" t="s">
        <v>96</v>
      </c>
      <c r="E1008">
        <v>6</v>
      </c>
      <c r="F1008" t="s">
        <v>31</v>
      </c>
      <c r="G1008" t="s">
        <v>35</v>
      </c>
      <c r="H1008">
        <v>11.72</v>
      </c>
      <c r="I1008" t="s">
        <v>47</v>
      </c>
      <c r="J1008">
        <v>44</v>
      </c>
      <c r="K1008">
        <v>269</v>
      </c>
      <c r="L1008">
        <v>75.819999999999993</v>
      </c>
      <c r="M1008">
        <v>28.15</v>
      </c>
      <c r="N1008">
        <v>14.38</v>
      </c>
      <c r="O1008">
        <v>7.65</v>
      </c>
      <c r="P1008">
        <v>214.2</v>
      </c>
      <c r="Q1008">
        <v>709</v>
      </c>
      <c r="R1008">
        <v>5</v>
      </c>
      <c r="S1008">
        <v>83</v>
      </c>
    </row>
    <row r="1009" spans="1:19" x14ac:dyDescent="0.3">
      <c r="A1009">
        <v>1008</v>
      </c>
      <c r="B1009" t="s">
        <v>644</v>
      </c>
      <c r="C1009">
        <v>2022</v>
      </c>
      <c r="D1009" t="s">
        <v>96</v>
      </c>
      <c r="E1009">
        <v>6</v>
      </c>
      <c r="F1009" t="s">
        <v>25</v>
      </c>
      <c r="G1009" t="s">
        <v>35</v>
      </c>
      <c r="H1009">
        <v>43.73</v>
      </c>
      <c r="I1009" t="s">
        <v>27</v>
      </c>
      <c r="J1009">
        <v>5</v>
      </c>
      <c r="K1009">
        <v>534</v>
      </c>
      <c r="L1009">
        <v>79.59</v>
      </c>
      <c r="M1009">
        <v>5.29</v>
      </c>
      <c r="N1009">
        <v>4.55</v>
      </c>
      <c r="O1009">
        <v>5.29</v>
      </c>
      <c r="P1009">
        <v>271.43</v>
      </c>
      <c r="Q1009">
        <v>337</v>
      </c>
      <c r="R1009">
        <v>4</v>
      </c>
      <c r="S1009">
        <v>237</v>
      </c>
    </row>
    <row r="1010" spans="1:19" x14ac:dyDescent="0.3">
      <c r="A1010">
        <v>1009</v>
      </c>
      <c r="B1010" t="s">
        <v>645</v>
      </c>
      <c r="C1010">
        <v>2022</v>
      </c>
      <c r="D1010" t="s">
        <v>96</v>
      </c>
      <c r="E1010">
        <v>6</v>
      </c>
      <c r="F1010" t="s">
        <v>25</v>
      </c>
      <c r="G1010" t="s">
        <v>26</v>
      </c>
      <c r="H1010">
        <v>20.68</v>
      </c>
      <c r="I1010" t="s">
        <v>47</v>
      </c>
      <c r="J1010">
        <v>28</v>
      </c>
      <c r="K1010">
        <v>571</v>
      </c>
      <c r="L1010">
        <v>84.76</v>
      </c>
      <c r="M1010">
        <v>32.57</v>
      </c>
      <c r="N1010">
        <v>19.05</v>
      </c>
      <c r="O1010">
        <v>11.89</v>
      </c>
      <c r="P1010">
        <v>474.66</v>
      </c>
      <c r="Q1010">
        <v>138</v>
      </c>
      <c r="R1010">
        <v>3</v>
      </c>
      <c r="S1010">
        <v>193</v>
      </c>
    </row>
    <row r="1011" spans="1:19" x14ac:dyDescent="0.3">
      <c r="A1011">
        <v>1010</v>
      </c>
      <c r="B1011" t="s">
        <v>646</v>
      </c>
      <c r="C1011">
        <v>2022</v>
      </c>
      <c r="D1011" t="s">
        <v>96</v>
      </c>
      <c r="E1011">
        <v>6</v>
      </c>
      <c r="F1011" t="s">
        <v>34</v>
      </c>
      <c r="G1011" t="s">
        <v>40</v>
      </c>
      <c r="H1011">
        <v>44.04</v>
      </c>
      <c r="I1011" t="s">
        <v>38</v>
      </c>
      <c r="J1011">
        <v>23</v>
      </c>
      <c r="K1011">
        <v>119</v>
      </c>
      <c r="L1011">
        <v>87.18</v>
      </c>
      <c r="M1011">
        <v>29.04</v>
      </c>
      <c r="N1011">
        <v>2.82</v>
      </c>
      <c r="O1011">
        <v>1.06</v>
      </c>
      <c r="P1011">
        <v>452.54</v>
      </c>
      <c r="Q1011">
        <v>403</v>
      </c>
      <c r="R1011">
        <v>4</v>
      </c>
      <c r="S1011">
        <v>122</v>
      </c>
    </row>
    <row r="1012" spans="1:19" x14ac:dyDescent="0.3">
      <c r="A1012">
        <v>1011</v>
      </c>
      <c r="B1012" t="s">
        <v>647</v>
      </c>
      <c r="C1012">
        <v>2022</v>
      </c>
      <c r="D1012" t="s">
        <v>96</v>
      </c>
      <c r="E1012">
        <v>6</v>
      </c>
      <c r="F1012" t="s">
        <v>21</v>
      </c>
      <c r="G1012" t="s">
        <v>40</v>
      </c>
      <c r="H1012">
        <v>16.29</v>
      </c>
      <c r="I1012" t="s">
        <v>27</v>
      </c>
      <c r="J1012">
        <v>46</v>
      </c>
      <c r="K1012">
        <v>455</v>
      </c>
      <c r="L1012">
        <v>91.59</v>
      </c>
      <c r="M1012">
        <v>17.71</v>
      </c>
      <c r="N1012">
        <v>9.92</v>
      </c>
      <c r="O1012">
        <v>13.27</v>
      </c>
      <c r="P1012">
        <v>239.57</v>
      </c>
      <c r="Q1012">
        <v>1058</v>
      </c>
      <c r="R1012">
        <v>3</v>
      </c>
      <c r="S1012">
        <v>92</v>
      </c>
    </row>
    <row r="1013" spans="1:19" x14ac:dyDescent="0.3">
      <c r="A1013">
        <v>1012</v>
      </c>
      <c r="B1013" t="s">
        <v>648</v>
      </c>
      <c r="C1013">
        <v>2022</v>
      </c>
      <c r="D1013" t="s">
        <v>96</v>
      </c>
      <c r="E1013">
        <v>6</v>
      </c>
      <c r="F1013" t="s">
        <v>62</v>
      </c>
      <c r="G1013" t="s">
        <v>22</v>
      </c>
      <c r="H1013">
        <v>8.4600000000000009</v>
      </c>
      <c r="I1013" t="s">
        <v>38</v>
      </c>
      <c r="J1013">
        <v>31</v>
      </c>
      <c r="K1013">
        <v>368</v>
      </c>
      <c r="L1013">
        <v>81.739999999999995</v>
      </c>
      <c r="M1013">
        <v>26.21</v>
      </c>
      <c r="N1013">
        <v>15.17</v>
      </c>
      <c r="O1013">
        <v>2.6</v>
      </c>
      <c r="P1013">
        <v>163.27000000000001</v>
      </c>
      <c r="Q1013">
        <v>501</v>
      </c>
      <c r="R1013">
        <v>2</v>
      </c>
      <c r="S1013">
        <v>204</v>
      </c>
    </row>
    <row r="1014" spans="1:19" x14ac:dyDescent="0.3">
      <c r="A1014">
        <v>1013</v>
      </c>
      <c r="B1014" t="s">
        <v>637</v>
      </c>
      <c r="C1014">
        <v>2022</v>
      </c>
      <c r="D1014" t="s">
        <v>96</v>
      </c>
      <c r="E1014">
        <v>6</v>
      </c>
      <c r="F1014" t="s">
        <v>29</v>
      </c>
      <c r="G1014" t="s">
        <v>42</v>
      </c>
      <c r="H1014">
        <v>48.92</v>
      </c>
      <c r="I1014" t="s">
        <v>38</v>
      </c>
      <c r="J1014">
        <v>34</v>
      </c>
      <c r="K1014">
        <v>104</v>
      </c>
      <c r="L1014">
        <v>86.69</v>
      </c>
      <c r="M1014">
        <v>6</v>
      </c>
      <c r="N1014">
        <v>12.36</v>
      </c>
      <c r="O1014">
        <v>3.84</v>
      </c>
      <c r="P1014">
        <v>367.17</v>
      </c>
      <c r="Q1014">
        <v>806</v>
      </c>
      <c r="R1014">
        <v>2</v>
      </c>
      <c r="S1014">
        <v>58</v>
      </c>
    </row>
    <row r="1015" spans="1:19" x14ac:dyDescent="0.3">
      <c r="A1015">
        <v>1014</v>
      </c>
      <c r="B1015" t="s">
        <v>634</v>
      </c>
      <c r="C1015">
        <v>2022</v>
      </c>
      <c r="D1015" t="s">
        <v>96</v>
      </c>
      <c r="E1015">
        <v>6</v>
      </c>
      <c r="F1015" t="s">
        <v>29</v>
      </c>
      <c r="G1015" t="s">
        <v>40</v>
      </c>
      <c r="H1015">
        <v>11.67</v>
      </c>
      <c r="I1015" t="s">
        <v>38</v>
      </c>
      <c r="J1015">
        <v>41</v>
      </c>
      <c r="K1015">
        <v>104</v>
      </c>
      <c r="L1015">
        <v>90.26</v>
      </c>
      <c r="M1015">
        <v>18.059999999999999</v>
      </c>
      <c r="N1015">
        <v>17.829999999999998</v>
      </c>
      <c r="O1015">
        <v>10.65</v>
      </c>
      <c r="P1015">
        <v>292.11</v>
      </c>
      <c r="Q1015">
        <v>755</v>
      </c>
      <c r="R1015">
        <v>1</v>
      </c>
      <c r="S1015">
        <v>165</v>
      </c>
    </row>
    <row r="1016" spans="1:19" x14ac:dyDescent="0.3">
      <c r="A1016">
        <v>1015</v>
      </c>
      <c r="B1016" t="s">
        <v>649</v>
      </c>
      <c r="C1016">
        <v>2022</v>
      </c>
      <c r="D1016" t="s">
        <v>96</v>
      </c>
      <c r="E1016">
        <v>6</v>
      </c>
      <c r="F1016" t="s">
        <v>37</v>
      </c>
      <c r="G1016" t="s">
        <v>35</v>
      </c>
      <c r="H1016">
        <v>34.159999999999997</v>
      </c>
      <c r="I1016" t="s">
        <v>47</v>
      </c>
      <c r="J1016">
        <v>36</v>
      </c>
      <c r="K1016">
        <v>143</v>
      </c>
      <c r="L1016">
        <v>76.64</v>
      </c>
      <c r="M1016">
        <v>14.32</v>
      </c>
      <c r="N1016">
        <v>11.73</v>
      </c>
      <c r="O1016">
        <v>3.02</v>
      </c>
      <c r="P1016">
        <v>393.61</v>
      </c>
      <c r="Q1016">
        <v>424</v>
      </c>
      <c r="R1016">
        <v>2</v>
      </c>
      <c r="S1016">
        <v>147</v>
      </c>
    </row>
    <row r="1017" spans="1:19" x14ac:dyDescent="0.3">
      <c r="A1017">
        <v>1016</v>
      </c>
      <c r="B1017" t="s">
        <v>645</v>
      </c>
      <c r="C1017">
        <v>2022</v>
      </c>
      <c r="D1017" t="s">
        <v>96</v>
      </c>
      <c r="E1017">
        <v>6</v>
      </c>
      <c r="F1017" t="s">
        <v>25</v>
      </c>
      <c r="G1017" t="s">
        <v>35</v>
      </c>
      <c r="H1017">
        <v>40.64</v>
      </c>
      <c r="I1017" t="s">
        <v>47</v>
      </c>
      <c r="J1017">
        <v>23</v>
      </c>
      <c r="K1017">
        <v>347</v>
      </c>
      <c r="L1017">
        <v>80.47</v>
      </c>
      <c r="M1017">
        <v>11.15</v>
      </c>
      <c r="N1017">
        <v>3.2</v>
      </c>
      <c r="O1017">
        <v>14.26</v>
      </c>
      <c r="P1017">
        <v>139.41999999999999</v>
      </c>
      <c r="Q1017">
        <v>1035</v>
      </c>
      <c r="R1017">
        <v>1</v>
      </c>
      <c r="S1017">
        <v>162</v>
      </c>
    </row>
    <row r="1018" spans="1:19" x14ac:dyDescent="0.3">
      <c r="A1018">
        <v>1017</v>
      </c>
      <c r="B1018" t="s">
        <v>629</v>
      </c>
      <c r="C1018">
        <v>2022</v>
      </c>
      <c r="D1018" t="s">
        <v>96</v>
      </c>
      <c r="E1018">
        <v>6</v>
      </c>
      <c r="F1018" t="s">
        <v>37</v>
      </c>
      <c r="G1018" t="s">
        <v>35</v>
      </c>
      <c r="H1018">
        <v>7.39</v>
      </c>
      <c r="I1018" t="s">
        <v>47</v>
      </c>
      <c r="J1018">
        <v>36</v>
      </c>
      <c r="K1018">
        <v>209</v>
      </c>
      <c r="L1018">
        <v>86.49</v>
      </c>
      <c r="M1018">
        <v>17.14</v>
      </c>
      <c r="N1018">
        <v>5.22</v>
      </c>
      <c r="O1018">
        <v>13.46</v>
      </c>
      <c r="P1018">
        <v>595.04999999999995</v>
      </c>
      <c r="Q1018">
        <v>302</v>
      </c>
      <c r="R1018">
        <v>5</v>
      </c>
      <c r="S1018">
        <v>134</v>
      </c>
    </row>
    <row r="1019" spans="1:19" x14ac:dyDescent="0.3">
      <c r="A1019">
        <v>1018</v>
      </c>
      <c r="B1019" t="s">
        <v>637</v>
      </c>
      <c r="C1019">
        <v>2022</v>
      </c>
      <c r="D1019" t="s">
        <v>96</v>
      </c>
      <c r="E1019">
        <v>6</v>
      </c>
      <c r="F1019" t="s">
        <v>29</v>
      </c>
      <c r="G1019" t="s">
        <v>22</v>
      </c>
      <c r="H1019">
        <v>47.67</v>
      </c>
      <c r="I1019" t="s">
        <v>38</v>
      </c>
      <c r="J1019">
        <v>3</v>
      </c>
      <c r="K1019">
        <v>279</v>
      </c>
      <c r="L1019">
        <v>79.739999999999995</v>
      </c>
      <c r="M1019">
        <v>17.329999999999998</v>
      </c>
      <c r="N1019">
        <v>15.76</v>
      </c>
      <c r="O1019">
        <v>5.65</v>
      </c>
      <c r="P1019">
        <v>218.67</v>
      </c>
      <c r="Q1019">
        <v>938</v>
      </c>
      <c r="R1019">
        <v>4</v>
      </c>
      <c r="S1019">
        <v>55</v>
      </c>
    </row>
    <row r="1020" spans="1:19" x14ac:dyDescent="0.3">
      <c r="A1020">
        <v>1019</v>
      </c>
      <c r="B1020" t="s">
        <v>636</v>
      </c>
      <c r="C1020">
        <v>2022</v>
      </c>
      <c r="D1020" t="s">
        <v>96</v>
      </c>
      <c r="E1020">
        <v>6</v>
      </c>
      <c r="F1020" t="s">
        <v>25</v>
      </c>
      <c r="G1020" t="s">
        <v>42</v>
      </c>
      <c r="H1020">
        <v>36.520000000000003</v>
      </c>
      <c r="I1020" t="s">
        <v>47</v>
      </c>
      <c r="J1020">
        <v>33</v>
      </c>
      <c r="K1020">
        <v>345</v>
      </c>
      <c r="L1020">
        <v>75.290000000000006</v>
      </c>
      <c r="M1020">
        <v>19.36</v>
      </c>
      <c r="N1020">
        <v>18.899999999999999</v>
      </c>
      <c r="O1020">
        <v>9.23</v>
      </c>
      <c r="P1020">
        <v>129.66</v>
      </c>
      <c r="Q1020">
        <v>852</v>
      </c>
      <c r="R1020">
        <v>3</v>
      </c>
      <c r="S1020">
        <v>238</v>
      </c>
    </row>
    <row r="1021" spans="1:19" x14ac:dyDescent="0.3">
      <c r="A1021">
        <v>1020</v>
      </c>
      <c r="B1021" t="s">
        <v>631</v>
      </c>
      <c r="C1021">
        <v>2022</v>
      </c>
      <c r="D1021" t="s">
        <v>96</v>
      </c>
      <c r="E1021">
        <v>6</v>
      </c>
      <c r="F1021" t="s">
        <v>29</v>
      </c>
      <c r="G1021" t="s">
        <v>40</v>
      </c>
      <c r="H1021">
        <v>13.19</v>
      </c>
      <c r="I1021" t="s">
        <v>27</v>
      </c>
      <c r="J1021">
        <v>10</v>
      </c>
      <c r="K1021">
        <v>141</v>
      </c>
      <c r="L1021">
        <v>86.09</v>
      </c>
      <c r="M1021">
        <v>33.520000000000003</v>
      </c>
      <c r="N1021">
        <v>9.1199999999999992</v>
      </c>
      <c r="O1021">
        <v>5.48</v>
      </c>
      <c r="P1021">
        <v>318.37</v>
      </c>
      <c r="Q1021">
        <v>950</v>
      </c>
      <c r="R1021">
        <v>3</v>
      </c>
      <c r="S1021">
        <v>215</v>
      </c>
    </row>
    <row r="1022" spans="1:19" x14ac:dyDescent="0.3">
      <c r="A1022">
        <v>1021</v>
      </c>
      <c r="B1022" t="s">
        <v>650</v>
      </c>
      <c r="C1022">
        <v>2022</v>
      </c>
      <c r="D1022" t="s">
        <v>161</v>
      </c>
      <c r="E1022">
        <v>7</v>
      </c>
      <c r="F1022" t="s">
        <v>29</v>
      </c>
      <c r="G1022" t="s">
        <v>42</v>
      </c>
      <c r="H1022">
        <v>16.29</v>
      </c>
      <c r="I1022" t="s">
        <v>32</v>
      </c>
      <c r="J1022">
        <v>12</v>
      </c>
      <c r="K1022">
        <v>107</v>
      </c>
      <c r="L1022">
        <v>88.61</v>
      </c>
      <c r="M1022">
        <v>20.29</v>
      </c>
      <c r="N1022">
        <v>17.690000000000001</v>
      </c>
      <c r="O1022">
        <v>3.13</v>
      </c>
      <c r="P1022">
        <v>147.55000000000001</v>
      </c>
      <c r="Q1022">
        <v>751</v>
      </c>
      <c r="R1022">
        <v>3</v>
      </c>
      <c r="S1022">
        <v>75</v>
      </c>
    </row>
    <row r="1023" spans="1:19" x14ac:dyDescent="0.3">
      <c r="A1023">
        <v>1022</v>
      </c>
      <c r="B1023" t="s">
        <v>651</v>
      </c>
      <c r="C1023">
        <v>2022</v>
      </c>
      <c r="D1023" t="s">
        <v>161</v>
      </c>
      <c r="E1023">
        <v>7</v>
      </c>
      <c r="F1023" t="s">
        <v>53</v>
      </c>
      <c r="G1023" t="s">
        <v>35</v>
      </c>
      <c r="H1023">
        <v>14.77</v>
      </c>
      <c r="I1023" t="s">
        <v>38</v>
      </c>
      <c r="J1023">
        <v>38</v>
      </c>
      <c r="K1023">
        <v>176</v>
      </c>
      <c r="L1023">
        <v>92.18</v>
      </c>
      <c r="M1023">
        <v>6.41</v>
      </c>
      <c r="N1023">
        <v>5.72</v>
      </c>
      <c r="O1023">
        <v>3.45</v>
      </c>
      <c r="P1023">
        <v>550.94000000000005</v>
      </c>
      <c r="Q1023">
        <v>530</v>
      </c>
      <c r="R1023">
        <v>4</v>
      </c>
      <c r="S1023">
        <v>133</v>
      </c>
    </row>
    <row r="1024" spans="1:19" x14ac:dyDescent="0.3">
      <c r="A1024">
        <v>1023</v>
      </c>
      <c r="B1024" t="s">
        <v>652</v>
      </c>
      <c r="C1024">
        <v>2022</v>
      </c>
      <c r="D1024" t="s">
        <v>161</v>
      </c>
      <c r="E1024">
        <v>7</v>
      </c>
      <c r="F1024" t="s">
        <v>34</v>
      </c>
      <c r="G1024" t="s">
        <v>40</v>
      </c>
      <c r="H1024">
        <v>38.340000000000003</v>
      </c>
      <c r="I1024" t="s">
        <v>38</v>
      </c>
      <c r="J1024">
        <v>5</v>
      </c>
      <c r="K1024">
        <v>292</v>
      </c>
      <c r="L1024">
        <v>85.14</v>
      </c>
      <c r="M1024">
        <v>5.16</v>
      </c>
      <c r="N1024">
        <v>9.49</v>
      </c>
      <c r="O1024">
        <v>13.53</v>
      </c>
      <c r="P1024">
        <v>194.89</v>
      </c>
      <c r="Q1024">
        <v>146</v>
      </c>
      <c r="R1024">
        <v>3</v>
      </c>
      <c r="S1024">
        <v>241</v>
      </c>
    </row>
    <row r="1025" spans="1:19" x14ac:dyDescent="0.3">
      <c r="A1025">
        <v>1024</v>
      </c>
      <c r="B1025" t="s">
        <v>653</v>
      </c>
      <c r="C1025">
        <v>2022</v>
      </c>
      <c r="D1025" t="s">
        <v>161</v>
      </c>
      <c r="E1025">
        <v>7</v>
      </c>
      <c r="F1025" t="s">
        <v>31</v>
      </c>
      <c r="G1025" t="s">
        <v>35</v>
      </c>
      <c r="H1025">
        <v>16.78</v>
      </c>
      <c r="I1025" t="s">
        <v>27</v>
      </c>
      <c r="J1025">
        <v>31</v>
      </c>
      <c r="K1025">
        <v>444</v>
      </c>
      <c r="L1025">
        <v>90.57</v>
      </c>
      <c r="M1025">
        <v>28.21</v>
      </c>
      <c r="N1025">
        <v>9.44</v>
      </c>
      <c r="O1025">
        <v>12.18</v>
      </c>
      <c r="P1025">
        <v>385.38</v>
      </c>
      <c r="Q1025">
        <v>702</v>
      </c>
      <c r="R1025">
        <v>1</v>
      </c>
      <c r="S1025">
        <v>84</v>
      </c>
    </row>
    <row r="1026" spans="1:19" x14ac:dyDescent="0.3">
      <c r="A1026">
        <v>1025</v>
      </c>
      <c r="B1026" t="s">
        <v>654</v>
      </c>
      <c r="C1026">
        <v>2022</v>
      </c>
      <c r="D1026" t="s">
        <v>161</v>
      </c>
      <c r="E1026">
        <v>7</v>
      </c>
      <c r="F1026" t="s">
        <v>21</v>
      </c>
      <c r="G1026" t="s">
        <v>26</v>
      </c>
      <c r="H1026">
        <v>10.32</v>
      </c>
      <c r="I1026" t="s">
        <v>47</v>
      </c>
      <c r="J1026">
        <v>31</v>
      </c>
      <c r="K1026">
        <v>437</v>
      </c>
      <c r="L1026">
        <v>90.82</v>
      </c>
      <c r="M1026">
        <v>24.83</v>
      </c>
      <c r="N1026">
        <v>7.37</v>
      </c>
      <c r="O1026">
        <v>7.64</v>
      </c>
      <c r="P1026">
        <v>145.88</v>
      </c>
      <c r="Q1026">
        <v>905</v>
      </c>
      <c r="R1026">
        <v>1</v>
      </c>
      <c r="S1026">
        <v>109</v>
      </c>
    </row>
    <row r="1027" spans="1:19" x14ac:dyDescent="0.3">
      <c r="A1027">
        <v>1026</v>
      </c>
      <c r="B1027" t="s">
        <v>655</v>
      </c>
      <c r="C1027">
        <v>2022</v>
      </c>
      <c r="D1027" t="s">
        <v>161</v>
      </c>
      <c r="E1027">
        <v>7</v>
      </c>
      <c r="F1027" t="s">
        <v>53</v>
      </c>
      <c r="G1027" t="s">
        <v>26</v>
      </c>
      <c r="H1027">
        <v>33.67</v>
      </c>
      <c r="I1027" t="s">
        <v>23</v>
      </c>
      <c r="J1027">
        <v>30</v>
      </c>
      <c r="K1027">
        <v>541</v>
      </c>
      <c r="L1027">
        <v>79.349999999999994</v>
      </c>
      <c r="M1027">
        <v>20.18</v>
      </c>
      <c r="N1027">
        <v>18.260000000000002</v>
      </c>
      <c r="O1027">
        <v>12.34</v>
      </c>
      <c r="P1027">
        <v>283.22000000000003</v>
      </c>
      <c r="Q1027">
        <v>756</v>
      </c>
      <c r="R1027">
        <v>2</v>
      </c>
      <c r="S1027">
        <v>109</v>
      </c>
    </row>
    <row r="1028" spans="1:19" x14ac:dyDescent="0.3">
      <c r="A1028">
        <v>1027</v>
      </c>
      <c r="B1028" t="s">
        <v>656</v>
      </c>
      <c r="C1028">
        <v>2022</v>
      </c>
      <c r="D1028" t="s">
        <v>161</v>
      </c>
      <c r="E1028">
        <v>7</v>
      </c>
      <c r="F1028" t="s">
        <v>62</v>
      </c>
      <c r="G1028" t="s">
        <v>42</v>
      </c>
      <c r="H1028">
        <v>49.63</v>
      </c>
      <c r="I1028" t="s">
        <v>23</v>
      </c>
      <c r="J1028">
        <v>39</v>
      </c>
      <c r="K1028">
        <v>243</v>
      </c>
      <c r="L1028">
        <v>88.49</v>
      </c>
      <c r="M1028">
        <v>32.6</v>
      </c>
      <c r="N1028">
        <v>16.02</v>
      </c>
      <c r="O1028">
        <v>12.46</v>
      </c>
      <c r="P1028">
        <v>344.93</v>
      </c>
      <c r="Q1028">
        <v>546</v>
      </c>
      <c r="R1028">
        <v>1</v>
      </c>
      <c r="S1028">
        <v>201</v>
      </c>
    </row>
    <row r="1029" spans="1:19" x14ac:dyDescent="0.3">
      <c r="A1029">
        <v>1028</v>
      </c>
      <c r="B1029" t="s">
        <v>657</v>
      </c>
      <c r="C1029">
        <v>2022</v>
      </c>
      <c r="D1029" t="s">
        <v>161</v>
      </c>
      <c r="E1029">
        <v>7</v>
      </c>
      <c r="F1029" t="s">
        <v>34</v>
      </c>
      <c r="G1029" t="s">
        <v>35</v>
      </c>
      <c r="H1029">
        <v>20.75</v>
      </c>
      <c r="I1029" t="s">
        <v>23</v>
      </c>
      <c r="J1029">
        <v>19</v>
      </c>
      <c r="K1029">
        <v>591</v>
      </c>
      <c r="L1029">
        <v>81.19</v>
      </c>
      <c r="M1029">
        <v>30.23</v>
      </c>
      <c r="N1029">
        <v>4.74</v>
      </c>
      <c r="O1029">
        <v>9.5</v>
      </c>
      <c r="P1029">
        <v>103.47</v>
      </c>
      <c r="Q1029">
        <v>933</v>
      </c>
      <c r="R1029">
        <v>4</v>
      </c>
      <c r="S1029">
        <v>50</v>
      </c>
    </row>
    <row r="1030" spans="1:19" x14ac:dyDescent="0.3">
      <c r="A1030">
        <v>1029</v>
      </c>
      <c r="B1030" t="s">
        <v>658</v>
      </c>
      <c r="C1030">
        <v>2022</v>
      </c>
      <c r="D1030" t="s">
        <v>161</v>
      </c>
      <c r="E1030">
        <v>7</v>
      </c>
      <c r="F1030" t="s">
        <v>31</v>
      </c>
      <c r="G1030" t="s">
        <v>40</v>
      </c>
      <c r="H1030">
        <v>27.39</v>
      </c>
      <c r="I1030" t="s">
        <v>27</v>
      </c>
      <c r="J1030">
        <v>4</v>
      </c>
      <c r="K1030">
        <v>108</v>
      </c>
      <c r="L1030">
        <v>92.81</v>
      </c>
      <c r="M1030">
        <v>29.75</v>
      </c>
      <c r="N1030">
        <v>2.87</v>
      </c>
      <c r="O1030">
        <v>1.2</v>
      </c>
      <c r="P1030">
        <v>442.54</v>
      </c>
      <c r="Q1030">
        <v>1076</v>
      </c>
      <c r="R1030">
        <v>5</v>
      </c>
      <c r="S1030">
        <v>114</v>
      </c>
    </row>
    <row r="1031" spans="1:19" x14ac:dyDescent="0.3">
      <c r="A1031">
        <v>1030</v>
      </c>
      <c r="B1031" t="s">
        <v>659</v>
      </c>
      <c r="C1031">
        <v>2022</v>
      </c>
      <c r="D1031" t="s">
        <v>161</v>
      </c>
      <c r="E1031">
        <v>7</v>
      </c>
      <c r="F1031" t="s">
        <v>25</v>
      </c>
      <c r="G1031" t="s">
        <v>26</v>
      </c>
      <c r="H1031">
        <v>36.65</v>
      </c>
      <c r="I1031" t="s">
        <v>38</v>
      </c>
      <c r="J1031">
        <v>35</v>
      </c>
      <c r="K1031">
        <v>132</v>
      </c>
      <c r="L1031">
        <v>93.65</v>
      </c>
      <c r="M1031">
        <v>6.18</v>
      </c>
      <c r="N1031">
        <v>18.72</v>
      </c>
      <c r="O1031">
        <v>10.68</v>
      </c>
      <c r="P1031">
        <v>580.51</v>
      </c>
      <c r="Q1031">
        <v>636</v>
      </c>
      <c r="R1031">
        <v>1</v>
      </c>
      <c r="S1031">
        <v>74</v>
      </c>
    </row>
    <row r="1032" spans="1:19" x14ac:dyDescent="0.3">
      <c r="A1032">
        <v>1031</v>
      </c>
      <c r="B1032" t="s">
        <v>660</v>
      </c>
      <c r="C1032">
        <v>2022</v>
      </c>
      <c r="D1032" t="s">
        <v>161</v>
      </c>
      <c r="E1032">
        <v>7</v>
      </c>
      <c r="F1032" t="s">
        <v>29</v>
      </c>
      <c r="G1032" t="s">
        <v>22</v>
      </c>
      <c r="H1032">
        <v>40.51</v>
      </c>
      <c r="I1032" t="s">
        <v>32</v>
      </c>
      <c r="J1032">
        <v>35</v>
      </c>
      <c r="K1032">
        <v>424</v>
      </c>
      <c r="L1032">
        <v>78.95</v>
      </c>
      <c r="M1032">
        <v>22.83</v>
      </c>
      <c r="N1032">
        <v>5.97</v>
      </c>
      <c r="O1032">
        <v>5.6</v>
      </c>
      <c r="P1032">
        <v>369.85</v>
      </c>
      <c r="Q1032">
        <v>566</v>
      </c>
      <c r="R1032">
        <v>4</v>
      </c>
      <c r="S1032">
        <v>66</v>
      </c>
    </row>
    <row r="1033" spans="1:19" x14ac:dyDescent="0.3">
      <c r="A1033">
        <v>1032</v>
      </c>
      <c r="B1033" t="s">
        <v>661</v>
      </c>
      <c r="C1033">
        <v>2022</v>
      </c>
      <c r="D1033" t="s">
        <v>161</v>
      </c>
      <c r="E1033">
        <v>7</v>
      </c>
      <c r="F1033" t="s">
        <v>37</v>
      </c>
      <c r="G1033" t="s">
        <v>42</v>
      </c>
      <c r="H1033">
        <v>41.8</v>
      </c>
      <c r="I1033" t="s">
        <v>27</v>
      </c>
      <c r="J1033">
        <v>21</v>
      </c>
      <c r="K1033">
        <v>432</v>
      </c>
      <c r="L1033">
        <v>79.3</v>
      </c>
      <c r="M1033">
        <v>13.97</v>
      </c>
      <c r="N1033">
        <v>14.73</v>
      </c>
      <c r="O1033">
        <v>12.52</v>
      </c>
      <c r="P1033">
        <v>174.68</v>
      </c>
      <c r="Q1033">
        <v>515</v>
      </c>
      <c r="R1033">
        <v>2</v>
      </c>
      <c r="S1033">
        <v>229</v>
      </c>
    </row>
    <row r="1034" spans="1:19" x14ac:dyDescent="0.3">
      <c r="A1034">
        <v>1033</v>
      </c>
      <c r="B1034" t="s">
        <v>654</v>
      </c>
      <c r="C1034">
        <v>2022</v>
      </c>
      <c r="D1034" t="s">
        <v>161</v>
      </c>
      <c r="E1034">
        <v>7</v>
      </c>
      <c r="F1034" t="s">
        <v>29</v>
      </c>
      <c r="G1034" t="s">
        <v>26</v>
      </c>
      <c r="H1034">
        <v>54.96</v>
      </c>
      <c r="I1034" t="s">
        <v>38</v>
      </c>
      <c r="J1034">
        <v>19</v>
      </c>
      <c r="K1034">
        <v>330</v>
      </c>
      <c r="L1034">
        <v>79.819999999999993</v>
      </c>
      <c r="M1034">
        <v>17.239999999999998</v>
      </c>
      <c r="N1034">
        <v>3.43</v>
      </c>
      <c r="O1034">
        <v>5.55</v>
      </c>
      <c r="P1034">
        <v>229.39</v>
      </c>
      <c r="Q1034">
        <v>1009</v>
      </c>
      <c r="R1034">
        <v>5</v>
      </c>
      <c r="S1034">
        <v>184</v>
      </c>
    </row>
    <row r="1035" spans="1:19" x14ac:dyDescent="0.3">
      <c r="A1035">
        <v>1034</v>
      </c>
      <c r="B1035" t="s">
        <v>662</v>
      </c>
      <c r="C1035">
        <v>2022</v>
      </c>
      <c r="D1035" t="s">
        <v>161</v>
      </c>
      <c r="E1035">
        <v>7</v>
      </c>
      <c r="F1035" t="s">
        <v>53</v>
      </c>
      <c r="G1035" t="s">
        <v>42</v>
      </c>
      <c r="H1035">
        <v>48.22</v>
      </c>
      <c r="I1035" t="s">
        <v>23</v>
      </c>
      <c r="J1035">
        <v>12</v>
      </c>
      <c r="K1035">
        <v>585</v>
      </c>
      <c r="L1035">
        <v>82.31</v>
      </c>
      <c r="M1035">
        <v>26.49</v>
      </c>
      <c r="N1035">
        <v>9.5</v>
      </c>
      <c r="O1035">
        <v>12.39</v>
      </c>
      <c r="P1035">
        <v>143.83000000000001</v>
      </c>
      <c r="Q1035">
        <v>210</v>
      </c>
      <c r="R1035">
        <v>1</v>
      </c>
      <c r="S1035">
        <v>190</v>
      </c>
    </row>
    <row r="1036" spans="1:19" x14ac:dyDescent="0.3">
      <c r="A1036">
        <v>1035</v>
      </c>
      <c r="B1036" t="s">
        <v>658</v>
      </c>
      <c r="C1036">
        <v>2022</v>
      </c>
      <c r="D1036" t="s">
        <v>161</v>
      </c>
      <c r="E1036">
        <v>7</v>
      </c>
      <c r="F1036" t="s">
        <v>34</v>
      </c>
      <c r="G1036" t="s">
        <v>35</v>
      </c>
      <c r="H1036">
        <v>29.61</v>
      </c>
      <c r="I1036" t="s">
        <v>23</v>
      </c>
      <c r="J1036">
        <v>17</v>
      </c>
      <c r="K1036">
        <v>352</v>
      </c>
      <c r="L1036">
        <v>90.75</v>
      </c>
      <c r="M1036">
        <v>10.57</v>
      </c>
      <c r="N1036">
        <v>21.58</v>
      </c>
      <c r="O1036">
        <v>11.49</v>
      </c>
      <c r="P1036">
        <v>537.88</v>
      </c>
      <c r="Q1036">
        <v>315</v>
      </c>
      <c r="R1036">
        <v>3</v>
      </c>
      <c r="S1036">
        <v>178</v>
      </c>
    </row>
    <row r="1037" spans="1:19" x14ac:dyDescent="0.3">
      <c r="A1037">
        <v>1036</v>
      </c>
      <c r="B1037" t="s">
        <v>658</v>
      </c>
      <c r="C1037">
        <v>2022</v>
      </c>
      <c r="D1037" t="s">
        <v>161</v>
      </c>
      <c r="E1037">
        <v>7</v>
      </c>
      <c r="F1037" t="s">
        <v>21</v>
      </c>
      <c r="G1037" t="s">
        <v>26</v>
      </c>
      <c r="H1037">
        <v>34.15</v>
      </c>
      <c r="I1037" t="s">
        <v>38</v>
      </c>
      <c r="J1037">
        <v>19</v>
      </c>
      <c r="K1037">
        <v>517</v>
      </c>
      <c r="L1037">
        <v>89.83</v>
      </c>
      <c r="M1037">
        <v>5.17</v>
      </c>
      <c r="N1037">
        <v>21.58</v>
      </c>
      <c r="O1037">
        <v>4.4800000000000004</v>
      </c>
      <c r="P1037">
        <v>255.89</v>
      </c>
      <c r="Q1037">
        <v>671</v>
      </c>
      <c r="R1037">
        <v>3</v>
      </c>
      <c r="S1037">
        <v>203</v>
      </c>
    </row>
    <row r="1038" spans="1:19" x14ac:dyDescent="0.3">
      <c r="A1038">
        <v>1037</v>
      </c>
      <c r="B1038" t="s">
        <v>655</v>
      </c>
      <c r="C1038">
        <v>2022</v>
      </c>
      <c r="D1038" t="s">
        <v>161</v>
      </c>
      <c r="E1038">
        <v>7</v>
      </c>
      <c r="F1038" t="s">
        <v>62</v>
      </c>
      <c r="G1038" t="s">
        <v>35</v>
      </c>
      <c r="H1038">
        <v>6.88</v>
      </c>
      <c r="I1038" t="s">
        <v>38</v>
      </c>
      <c r="J1038">
        <v>45</v>
      </c>
      <c r="K1038">
        <v>348</v>
      </c>
      <c r="L1038">
        <v>90.02</v>
      </c>
      <c r="M1038">
        <v>34.32</v>
      </c>
      <c r="N1038">
        <v>3.96</v>
      </c>
      <c r="O1038">
        <v>6.01</v>
      </c>
      <c r="P1038">
        <v>237.43</v>
      </c>
      <c r="Q1038">
        <v>704</v>
      </c>
      <c r="R1038">
        <v>1</v>
      </c>
      <c r="S1038">
        <v>68</v>
      </c>
    </row>
    <row r="1039" spans="1:19" x14ac:dyDescent="0.3">
      <c r="A1039">
        <v>1038</v>
      </c>
      <c r="B1039" t="s">
        <v>663</v>
      </c>
      <c r="C1039">
        <v>2022</v>
      </c>
      <c r="D1039" t="s">
        <v>161</v>
      </c>
      <c r="E1039">
        <v>7</v>
      </c>
      <c r="F1039" t="s">
        <v>29</v>
      </c>
      <c r="G1039" t="s">
        <v>42</v>
      </c>
      <c r="H1039">
        <v>31.55</v>
      </c>
      <c r="I1039" t="s">
        <v>32</v>
      </c>
      <c r="J1039">
        <v>11</v>
      </c>
      <c r="K1039">
        <v>529</v>
      </c>
      <c r="L1039">
        <v>87.84</v>
      </c>
      <c r="M1039">
        <v>8.99</v>
      </c>
      <c r="N1039">
        <v>15.6</v>
      </c>
      <c r="O1039">
        <v>13.23</v>
      </c>
      <c r="P1039">
        <v>562.23</v>
      </c>
      <c r="Q1039">
        <v>394</v>
      </c>
      <c r="R1039">
        <v>2</v>
      </c>
      <c r="S1039">
        <v>197</v>
      </c>
    </row>
    <row r="1040" spans="1:19" x14ac:dyDescent="0.3">
      <c r="A1040">
        <v>1039</v>
      </c>
      <c r="B1040" t="s">
        <v>664</v>
      </c>
      <c r="C1040">
        <v>2022</v>
      </c>
      <c r="D1040" t="s">
        <v>161</v>
      </c>
      <c r="E1040">
        <v>7</v>
      </c>
      <c r="F1040" t="s">
        <v>62</v>
      </c>
      <c r="G1040" t="s">
        <v>42</v>
      </c>
      <c r="H1040">
        <v>44.5</v>
      </c>
      <c r="I1040" t="s">
        <v>38</v>
      </c>
      <c r="J1040">
        <v>26</v>
      </c>
      <c r="K1040">
        <v>114</v>
      </c>
      <c r="L1040">
        <v>91.59</v>
      </c>
      <c r="M1040">
        <v>15.01</v>
      </c>
      <c r="N1040">
        <v>15.28</v>
      </c>
      <c r="O1040">
        <v>14.94</v>
      </c>
      <c r="P1040">
        <v>575.79999999999995</v>
      </c>
      <c r="Q1040">
        <v>809</v>
      </c>
      <c r="R1040">
        <v>4</v>
      </c>
      <c r="S1040">
        <v>243</v>
      </c>
    </row>
    <row r="1041" spans="1:19" x14ac:dyDescent="0.3">
      <c r="A1041">
        <v>1040</v>
      </c>
      <c r="B1041" t="s">
        <v>665</v>
      </c>
      <c r="C1041">
        <v>2022</v>
      </c>
      <c r="D1041" t="s">
        <v>161</v>
      </c>
      <c r="E1041">
        <v>7</v>
      </c>
      <c r="F1041" t="s">
        <v>34</v>
      </c>
      <c r="G1041" t="s">
        <v>42</v>
      </c>
      <c r="H1041">
        <v>30.24</v>
      </c>
      <c r="I1041" t="s">
        <v>32</v>
      </c>
      <c r="J1041">
        <v>46</v>
      </c>
      <c r="K1041">
        <v>278</v>
      </c>
      <c r="L1041">
        <v>92.16</v>
      </c>
      <c r="M1041">
        <v>26.68</v>
      </c>
      <c r="N1041">
        <v>3.56</v>
      </c>
      <c r="O1041">
        <v>6.51</v>
      </c>
      <c r="P1041">
        <v>437.61</v>
      </c>
      <c r="Q1041">
        <v>1093</v>
      </c>
      <c r="R1041">
        <v>2</v>
      </c>
      <c r="S1041">
        <v>131</v>
      </c>
    </row>
    <row r="1042" spans="1:19" x14ac:dyDescent="0.3">
      <c r="A1042">
        <v>1041</v>
      </c>
      <c r="B1042" t="s">
        <v>666</v>
      </c>
      <c r="C1042">
        <v>2022</v>
      </c>
      <c r="D1042" t="s">
        <v>161</v>
      </c>
      <c r="E1042">
        <v>7</v>
      </c>
      <c r="F1042" t="s">
        <v>29</v>
      </c>
      <c r="G1042" t="s">
        <v>22</v>
      </c>
      <c r="H1042">
        <v>10.39</v>
      </c>
      <c r="I1042" t="s">
        <v>32</v>
      </c>
      <c r="J1042">
        <v>23</v>
      </c>
      <c r="K1042">
        <v>570</v>
      </c>
      <c r="L1042">
        <v>76.17</v>
      </c>
      <c r="M1042">
        <v>17.57</v>
      </c>
      <c r="N1042">
        <v>3.2</v>
      </c>
      <c r="O1042">
        <v>3.43</v>
      </c>
      <c r="P1042">
        <v>540.63</v>
      </c>
      <c r="Q1042">
        <v>584</v>
      </c>
      <c r="R1042">
        <v>3</v>
      </c>
      <c r="S1042">
        <v>142</v>
      </c>
    </row>
    <row r="1043" spans="1:19" x14ac:dyDescent="0.3">
      <c r="A1043">
        <v>1042</v>
      </c>
      <c r="B1043" t="s">
        <v>664</v>
      </c>
      <c r="C1043">
        <v>2022</v>
      </c>
      <c r="D1043" t="s">
        <v>161</v>
      </c>
      <c r="E1043">
        <v>7</v>
      </c>
      <c r="F1043" t="s">
        <v>21</v>
      </c>
      <c r="G1043" t="s">
        <v>40</v>
      </c>
      <c r="H1043">
        <v>49.22</v>
      </c>
      <c r="I1043" t="s">
        <v>23</v>
      </c>
      <c r="J1043">
        <v>30</v>
      </c>
      <c r="K1043">
        <v>551</v>
      </c>
      <c r="L1043">
        <v>94.04</v>
      </c>
      <c r="M1043">
        <v>13.24</v>
      </c>
      <c r="N1043">
        <v>9.4600000000000009</v>
      </c>
      <c r="O1043">
        <v>8.36</v>
      </c>
      <c r="P1043">
        <v>238.97</v>
      </c>
      <c r="Q1043">
        <v>1095</v>
      </c>
      <c r="R1043">
        <v>3</v>
      </c>
      <c r="S1043">
        <v>227</v>
      </c>
    </row>
    <row r="1044" spans="1:19" x14ac:dyDescent="0.3">
      <c r="A1044">
        <v>1043</v>
      </c>
      <c r="B1044" t="s">
        <v>667</v>
      </c>
      <c r="C1044">
        <v>2022</v>
      </c>
      <c r="D1044" t="s">
        <v>161</v>
      </c>
      <c r="E1044">
        <v>7</v>
      </c>
      <c r="F1044" t="s">
        <v>62</v>
      </c>
      <c r="G1044" t="s">
        <v>26</v>
      </c>
      <c r="H1044">
        <v>27.5</v>
      </c>
      <c r="I1044" t="s">
        <v>32</v>
      </c>
      <c r="J1044">
        <v>29</v>
      </c>
      <c r="K1044">
        <v>402</v>
      </c>
      <c r="L1044">
        <v>89.56</v>
      </c>
      <c r="M1044">
        <v>32.46</v>
      </c>
      <c r="N1044">
        <v>20.49</v>
      </c>
      <c r="O1044">
        <v>10.75</v>
      </c>
      <c r="P1044">
        <v>401</v>
      </c>
      <c r="Q1044">
        <v>123</v>
      </c>
      <c r="R1044">
        <v>5</v>
      </c>
      <c r="S1044">
        <v>205</v>
      </c>
    </row>
    <row r="1045" spans="1:19" x14ac:dyDescent="0.3">
      <c r="A1045">
        <v>1044</v>
      </c>
      <c r="B1045" t="s">
        <v>654</v>
      </c>
      <c r="C1045">
        <v>2022</v>
      </c>
      <c r="D1045" t="s">
        <v>161</v>
      </c>
      <c r="E1045">
        <v>7</v>
      </c>
      <c r="F1045" t="s">
        <v>62</v>
      </c>
      <c r="G1045" t="s">
        <v>35</v>
      </c>
      <c r="H1045">
        <v>20.61</v>
      </c>
      <c r="I1045" t="s">
        <v>38</v>
      </c>
      <c r="J1045">
        <v>44</v>
      </c>
      <c r="K1045">
        <v>275</v>
      </c>
      <c r="L1045">
        <v>75.33</v>
      </c>
      <c r="M1045">
        <v>17.97</v>
      </c>
      <c r="N1045">
        <v>17.07</v>
      </c>
      <c r="O1045">
        <v>2.16</v>
      </c>
      <c r="P1045">
        <v>116.62</v>
      </c>
      <c r="Q1045">
        <v>247</v>
      </c>
      <c r="R1045">
        <v>3</v>
      </c>
      <c r="S1045">
        <v>155</v>
      </c>
    </row>
    <row r="1046" spans="1:19" x14ac:dyDescent="0.3">
      <c r="A1046">
        <v>1045</v>
      </c>
      <c r="B1046" t="s">
        <v>665</v>
      </c>
      <c r="C1046">
        <v>2022</v>
      </c>
      <c r="D1046" t="s">
        <v>161</v>
      </c>
      <c r="E1046">
        <v>7</v>
      </c>
      <c r="F1046" t="s">
        <v>25</v>
      </c>
      <c r="G1046" t="s">
        <v>40</v>
      </c>
      <c r="H1046">
        <v>13.61</v>
      </c>
      <c r="I1046" t="s">
        <v>47</v>
      </c>
      <c r="J1046">
        <v>32</v>
      </c>
      <c r="K1046">
        <v>480</v>
      </c>
      <c r="L1046">
        <v>76.569999999999993</v>
      </c>
      <c r="M1046">
        <v>22.19</v>
      </c>
      <c r="N1046">
        <v>11.22</v>
      </c>
      <c r="O1046">
        <v>11.18</v>
      </c>
      <c r="P1046">
        <v>289.64999999999998</v>
      </c>
      <c r="Q1046">
        <v>869</v>
      </c>
      <c r="R1046">
        <v>5</v>
      </c>
      <c r="S1046">
        <v>89</v>
      </c>
    </row>
    <row r="1047" spans="1:19" x14ac:dyDescent="0.3">
      <c r="A1047">
        <v>1046</v>
      </c>
      <c r="B1047" t="s">
        <v>657</v>
      </c>
      <c r="C1047">
        <v>2022</v>
      </c>
      <c r="D1047" t="s">
        <v>161</v>
      </c>
      <c r="E1047">
        <v>7</v>
      </c>
      <c r="F1047" t="s">
        <v>31</v>
      </c>
      <c r="G1047" t="s">
        <v>22</v>
      </c>
      <c r="H1047">
        <v>10.8</v>
      </c>
      <c r="I1047" t="s">
        <v>47</v>
      </c>
      <c r="J1047">
        <v>3</v>
      </c>
      <c r="K1047">
        <v>186</v>
      </c>
      <c r="L1047">
        <v>75.17</v>
      </c>
      <c r="M1047">
        <v>22.63</v>
      </c>
      <c r="N1047">
        <v>19.38</v>
      </c>
      <c r="O1047">
        <v>3.85</v>
      </c>
      <c r="P1047">
        <v>253.76</v>
      </c>
      <c r="Q1047">
        <v>258</v>
      </c>
      <c r="R1047">
        <v>1</v>
      </c>
      <c r="S1047">
        <v>120</v>
      </c>
    </row>
    <row r="1048" spans="1:19" x14ac:dyDescent="0.3">
      <c r="A1048">
        <v>1047</v>
      </c>
      <c r="B1048" t="s">
        <v>662</v>
      </c>
      <c r="C1048">
        <v>2022</v>
      </c>
      <c r="D1048" t="s">
        <v>161</v>
      </c>
      <c r="E1048">
        <v>7</v>
      </c>
      <c r="F1048" t="s">
        <v>53</v>
      </c>
      <c r="G1048" t="s">
        <v>40</v>
      </c>
      <c r="H1048">
        <v>26.27</v>
      </c>
      <c r="I1048" t="s">
        <v>23</v>
      </c>
      <c r="J1048">
        <v>16</v>
      </c>
      <c r="K1048">
        <v>112</v>
      </c>
      <c r="L1048">
        <v>82.21</v>
      </c>
      <c r="M1048">
        <v>14.69</v>
      </c>
      <c r="N1048">
        <v>8.9700000000000006</v>
      </c>
      <c r="O1048">
        <v>14.25</v>
      </c>
      <c r="P1048">
        <v>514.54999999999995</v>
      </c>
      <c r="Q1048">
        <v>160</v>
      </c>
      <c r="R1048">
        <v>4</v>
      </c>
      <c r="S1048">
        <v>142</v>
      </c>
    </row>
    <row r="1049" spans="1:19" x14ac:dyDescent="0.3">
      <c r="A1049">
        <v>1048</v>
      </c>
      <c r="B1049" t="s">
        <v>652</v>
      </c>
      <c r="C1049">
        <v>2022</v>
      </c>
      <c r="D1049" t="s">
        <v>161</v>
      </c>
      <c r="E1049">
        <v>7</v>
      </c>
      <c r="F1049" t="s">
        <v>62</v>
      </c>
      <c r="G1049" t="s">
        <v>26</v>
      </c>
      <c r="H1049">
        <v>18.29</v>
      </c>
      <c r="I1049" t="s">
        <v>32</v>
      </c>
      <c r="J1049">
        <v>45</v>
      </c>
      <c r="K1049">
        <v>200</v>
      </c>
      <c r="L1049">
        <v>84.78</v>
      </c>
      <c r="M1049">
        <v>29.06</v>
      </c>
      <c r="N1049">
        <v>7.71</v>
      </c>
      <c r="O1049">
        <v>13.27</v>
      </c>
      <c r="P1049">
        <v>447.65</v>
      </c>
      <c r="Q1049">
        <v>945</v>
      </c>
      <c r="R1049">
        <v>4</v>
      </c>
      <c r="S1049">
        <v>194</v>
      </c>
    </row>
    <row r="1050" spans="1:19" x14ac:dyDescent="0.3">
      <c r="A1050">
        <v>1049</v>
      </c>
      <c r="B1050" t="s">
        <v>661</v>
      </c>
      <c r="C1050">
        <v>2022</v>
      </c>
      <c r="D1050" t="s">
        <v>161</v>
      </c>
      <c r="E1050">
        <v>7</v>
      </c>
      <c r="F1050" t="s">
        <v>34</v>
      </c>
      <c r="G1050" t="s">
        <v>40</v>
      </c>
      <c r="H1050">
        <v>12.49</v>
      </c>
      <c r="I1050" t="s">
        <v>38</v>
      </c>
      <c r="J1050">
        <v>2</v>
      </c>
      <c r="K1050">
        <v>355</v>
      </c>
      <c r="L1050">
        <v>89.45</v>
      </c>
      <c r="M1050">
        <v>23.15</v>
      </c>
      <c r="N1050">
        <v>3.47</v>
      </c>
      <c r="O1050">
        <v>14.67</v>
      </c>
      <c r="P1050">
        <v>501.68</v>
      </c>
      <c r="Q1050">
        <v>338</v>
      </c>
      <c r="R1050">
        <v>4</v>
      </c>
      <c r="S1050">
        <v>170</v>
      </c>
    </row>
    <row r="1051" spans="1:19" x14ac:dyDescent="0.3">
      <c r="A1051">
        <v>1050</v>
      </c>
      <c r="B1051" t="s">
        <v>657</v>
      </c>
      <c r="C1051">
        <v>2022</v>
      </c>
      <c r="D1051" t="s">
        <v>161</v>
      </c>
      <c r="E1051">
        <v>7</v>
      </c>
      <c r="F1051" t="s">
        <v>25</v>
      </c>
      <c r="G1051" t="s">
        <v>35</v>
      </c>
      <c r="H1051">
        <v>54.78</v>
      </c>
      <c r="I1051" t="s">
        <v>23</v>
      </c>
      <c r="J1051">
        <v>10</v>
      </c>
      <c r="K1051">
        <v>511</v>
      </c>
      <c r="L1051">
        <v>87.31</v>
      </c>
      <c r="M1051">
        <v>19.02</v>
      </c>
      <c r="N1051">
        <v>10.4</v>
      </c>
      <c r="O1051">
        <v>14.38</v>
      </c>
      <c r="P1051">
        <v>487.54</v>
      </c>
      <c r="Q1051">
        <v>121</v>
      </c>
      <c r="R1051">
        <v>1</v>
      </c>
      <c r="S1051">
        <v>75</v>
      </c>
    </row>
    <row r="1052" spans="1:19" x14ac:dyDescent="0.3">
      <c r="A1052">
        <v>1051</v>
      </c>
      <c r="B1052" t="s">
        <v>664</v>
      </c>
      <c r="C1052">
        <v>2022</v>
      </c>
      <c r="D1052" t="s">
        <v>161</v>
      </c>
      <c r="E1052">
        <v>7</v>
      </c>
      <c r="F1052" t="s">
        <v>31</v>
      </c>
      <c r="G1052" t="s">
        <v>26</v>
      </c>
      <c r="H1052">
        <v>42.45</v>
      </c>
      <c r="I1052" t="s">
        <v>23</v>
      </c>
      <c r="J1052">
        <v>41</v>
      </c>
      <c r="K1052">
        <v>452</v>
      </c>
      <c r="L1052">
        <v>87.63</v>
      </c>
      <c r="M1052">
        <v>15.63</v>
      </c>
      <c r="N1052">
        <v>16.399999999999999</v>
      </c>
      <c r="O1052">
        <v>13.45</v>
      </c>
      <c r="P1052">
        <v>593.13</v>
      </c>
      <c r="Q1052">
        <v>976</v>
      </c>
      <c r="R1052">
        <v>1</v>
      </c>
      <c r="S1052">
        <v>232</v>
      </c>
    </row>
    <row r="1053" spans="1:19" x14ac:dyDescent="0.3">
      <c r="A1053">
        <v>1052</v>
      </c>
      <c r="B1053" t="s">
        <v>652</v>
      </c>
      <c r="C1053">
        <v>2022</v>
      </c>
      <c r="D1053" t="s">
        <v>161</v>
      </c>
      <c r="E1053">
        <v>7</v>
      </c>
      <c r="F1053" t="s">
        <v>34</v>
      </c>
      <c r="G1053" t="s">
        <v>40</v>
      </c>
      <c r="H1053">
        <v>24.23</v>
      </c>
      <c r="I1053" t="s">
        <v>32</v>
      </c>
      <c r="J1053">
        <v>21</v>
      </c>
      <c r="K1053">
        <v>308</v>
      </c>
      <c r="L1053">
        <v>79.400000000000006</v>
      </c>
      <c r="M1053">
        <v>28.9</v>
      </c>
      <c r="N1053">
        <v>17.27</v>
      </c>
      <c r="O1053">
        <v>9.7100000000000009</v>
      </c>
      <c r="P1053">
        <v>216.35</v>
      </c>
      <c r="Q1053">
        <v>189</v>
      </c>
      <c r="R1053">
        <v>5</v>
      </c>
      <c r="S1053">
        <v>138</v>
      </c>
    </row>
    <row r="1054" spans="1:19" x14ac:dyDescent="0.3">
      <c r="A1054">
        <v>1053</v>
      </c>
      <c r="B1054" t="s">
        <v>653</v>
      </c>
      <c r="C1054">
        <v>2022</v>
      </c>
      <c r="D1054" t="s">
        <v>161</v>
      </c>
      <c r="E1054">
        <v>7</v>
      </c>
      <c r="F1054" t="s">
        <v>25</v>
      </c>
      <c r="G1054" t="s">
        <v>22</v>
      </c>
      <c r="H1054">
        <v>34.69</v>
      </c>
      <c r="I1054" t="s">
        <v>32</v>
      </c>
      <c r="J1054">
        <v>18</v>
      </c>
      <c r="K1054">
        <v>450</v>
      </c>
      <c r="L1054">
        <v>76.55</v>
      </c>
      <c r="M1054">
        <v>27.56</v>
      </c>
      <c r="N1054">
        <v>6.99</v>
      </c>
      <c r="O1054">
        <v>5.12</v>
      </c>
      <c r="P1054">
        <v>564.91999999999996</v>
      </c>
      <c r="Q1054">
        <v>1034</v>
      </c>
      <c r="R1054">
        <v>5</v>
      </c>
      <c r="S1054">
        <v>224</v>
      </c>
    </row>
    <row r="1055" spans="1:19" x14ac:dyDescent="0.3">
      <c r="A1055">
        <v>1054</v>
      </c>
      <c r="B1055" t="s">
        <v>655</v>
      </c>
      <c r="C1055">
        <v>2022</v>
      </c>
      <c r="D1055" t="s">
        <v>161</v>
      </c>
      <c r="E1055">
        <v>7</v>
      </c>
      <c r="F1055" t="s">
        <v>21</v>
      </c>
      <c r="G1055" t="s">
        <v>42</v>
      </c>
      <c r="H1055">
        <v>8.8000000000000007</v>
      </c>
      <c r="I1055" t="s">
        <v>23</v>
      </c>
      <c r="J1055">
        <v>44</v>
      </c>
      <c r="K1055">
        <v>213</v>
      </c>
      <c r="L1055">
        <v>92.45</v>
      </c>
      <c r="M1055">
        <v>31.83</v>
      </c>
      <c r="N1055">
        <v>20.67</v>
      </c>
      <c r="O1055">
        <v>4.6500000000000004</v>
      </c>
      <c r="P1055">
        <v>210.54</v>
      </c>
      <c r="Q1055">
        <v>1005</v>
      </c>
      <c r="R1055">
        <v>5</v>
      </c>
      <c r="S1055">
        <v>178</v>
      </c>
    </row>
    <row r="1056" spans="1:19" x14ac:dyDescent="0.3">
      <c r="A1056">
        <v>1055</v>
      </c>
      <c r="B1056" t="s">
        <v>668</v>
      </c>
      <c r="C1056">
        <v>2022</v>
      </c>
      <c r="D1056" t="s">
        <v>161</v>
      </c>
      <c r="E1056">
        <v>8</v>
      </c>
      <c r="F1056" t="s">
        <v>53</v>
      </c>
      <c r="G1056" t="s">
        <v>22</v>
      </c>
      <c r="H1056">
        <v>44.4</v>
      </c>
      <c r="I1056" t="s">
        <v>27</v>
      </c>
      <c r="J1056">
        <v>22</v>
      </c>
      <c r="K1056">
        <v>478</v>
      </c>
      <c r="L1056">
        <v>77.02</v>
      </c>
      <c r="M1056">
        <v>5.79</v>
      </c>
      <c r="N1056">
        <v>18.52</v>
      </c>
      <c r="O1056">
        <v>7.83</v>
      </c>
      <c r="P1056">
        <v>456.14</v>
      </c>
      <c r="Q1056">
        <v>1021</v>
      </c>
      <c r="R1056">
        <v>2</v>
      </c>
      <c r="S1056">
        <v>68</v>
      </c>
    </row>
    <row r="1057" spans="1:19" x14ac:dyDescent="0.3">
      <c r="A1057">
        <v>1056</v>
      </c>
      <c r="B1057" t="s">
        <v>669</v>
      </c>
      <c r="C1057">
        <v>2022</v>
      </c>
      <c r="D1057" t="s">
        <v>161</v>
      </c>
      <c r="E1057">
        <v>8</v>
      </c>
      <c r="F1057" t="s">
        <v>25</v>
      </c>
      <c r="G1057" t="s">
        <v>35</v>
      </c>
      <c r="H1057">
        <v>36.020000000000003</v>
      </c>
      <c r="I1057" t="s">
        <v>47</v>
      </c>
      <c r="J1057">
        <v>11</v>
      </c>
      <c r="K1057">
        <v>584</v>
      </c>
      <c r="L1057">
        <v>84.04</v>
      </c>
      <c r="M1057">
        <v>25.81</v>
      </c>
      <c r="N1057">
        <v>21.07</v>
      </c>
      <c r="O1057">
        <v>13.31</v>
      </c>
      <c r="P1057">
        <v>255.32</v>
      </c>
      <c r="Q1057">
        <v>565</v>
      </c>
      <c r="R1057">
        <v>2</v>
      </c>
      <c r="S1057">
        <v>126</v>
      </c>
    </row>
    <row r="1058" spans="1:19" x14ac:dyDescent="0.3">
      <c r="A1058">
        <v>1057</v>
      </c>
      <c r="B1058" t="s">
        <v>668</v>
      </c>
      <c r="C1058">
        <v>2022</v>
      </c>
      <c r="D1058" t="s">
        <v>161</v>
      </c>
      <c r="E1058">
        <v>8</v>
      </c>
      <c r="F1058" t="s">
        <v>53</v>
      </c>
      <c r="G1058" t="s">
        <v>40</v>
      </c>
      <c r="H1058">
        <v>7.68</v>
      </c>
      <c r="I1058" t="s">
        <v>23</v>
      </c>
      <c r="J1058">
        <v>9</v>
      </c>
      <c r="K1058">
        <v>360</v>
      </c>
      <c r="L1058">
        <v>92.84</v>
      </c>
      <c r="M1058">
        <v>18.809999999999999</v>
      </c>
      <c r="N1058">
        <v>7.37</v>
      </c>
      <c r="O1058">
        <v>3.31</v>
      </c>
      <c r="P1058">
        <v>388.08</v>
      </c>
      <c r="Q1058">
        <v>127</v>
      </c>
      <c r="R1058">
        <v>3</v>
      </c>
      <c r="S1058">
        <v>99</v>
      </c>
    </row>
    <row r="1059" spans="1:19" x14ac:dyDescent="0.3">
      <c r="A1059">
        <v>1058</v>
      </c>
      <c r="B1059" t="s">
        <v>670</v>
      </c>
      <c r="C1059">
        <v>2022</v>
      </c>
      <c r="D1059" t="s">
        <v>161</v>
      </c>
      <c r="E1059">
        <v>8</v>
      </c>
      <c r="F1059" t="s">
        <v>25</v>
      </c>
      <c r="G1059" t="s">
        <v>26</v>
      </c>
      <c r="H1059">
        <v>23.27</v>
      </c>
      <c r="I1059" t="s">
        <v>27</v>
      </c>
      <c r="J1059">
        <v>13</v>
      </c>
      <c r="K1059">
        <v>406</v>
      </c>
      <c r="L1059">
        <v>91.96</v>
      </c>
      <c r="M1059">
        <v>34.270000000000003</v>
      </c>
      <c r="N1059">
        <v>18.350000000000001</v>
      </c>
      <c r="O1059">
        <v>8.4700000000000006</v>
      </c>
      <c r="P1059">
        <v>557.96</v>
      </c>
      <c r="Q1059">
        <v>160</v>
      </c>
      <c r="R1059">
        <v>1</v>
      </c>
      <c r="S1059">
        <v>231</v>
      </c>
    </row>
    <row r="1060" spans="1:19" x14ac:dyDescent="0.3">
      <c r="A1060">
        <v>1059</v>
      </c>
      <c r="B1060" t="s">
        <v>670</v>
      </c>
      <c r="C1060">
        <v>2022</v>
      </c>
      <c r="D1060" t="s">
        <v>161</v>
      </c>
      <c r="E1060">
        <v>8</v>
      </c>
      <c r="F1060" t="s">
        <v>29</v>
      </c>
      <c r="G1060" t="s">
        <v>26</v>
      </c>
      <c r="H1060">
        <v>27.35</v>
      </c>
      <c r="I1060" t="s">
        <v>47</v>
      </c>
      <c r="J1060">
        <v>50</v>
      </c>
      <c r="K1060">
        <v>353</v>
      </c>
      <c r="L1060">
        <v>85.71</v>
      </c>
      <c r="M1060">
        <v>7.55</v>
      </c>
      <c r="N1060">
        <v>15.57</v>
      </c>
      <c r="O1060">
        <v>8.8699999999999992</v>
      </c>
      <c r="P1060">
        <v>192.17</v>
      </c>
      <c r="Q1060">
        <v>455</v>
      </c>
      <c r="R1060">
        <v>4</v>
      </c>
      <c r="S1060">
        <v>95</v>
      </c>
    </row>
    <row r="1061" spans="1:19" x14ac:dyDescent="0.3">
      <c r="A1061">
        <v>1060</v>
      </c>
      <c r="B1061" t="s">
        <v>671</v>
      </c>
      <c r="C1061">
        <v>2022</v>
      </c>
      <c r="D1061" t="s">
        <v>161</v>
      </c>
      <c r="E1061">
        <v>8</v>
      </c>
      <c r="F1061" t="s">
        <v>29</v>
      </c>
      <c r="G1061" t="s">
        <v>40</v>
      </c>
      <c r="H1061">
        <v>42.02</v>
      </c>
      <c r="I1061" t="s">
        <v>27</v>
      </c>
      <c r="J1061">
        <v>4</v>
      </c>
      <c r="K1061">
        <v>509</v>
      </c>
      <c r="L1061">
        <v>79.900000000000006</v>
      </c>
      <c r="M1061">
        <v>9.4700000000000006</v>
      </c>
      <c r="N1061">
        <v>18.48</v>
      </c>
      <c r="O1061">
        <v>3.17</v>
      </c>
      <c r="P1061">
        <v>444.61</v>
      </c>
      <c r="Q1061">
        <v>652</v>
      </c>
      <c r="R1061">
        <v>5</v>
      </c>
      <c r="S1061">
        <v>186</v>
      </c>
    </row>
    <row r="1062" spans="1:19" x14ac:dyDescent="0.3">
      <c r="A1062">
        <v>1061</v>
      </c>
      <c r="B1062" t="s">
        <v>672</v>
      </c>
      <c r="C1062">
        <v>2022</v>
      </c>
      <c r="D1062" t="s">
        <v>161</v>
      </c>
      <c r="E1062">
        <v>8</v>
      </c>
      <c r="F1062" t="s">
        <v>29</v>
      </c>
      <c r="G1062" t="s">
        <v>35</v>
      </c>
      <c r="H1062">
        <v>38.47</v>
      </c>
      <c r="I1062" t="s">
        <v>23</v>
      </c>
      <c r="J1062">
        <v>46</v>
      </c>
      <c r="K1062">
        <v>532</v>
      </c>
      <c r="L1062">
        <v>82.79</v>
      </c>
      <c r="M1062">
        <v>14.41</v>
      </c>
      <c r="N1062">
        <v>4.37</v>
      </c>
      <c r="O1062">
        <v>1.34</v>
      </c>
      <c r="P1062">
        <v>236.75</v>
      </c>
      <c r="Q1062">
        <v>837</v>
      </c>
      <c r="R1062">
        <v>5</v>
      </c>
      <c r="S1062">
        <v>50</v>
      </c>
    </row>
    <row r="1063" spans="1:19" x14ac:dyDescent="0.3">
      <c r="A1063">
        <v>1062</v>
      </c>
      <c r="B1063" t="s">
        <v>673</v>
      </c>
      <c r="C1063">
        <v>2022</v>
      </c>
      <c r="D1063" t="s">
        <v>161</v>
      </c>
      <c r="E1063">
        <v>8</v>
      </c>
      <c r="F1063" t="s">
        <v>53</v>
      </c>
      <c r="G1063" t="s">
        <v>26</v>
      </c>
      <c r="H1063">
        <v>47.57</v>
      </c>
      <c r="I1063" t="s">
        <v>38</v>
      </c>
      <c r="J1063">
        <v>28</v>
      </c>
      <c r="K1063">
        <v>175</v>
      </c>
      <c r="L1063">
        <v>84.87</v>
      </c>
      <c r="M1063">
        <v>7.35</v>
      </c>
      <c r="N1063">
        <v>10.33</v>
      </c>
      <c r="O1063">
        <v>12.63</v>
      </c>
      <c r="P1063">
        <v>128.69</v>
      </c>
      <c r="Q1063">
        <v>262</v>
      </c>
      <c r="R1063">
        <v>5</v>
      </c>
      <c r="S1063">
        <v>56</v>
      </c>
    </row>
    <row r="1064" spans="1:19" x14ac:dyDescent="0.3">
      <c r="A1064">
        <v>1063</v>
      </c>
      <c r="B1064" t="s">
        <v>674</v>
      </c>
      <c r="C1064">
        <v>2022</v>
      </c>
      <c r="D1064" t="s">
        <v>161</v>
      </c>
      <c r="E1064">
        <v>8</v>
      </c>
      <c r="F1064" t="s">
        <v>31</v>
      </c>
      <c r="G1064" t="s">
        <v>35</v>
      </c>
      <c r="H1064">
        <v>36.200000000000003</v>
      </c>
      <c r="I1064" t="s">
        <v>27</v>
      </c>
      <c r="J1064">
        <v>1</v>
      </c>
      <c r="K1064">
        <v>261</v>
      </c>
      <c r="L1064">
        <v>89.62</v>
      </c>
      <c r="M1064">
        <v>20.84</v>
      </c>
      <c r="N1064">
        <v>3.45</v>
      </c>
      <c r="O1064">
        <v>10.3</v>
      </c>
      <c r="P1064">
        <v>234.24</v>
      </c>
      <c r="Q1064">
        <v>256</v>
      </c>
      <c r="R1064">
        <v>2</v>
      </c>
      <c r="S1064">
        <v>203</v>
      </c>
    </row>
    <row r="1065" spans="1:19" x14ac:dyDescent="0.3">
      <c r="A1065">
        <v>1064</v>
      </c>
      <c r="B1065" t="s">
        <v>671</v>
      </c>
      <c r="C1065">
        <v>2022</v>
      </c>
      <c r="D1065" t="s">
        <v>161</v>
      </c>
      <c r="E1065">
        <v>8</v>
      </c>
      <c r="F1065" t="s">
        <v>31</v>
      </c>
      <c r="G1065" t="s">
        <v>42</v>
      </c>
      <c r="H1065">
        <v>44.45</v>
      </c>
      <c r="I1065" t="s">
        <v>27</v>
      </c>
      <c r="J1065">
        <v>34</v>
      </c>
      <c r="K1065">
        <v>593</v>
      </c>
      <c r="L1065">
        <v>75.94</v>
      </c>
      <c r="M1065">
        <v>22.77</v>
      </c>
      <c r="N1065">
        <v>3.53</v>
      </c>
      <c r="O1065">
        <v>3.02</v>
      </c>
      <c r="P1065">
        <v>289.8</v>
      </c>
      <c r="Q1065">
        <v>907</v>
      </c>
      <c r="R1065">
        <v>1</v>
      </c>
      <c r="S1065">
        <v>188</v>
      </c>
    </row>
    <row r="1066" spans="1:19" x14ac:dyDescent="0.3">
      <c r="A1066">
        <v>1065</v>
      </c>
      <c r="B1066" t="s">
        <v>675</v>
      </c>
      <c r="C1066">
        <v>2022</v>
      </c>
      <c r="D1066" t="s">
        <v>161</v>
      </c>
      <c r="E1066">
        <v>8</v>
      </c>
      <c r="F1066" t="s">
        <v>53</v>
      </c>
      <c r="G1066" t="s">
        <v>42</v>
      </c>
      <c r="H1066">
        <v>9.0399999999999991</v>
      </c>
      <c r="I1066" t="s">
        <v>23</v>
      </c>
      <c r="J1066">
        <v>28</v>
      </c>
      <c r="K1066">
        <v>471</v>
      </c>
      <c r="L1066">
        <v>88.04</v>
      </c>
      <c r="M1066">
        <v>29.97</v>
      </c>
      <c r="N1066">
        <v>17.100000000000001</v>
      </c>
      <c r="O1066">
        <v>14.06</v>
      </c>
      <c r="P1066">
        <v>576.36</v>
      </c>
      <c r="Q1066">
        <v>643</v>
      </c>
      <c r="R1066">
        <v>4</v>
      </c>
      <c r="S1066">
        <v>63</v>
      </c>
    </row>
    <row r="1067" spans="1:19" x14ac:dyDescent="0.3">
      <c r="A1067">
        <v>1066</v>
      </c>
      <c r="B1067" t="s">
        <v>675</v>
      </c>
      <c r="C1067">
        <v>2022</v>
      </c>
      <c r="D1067" t="s">
        <v>161</v>
      </c>
      <c r="E1067">
        <v>8</v>
      </c>
      <c r="F1067" t="s">
        <v>25</v>
      </c>
      <c r="G1067" t="s">
        <v>40</v>
      </c>
      <c r="H1067">
        <v>38.39</v>
      </c>
      <c r="I1067" t="s">
        <v>23</v>
      </c>
      <c r="J1067">
        <v>19</v>
      </c>
      <c r="K1067">
        <v>137</v>
      </c>
      <c r="L1067">
        <v>75.319999999999993</v>
      </c>
      <c r="M1067">
        <v>12.06</v>
      </c>
      <c r="N1067">
        <v>16.61</v>
      </c>
      <c r="O1067">
        <v>11.89</v>
      </c>
      <c r="P1067">
        <v>343.18</v>
      </c>
      <c r="Q1067">
        <v>823</v>
      </c>
      <c r="R1067">
        <v>3</v>
      </c>
      <c r="S1067">
        <v>93</v>
      </c>
    </row>
    <row r="1068" spans="1:19" x14ac:dyDescent="0.3">
      <c r="A1068">
        <v>1067</v>
      </c>
      <c r="B1068" t="s">
        <v>676</v>
      </c>
      <c r="C1068">
        <v>2022</v>
      </c>
      <c r="D1068" t="s">
        <v>161</v>
      </c>
      <c r="E1068">
        <v>8</v>
      </c>
      <c r="F1068" t="s">
        <v>34</v>
      </c>
      <c r="G1068" t="s">
        <v>22</v>
      </c>
      <c r="H1068">
        <v>51.56</v>
      </c>
      <c r="I1068" t="s">
        <v>38</v>
      </c>
      <c r="J1068">
        <v>24</v>
      </c>
      <c r="K1068">
        <v>254</v>
      </c>
      <c r="L1068">
        <v>91.33</v>
      </c>
      <c r="M1068">
        <v>30.18</v>
      </c>
      <c r="N1068">
        <v>20.12</v>
      </c>
      <c r="O1068">
        <v>6.4</v>
      </c>
      <c r="P1068">
        <v>457.03</v>
      </c>
      <c r="Q1068">
        <v>506</v>
      </c>
      <c r="R1068">
        <v>3</v>
      </c>
      <c r="S1068">
        <v>87</v>
      </c>
    </row>
    <row r="1069" spans="1:19" x14ac:dyDescent="0.3">
      <c r="A1069">
        <v>1068</v>
      </c>
      <c r="B1069" t="s">
        <v>677</v>
      </c>
      <c r="C1069">
        <v>2022</v>
      </c>
      <c r="D1069" t="s">
        <v>161</v>
      </c>
      <c r="E1069">
        <v>8</v>
      </c>
      <c r="F1069" t="s">
        <v>29</v>
      </c>
      <c r="G1069" t="s">
        <v>42</v>
      </c>
      <c r="H1069">
        <v>45.66</v>
      </c>
      <c r="I1069" t="s">
        <v>32</v>
      </c>
      <c r="J1069">
        <v>8</v>
      </c>
      <c r="K1069">
        <v>414</v>
      </c>
      <c r="L1069">
        <v>79.67</v>
      </c>
      <c r="M1069">
        <v>5.04</v>
      </c>
      <c r="N1069">
        <v>12.72</v>
      </c>
      <c r="O1069">
        <v>2.71</v>
      </c>
      <c r="P1069">
        <v>584.25</v>
      </c>
      <c r="Q1069">
        <v>160</v>
      </c>
      <c r="R1069">
        <v>1</v>
      </c>
      <c r="S1069">
        <v>93</v>
      </c>
    </row>
    <row r="1070" spans="1:19" x14ac:dyDescent="0.3">
      <c r="A1070">
        <v>1069</v>
      </c>
      <c r="B1070" t="s">
        <v>669</v>
      </c>
      <c r="C1070">
        <v>2022</v>
      </c>
      <c r="D1070" t="s">
        <v>161</v>
      </c>
      <c r="E1070">
        <v>8</v>
      </c>
      <c r="F1070" t="s">
        <v>29</v>
      </c>
      <c r="G1070" t="s">
        <v>26</v>
      </c>
      <c r="H1070">
        <v>20.22</v>
      </c>
      <c r="I1070" t="s">
        <v>32</v>
      </c>
      <c r="J1070">
        <v>7</v>
      </c>
      <c r="K1070">
        <v>430</v>
      </c>
      <c r="L1070">
        <v>86</v>
      </c>
      <c r="M1070">
        <v>12.08</v>
      </c>
      <c r="N1070">
        <v>5.0599999999999996</v>
      </c>
      <c r="O1070">
        <v>2.35</v>
      </c>
      <c r="P1070">
        <v>300.45</v>
      </c>
      <c r="Q1070">
        <v>316</v>
      </c>
      <c r="R1070">
        <v>1</v>
      </c>
      <c r="S1070">
        <v>106</v>
      </c>
    </row>
    <row r="1071" spans="1:19" x14ac:dyDescent="0.3">
      <c r="A1071">
        <v>1070</v>
      </c>
      <c r="B1071" t="s">
        <v>678</v>
      </c>
      <c r="C1071">
        <v>2022</v>
      </c>
      <c r="D1071" t="s">
        <v>161</v>
      </c>
      <c r="E1071">
        <v>8</v>
      </c>
      <c r="F1071" t="s">
        <v>25</v>
      </c>
      <c r="G1071" t="s">
        <v>26</v>
      </c>
      <c r="H1071">
        <v>54.47</v>
      </c>
      <c r="I1071" t="s">
        <v>32</v>
      </c>
      <c r="J1071">
        <v>23</v>
      </c>
      <c r="K1071">
        <v>102</v>
      </c>
      <c r="L1071">
        <v>88.19</v>
      </c>
      <c r="M1071">
        <v>34.92</v>
      </c>
      <c r="N1071">
        <v>7.86</v>
      </c>
      <c r="O1071">
        <v>12.87</v>
      </c>
      <c r="P1071">
        <v>516.64</v>
      </c>
      <c r="Q1071">
        <v>614</v>
      </c>
      <c r="R1071">
        <v>1</v>
      </c>
      <c r="S1071">
        <v>229</v>
      </c>
    </row>
    <row r="1072" spans="1:19" x14ac:dyDescent="0.3">
      <c r="A1072">
        <v>1071</v>
      </c>
      <c r="B1072" t="s">
        <v>671</v>
      </c>
      <c r="C1072">
        <v>2022</v>
      </c>
      <c r="D1072" t="s">
        <v>161</v>
      </c>
      <c r="E1072">
        <v>8</v>
      </c>
      <c r="F1072" t="s">
        <v>31</v>
      </c>
      <c r="G1072" t="s">
        <v>42</v>
      </c>
      <c r="H1072">
        <v>19.010000000000002</v>
      </c>
      <c r="I1072" t="s">
        <v>38</v>
      </c>
      <c r="J1072">
        <v>50</v>
      </c>
      <c r="K1072">
        <v>306</v>
      </c>
      <c r="L1072">
        <v>76.81</v>
      </c>
      <c r="M1072">
        <v>14.36</v>
      </c>
      <c r="N1072">
        <v>14.02</v>
      </c>
      <c r="O1072">
        <v>4.5999999999999996</v>
      </c>
      <c r="P1072">
        <v>305.8</v>
      </c>
      <c r="Q1072">
        <v>990</v>
      </c>
      <c r="R1072">
        <v>1</v>
      </c>
      <c r="S1072">
        <v>82</v>
      </c>
    </row>
    <row r="1073" spans="1:19" x14ac:dyDescent="0.3">
      <c r="A1073">
        <v>1072</v>
      </c>
      <c r="B1073" t="s">
        <v>679</v>
      </c>
      <c r="C1073">
        <v>2022</v>
      </c>
      <c r="D1073" t="s">
        <v>161</v>
      </c>
      <c r="E1073">
        <v>8</v>
      </c>
      <c r="F1073" t="s">
        <v>31</v>
      </c>
      <c r="G1073" t="s">
        <v>35</v>
      </c>
      <c r="H1073">
        <v>34.81</v>
      </c>
      <c r="I1073" t="s">
        <v>23</v>
      </c>
      <c r="J1073">
        <v>8</v>
      </c>
      <c r="K1073">
        <v>190</v>
      </c>
      <c r="L1073">
        <v>90.73</v>
      </c>
      <c r="M1073">
        <v>16.05</v>
      </c>
      <c r="N1073">
        <v>20.91</v>
      </c>
      <c r="O1073">
        <v>1.75</v>
      </c>
      <c r="P1073">
        <v>184.1</v>
      </c>
      <c r="Q1073">
        <v>113</v>
      </c>
      <c r="R1073">
        <v>2</v>
      </c>
      <c r="S1073">
        <v>216</v>
      </c>
    </row>
    <row r="1074" spans="1:19" x14ac:dyDescent="0.3">
      <c r="A1074">
        <v>1073</v>
      </c>
      <c r="B1074" t="s">
        <v>670</v>
      </c>
      <c r="C1074">
        <v>2022</v>
      </c>
      <c r="D1074" t="s">
        <v>161</v>
      </c>
      <c r="E1074">
        <v>8</v>
      </c>
      <c r="F1074" t="s">
        <v>53</v>
      </c>
      <c r="G1074" t="s">
        <v>26</v>
      </c>
      <c r="H1074">
        <v>52.38</v>
      </c>
      <c r="I1074" t="s">
        <v>47</v>
      </c>
      <c r="J1074">
        <v>22</v>
      </c>
      <c r="K1074">
        <v>166</v>
      </c>
      <c r="L1074">
        <v>80.489999999999995</v>
      </c>
      <c r="M1074">
        <v>7.14</v>
      </c>
      <c r="N1074">
        <v>18.57</v>
      </c>
      <c r="O1074">
        <v>7.13</v>
      </c>
      <c r="P1074">
        <v>274.39999999999998</v>
      </c>
      <c r="Q1074">
        <v>137</v>
      </c>
      <c r="R1074">
        <v>1</v>
      </c>
      <c r="S1074">
        <v>183</v>
      </c>
    </row>
    <row r="1075" spans="1:19" x14ac:dyDescent="0.3">
      <c r="A1075">
        <v>1074</v>
      </c>
      <c r="B1075" t="s">
        <v>680</v>
      </c>
      <c r="C1075">
        <v>2022</v>
      </c>
      <c r="D1075" t="s">
        <v>161</v>
      </c>
      <c r="E1075">
        <v>8</v>
      </c>
      <c r="F1075" t="s">
        <v>34</v>
      </c>
      <c r="G1075" t="s">
        <v>26</v>
      </c>
      <c r="H1075">
        <v>6.65</v>
      </c>
      <c r="I1075" t="s">
        <v>23</v>
      </c>
      <c r="J1075">
        <v>1</v>
      </c>
      <c r="K1075">
        <v>410</v>
      </c>
      <c r="L1075">
        <v>83.63</v>
      </c>
      <c r="M1075">
        <v>34.950000000000003</v>
      </c>
      <c r="N1075">
        <v>11.19</v>
      </c>
      <c r="O1075">
        <v>2.64</v>
      </c>
      <c r="P1075">
        <v>328.89</v>
      </c>
      <c r="Q1075">
        <v>605</v>
      </c>
      <c r="R1075">
        <v>1</v>
      </c>
      <c r="S1075">
        <v>65</v>
      </c>
    </row>
    <row r="1076" spans="1:19" x14ac:dyDescent="0.3">
      <c r="A1076">
        <v>1075</v>
      </c>
      <c r="B1076" t="s">
        <v>674</v>
      </c>
      <c r="C1076">
        <v>2022</v>
      </c>
      <c r="D1076" t="s">
        <v>161</v>
      </c>
      <c r="E1076">
        <v>8</v>
      </c>
      <c r="F1076" t="s">
        <v>21</v>
      </c>
      <c r="G1076" t="s">
        <v>22</v>
      </c>
      <c r="H1076">
        <v>54.06</v>
      </c>
      <c r="I1076" t="s">
        <v>23</v>
      </c>
      <c r="J1076">
        <v>42</v>
      </c>
      <c r="K1076">
        <v>511</v>
      </c>
      <c r="L1076">
        <v>76.239999999999995</v>
      </c>
      <c r="M1076">
        <v>5.44</v>
      </c>
      <c r="N1076">
        <v>14.22</v>
      </c>
      <c r="O1076">
        <v>14.1</v>
      </c>
      <c r="P1076">
        <v>567.04999999999995</v>
      </c>
      <c r="Q1076">
        <v>450</v>
      </c>
      <c r="R1076">
        <v>2</v>
      </c>
      <c r="S1076">
        <v>130</v>
      </c>
    </row>
    <row r="1077" spans="1:19" x14ac:dyDescent="0.3">
      <c r="A1077">
        <v>1076</v>
      </c>
      <c r="B1077" t="s">
        <v>672</v>
      </c>
      <c r="C1077">
        <v>2022</v>
      </c>
      <c r="D1077" t="s">
        <v>161</v>
      </c>
      <c r="E1077">
        <v>8</v>
      </c>
      <c r="F1077" t="s">
        <v>25</v>
      </c>
      <c r="G1077" t="s">
        <v>35</v>
      </c>
      <c r="H1077">
        <v>13.64</v>
      </c>
      <c r="I1077" t="s">
        <v>27</v>
      </c>
      <c r="J1077">
        <v>13</v>
      </c>
      <c r="K1077">
        <v>318</v>
      </c>
      <c r="L1077">
        <v>81.55</v>
      </c>
      <c r="M1077">
        <v>27.01</v>
      </c>
      <c r="N1077">
        <v>18.45</v>
      </c>
      <c r="O1077">
        <v>13.61</v>
      </c>
      <c r="P1077">
        <v>159.33000000000001</v>
      </c>
      <c r="Q1077">
        <v>390</v>
      </c>
      <c r="R1077">
        <v>2</v>
      </c>
      <c r="S1077">
        <v>109</v>
      </c>
    </row>
    <row r="1078" spans="1:19" x14ac:dyDescent="0.3">
      <c r="A1078">
        <v>1077</v>
      </c>
      <c r="B1078" t="s">
        <v>675</v>
      </c>
      <c r="C1078">
        <v>2022</v>
      </c>
      <c r="D1078" t="s">
        <v>161</v>
      </c>
      <c r="E1078">
        <v>8</v>
      </c>
      <c r="F1078" t="s">
        <v>31</v>
      </c>
      <c r="G1078" t="s">
        <v>40</v>
      </c>
      <c r="H1078">
        <v>17.61</v>
      </c>
      <c r="I1078" t="s">
        <v>23</v>
      </c>
      <c r="J1078">
        <v>1</v>
      </c>
      <c r="K1078">
        <v>278</v>
      </c>
      <c r="L1078">
        <v>76.260000000000005</v>
      </c>
      <c r="M1078">
        <v>13.87</v>
      </c>
      <c r="N1078">
        <v>9.31</v>
      </c>
      <c r="O1078">
        <v>3.07</v>
      </c>
      <c r="P1078">
        <v>415.11</v>
      </c>
      <c r="Q1078">
        <v>959</v>
      </c>
      <c r="R1078">
        <v>2</v>
      </c>
      <c r="S1078">
        <v>155</v>
      </c>
    </row>
    <row r="1079" spans="1:19" x14ac:dyDescent="0.3">
      <c r="A1079">
        <v>1078</v>
      </c>
      <c r="B1079" t="s">
        <v>672</v>
      </c>
      <c r="C1079">
        <v>2022</v>
      </c>
      <c r="D1079" t="s">
        <v>161</v>
      </c>
      <c r="E1079">
        <v>8</v>
      </c>
      <c r="F1079" t="s">
        <v>62</v>
      </c>
      <c r="G1079" t="s">
        <v>26</v>
      </c>
      <c r="H1079">
        <v>24.36</v>
      </c>
      <c r="I1079" t="s">
        <v>38</v>
      </c>
      <c r="J1079">
        <v>25</v>
      </c>
      <c r="K1079">
        <v>312</v>
      </c>
      <c r="L1079">
        <v>93.85</v>
      </c>
      <c r="M1079">
        <v>21.52</v>
      </c>
      <c r="N1079">
        <v>13.52</v>
      </c>
      <c r="O1079">
        <v>1.48</v>
      </c>
      <c r="P1079">
        <v>235.67</v>
      </c>
      <c r="Q1079">
        <v>881</v>
      </c>
      <c r="R1079">
        <v>3</v>
      </c>
      <c r="S1079">
        <v>70</v>
      </c>
    </row>
    <row r="1080" spans="1:19" x14ac:dyDescent="0.3">
      <c r="A1080">
        <v>1079</v>
      </c>
      <c r="B1080" t="s">
        <v>679</v>
      </c>
      <c r="C1080">
        <v>2022</v>
      </c>
      <c r="D1080" t="s">
        <v>161</v>
      </c>
      <c r="E1080">
        <v>8</v>
      </c>
      <c r="F1080" t="s">
        <v>34</v>
      </c>
      <c r="G1080" t="s">
        <v>35</v>
      </c>
      <c r="H1080">
        <v>14.79</v>
      </c>
      <c r="I1080" t="s">
        <v>47</v>
      </c>
      <c r="J1080">
        <v>16</v>
      </c>
      <c r="K1080">
        <v>446</v>
      </c>
      <c r="L1080">
        <v>91.48</v>
      </c>
      <c r="M1080">
        <v>29.81</v>
      </c>
      <c r="N1080">
        <v>13.18</v>
      </c>
      <c r="O1080">
        <v>2.48</v>
      </c>
      <c r="P1080">
        <v>508.62</v>
      </c>
      <c r="Q1080">
        <v>209</v>
      </c>
      <c r="R1080">
        <v>3</v>
      </c>
      <c r="S1080">
        <v>100</v>
      </c>
    </row>
    <row r="1081" spans="1:19" x14ac:dyDescent="0.3">
      <c r="A1081">
        <v>1080</v>
      </c>
      <c r="B1081" t="s">
        <v>671</v>
      </c>
      <c r="C1081">
        <v>2022</v>
      </c>
      <c r="D1081" t="s">
        <v>161</v>
      </c>
      <c r="E1081">
        <v>8</v>
      </c>
      <c r="F1081" t="s">
        <v>37</v>
      </c>
      <c r="G1081" t="s">
        <v>26</v>
      </c>
      <c r="H1081">
        <v>34.31</v>
      </c>
      <c r="I1081" t="s">
        <v>23</v>
      </c>
      <c r="J1081">
        <v>43</v>
      </c>
      <c r="K1081">
        <v>143</v>
      </c>
      <c r="L1081">
        <v>90.23</v>
      </c>
      <c r="M1081">
        <v>30.7</v>
      </c>
      <c r="N1081">
        <v>21.35</v>
      </c>
      <c r="O1081">
        <v>11.73</v>
      </c>
      <c r="P1081">
        <v>254.71</v>
      </c>
      <c r="Q1081">
        <v>452</v>
      </c>
      <c r="R1081">
        <v>4</v>
      </c>
      <c r="S1081">
        <v>70</v>
      </c>
    </row>
    <row r="1082" spans="1:19" x14ac:dyDescent="0.3">
      <c r="A1082">
        <v>1081</v>
      </c>
      <c r="B1082" t="s">
        <v>681</v>
      </c>
      <c r="C1082">
        <v>2022</v>
      </c>
      <c r="D1082" t="s">
        <v>161</v>
      </c>
      <c r="E1082">
        <v>8</v>
      </c>
      <c r="F1082" t="s">
        <v>25</v>
      </c>
      <c r="G1082" t="s">
        <v>42</v>
      </c>
      <c r="H1082">
        <v>27.07</v>
      </c>
      <c r="I1082" t="s">
        <v>38</v>
      </c>
      <c r="J1082">
        <v>26</v>
      </c>
      <c r="K1082">
        <v>378</v>
      </c>
      <c r="L1082">
        <v>75.94</v>
      </c>
      <c r="M1082">
        <v>30.39</v>
      </c>
      <c r="N1082">
        <v>4.26</v>
      </c>
      <c r="O1082">
        <v>3.78</v>
      </c>
      <c r="P1082">
        <v>324.97000000000003</v>
      </c>
      <c r="Q1082">
        <v>385</v>
      </c>
      <c r="R1082">
        <v>1</v>
      </c>
      <c r="S1082">
        <v>242</v>
      </c>
    </row>
    <row r="1083" spans="1:19" x14ac:dyDescent="0.3">
      <c r="A1083">
        <v>1082</v>
      </c>
      <c r="B1083" t="s">
        <v>670</v>
      </c>
      <c r="C1083">
        <v>2022</v>
      </c>
      <c r="D1083" t="s">
        <v>161</v>
      </c>
      <c r="E1083">
        <v>8</v>
      </c>
      <c r="F1083" t="s">
        <v>21</v>
      </c>
      <c r="G1083" t="s">
        <v>35</v>
      </c>
      <c r="H1083">
        <v>9.69</v>
      </c>
      <c r="I1083" t="s">
        <v>32</v>
      </c>
      <c r="J1083">
        <v>21</v>
      </c>
      <c r="K1083">
        <v>341</v>
      </c>
      <c r="L1083">
        <v>84.09</v>
      </c>
      <c r="M1083">
        <v>14.83</v>
      </c>
      <c r="N1083">
        <v>9.7200000000000006</v>
      </c>
      <c r="O1083">
        <v>13.86</v>
      </c>
      <c r="P1083">
        <v>135.97</v>
      </c>
      <c r="Q1083">
        <v>124</v>
      </c>
      <c r="R1083">
        <v>5</v>
      </c>
      <c r="S1083">
        <v>79</v>
      </c>
    </row>
    <row r="1084" spans="1:19" x14ac:dyDescent="0.3">
      <c r="A1084">
        <v>1083</v>
      </c>
      <c r="B1084" t="s">
        <v>682</v>
      </c>
      <c r="C1084">
        <v>2022</v>
      </c>
      <c r="D1084" t="s">
        <v>161</v>
      </c>
      <c r="E1084">
        <v>8</v>
      </c>
      <c r="F1084" t="s">
        <v>53</v>
      </c>
      <c r="G1084" t="s">
        <v>26</v>
      </c>
      <c r="H1084">
        <v>23.52</v>
      </c>
      <c r="I1084" t="s">
        <v>47</v>
      </c>
      <c r="J1084">
        <v>6</v>
      </c>
      <c r="K1084">
        <v>596</v>
      </c>
      <c r="L1084">
        <v>77.78</v>
      </c>
      <c r="M1084">
        <v>25.58</v>
      </c>
      <c r="N1084">
        <v>17.88</v>
      </c>
      <c r="O1084">
        <v>8.7799999999999994</v>
      </c>
      <c r="P1084">
        <v>586.24</v>
      </c>
      <c r="Q1084">
        <v>1061</v>
      </c>
      <c r="R1084">
        <v>4</v>
      </c>
      <c r="S1084">
        <v>67</v>
      </c>
    </row>
    <row r="1085" spans="1:19" x14ac:dyDescent="0.3">
      <c r="A1085">
        <v>1084</v>
      </c>
      <c r="B1085" t="s">
        <v>677</v>
      </c>
      <c r="C1085">
        <v>2022</v>
      </c>
      <c r="D1085" t="s">
        <v>161</v>
      </c>
      <c r="E1085">
        <v>8</v>
      </c>
      <c r="F1085" t="s">
        <v>21</v>
      </c>
      <c r="G1085" t="s">
        <v>22</v>
      </c>
      <c r="H1085">
        <v>25.5</v>
      </c>
      <c r="I1085" t="s">
        <v>27</v>
      </c>
      <c r="J1085">
        <v>48</v>
      </c>
      <c r="K1085">
        <v>411</v>
      </c>
      <c r="L1085">
        <v>91.03</v>
      </c>
      <c r="M1085">
        <v>25.89</v>
      </c>
      <c r="N1085">
        <v>9.9499999999999993</v>
      </c>
      <c r="O1085">
        <v>1.6</v>
      </c>
      <c r="P1085">
        <v>432.71</v>
      </c>
      <c r="Q1085">
        <v>378</v>
      </c>
      <c r="R1085">
        <v>3</v>
      </c>
      <c r="S1085">
        <v>107</v>
      </c>
    </row>
    <row r="1086" spans="1:19" x14ac:dyDescent="0.3">
      <c r="A1086">
        <v>1085</v>
      </c>
      <c r="B1086" t="s">
        <v>678</v>
      </c>
      <c r="C1086">
        <v>2022</v>
      </c>
      <c r="D1086" t="s">
        <v>161</v>
      </c>
      <c r="E1086">
        <v>8</v>
      </c>
      <c r="F1086" t="s">
        <v>34</v>
      </c>
      <c r="G1086" t="s">
        <v>42</v>
      </c>
      <c r="H1086">
        <v>16.7</v>
      </c>
      <c r="I1086" t="s">
        <v>32</v>
      </c>
      <c r="J1086">
        <v>41</v>
      </c>
      <c r="K1086">
        <v>431</v>
      </c>
      <c r="L1086">
        <v>82.17</v>
      </c>
      <c r="M1086">
        <v>9.2100000000000009</v>
      </c>
      <c r="N1086">
        <v>19.84</v>
      </c>
      <c r="O1086">
        <v>11.02</v>
      </c>
      <c r="P1086">
        <v>553.92999999999995</v>
      </c>
      <c r="Q1086">
        <v>275</v>
      </c>
      <c r="R1086">
        <v>2</v>
      </c>
      <c r="S1086">
        <v>185</v>
      </c>
    </row>
    <row r="1087" spans="1:19" x14ac:dyDescent="0.3">
      <c r="A1087">
        <v>1086</v>
      </c>
      <c r="B1087" t="s">
        <v>683</v>
      </c>
      <c r="C1087">
        <v>2022</v>
      </c>
      <c r="D1087" t="s">
        <v>161</v>
      </c>
      <c r="E1087">
        <v>8</v>
      </c>
      <c r="F1087" t="s">
        <v>25</v>
      </c>
      <c r="G1087" t="s">
        <v>40</v>
      </c>
      <c r="H1087">
        <v>19.41</v>
      </c>
      <c r="I1087" t="s">
        <v>32</v>
      </c>
      <c r="J1087">
        <v>26</v>
      </c>
      <c r="K1087">
        <v>151</v>
      </c>
      <c r="L1087">
        <v>91.33</v>
      </c>
      <c r="M1087">
        <v>12.45</v>
      </c>
      <c r="N1087">
        <v>14.43</v>
      </c>
      <c r="O1087">
        <v>15.19</v>
      </c>
      <c r="P1087">
        <v>578.23</v>
      </c>
      <c r="Q1087">
        <v>478</v>
      </c>
      <c r="R1087">
        <v>3</v>
      </c>
      <c r="S1087">
        <v>245</v>
      </c>
    </row>
    <row r="1088" spans="1:19" x14ac:dyDescent="0.3">
      <c r="A1088">
        <v>1087</v>
      </c>
      <c r="B1088" t="s">
        <v>681</v>
      </c>
      <c r="C1088">
        <v>2022</v>
      </c>
      <c r="D1088" t="s">
        <v>161</v>
      </c>
      <c r="E1088">
        <v>8</v>
      </c>
      <c r="F1088" t="s">
        <v>31</v>
      </c>
      <c r="G1088" t="s">
        <v>35</v>
      </c>
      <c r="H1088">
        <v>17.72</v>
      </c>
      <c r="I1088" t="s">
        <v>38</v>
      </c>
      <c r="J1088">
        <v>2</v>
      </c>
      <c r="K1088">
        <v>268</v>
      </c>
      <c r="L1088">
        <v>81.849999999999994</v>
      </c>
      <c r="M1088">
        <v>17.04</v>
      </c>
      <c r="N1088">
        <v>7.93</v>
      </c>
      <c r="O1088">
        <v>9.1300000000000008</v>
      </c>
      <c r="P1088">
        <v>370.43</v>
      </c>
      <c r="Q1088">
        <v>892</v>
      </c>
      <c r="R1088">
        <v>1</v>
      </c>
      <c r="S1088">
        <v>161</v>
      </c>
    </row>
    <row r="1089" spans="1:19" x14ac:dyDescent="0.3">
      <c r="A1089">
        <v>1088</v>
      </c>
      <c r="B1089" t="s">
        <v>671</v>
      </c>
      <c r="C1089">
        <v>2022</v>
      </c>
      <c r="D1089" t="s">
        <v>161</v>
      </c>
      <c r="E1089">
        <v>8</v>
      </c>
      <c r="F1089" t="s">
        <v>62</v>
      </c>
      <c r="G1089" t="s">
        <v>26</v>
      </c>
      <c r="H1089">
        <v>44.49</v>
      </c>
      <c r="I1089" t="s">
        <v>38</v>
      </c>
      <c r="J1089">
        <v>39</v>
      </c>
      <c r="K1089">
        <v>267</v>
      </c>
      <c r="L1089">
        <v>88.52</v>
      </c>
      <c r="M1089">
        <v>24.53</v>
      </c>
      <c r="N1089">
        <v>18.32</v>
      </c>
      <c r="O1089">
        <v>7.59</v>
      </c>
      <c r="P1089">
        <v>324.25</v>
      </c>
      <c r="Q1089">
        <v>346</v>
      </c>
      <c r="R1089">
        <v>1</v>
      </c>
      <c r="S1089">
        <v>59</v>
      </c>
    </row>
    <row r="1090" spans="1:19" x14ac:dyDescent="0.3">
      <c r="A1090">
        <v>1089</v>
      </c>
      <c r="B1090" t="s">
        <v>684</v>
      </c>
      <c r="C1090">
        <v>2022</v>
      </c>
      <c r="D1090" t="s">
        <v>161</v>
      </c>
      <c r="E1090">
        <v>9</v>
      </c>
      <c r="F1090" t="s">
        <v>25</v>
      </c>
      <c r="G1090" t="s">
        <v>40</v>
      </c>
      <c r="H1090">
        <v>33.43</v>
      </c>
      <c r="I1090" t="s">
        <v>47</v>
      </c>
      <c r="J1090">
        <v>11</v>
      </c>
      <c r="K1090">
        <v>401</v>
      </c>
      <c r="L1090">
        <v>90.91</v>
      </c>
      <c r="M1090">
        <v>34.14</v>
      </c>
      <c r="N1090">
        <v>13.48</v>
      </c>
      <c r="O1090">
        <v>4.7</v>
      </c>
      <c r="P1090">
        <v>534.39</v>
      </c>
      <c r="Q1090">
        <v>766</v>
      </c>
      <c r="R1090">
        <v>5</v>
      </c>
      <c r="S1090">
        <v>223</v>
      </c>
    </row>
    <row r="1091" spans="1:19" x14ac:dyDescent="0.3">
      <c r="A1091">
        <v>1090</v>
      </c>
      <c r="B1091" t="s">
        <v>685</v>
      </c>
      <c r="C1091">
        <v>2022</v>
      </c>
      <c r="D1091" t="s">
        <v>161</v>
      </c>
      <c r="E1091">
        <v>9</v>
      </c>
      <c r="F1091" t="s">
        <v>25</v>
      </c>
      <c r="G1091" t="s">
        <v>35</v>
      </c>
      <c r="H1091">
        <v>18.73</v>
      </c>
      <c r="I1091" t="s">
        <v>32</v>
      </c>
      <c r="J1091">
        <v>6</v>
      </c>
      <c r="K1091">
        <v>511</v>
      </c>
      <c r="L1091">
        <v>91.19</v>
      </c>
      <c r="M1091">
        <v>23.91</v>
      </c>
      <c r="N1091">
        <v>4.57</v>
      </c>
      <c r="O1091">
        <v>14.14</v>
      </c>
      <c r="P1091">
        <v>302.94</v>
      </c>
      <c r="Q1091">
        <v>542</v>
      </c>
      <c r="R1091">
        <v>1</v>
      </c>
      <c r="S1091">
        <v>77</v>
      </c>
    </row>
    <row r="1092" spans="1:19" x14ac:dyDescent="0.3">
      <c r="A1092">
        <v>1091</v>
      </c>
      <c r="B1092" t="s">
        <v>685</v>
      </c>
      <c r="C1092">
        <v>2022</v>
      </c>
      <c r="D1092" t="s">
        <v>161</v>
      </c>
      <c r="E1092">
        <v>9</v>
      </c>
      <c r="F1092" t="s">
        <v>31</v>
      </c>
      <c r="G1092" t="s">
        <v>35</v>
      </c>
      <c r="H1092">
        <v>21.66</v>
      </c>
      <c r="I1092" t="s">
        <v>23</v>
      </c>
      <c r="J1092">
        <v>22</v>
      </c>
      <c r="K1092">
        <v>122</v>
      </c>
      <c r="L1092">
        <v>82.67</v>
      </c>
      <c r="M1092">
        <v>34.340000000000003</v>
      </c>
      <c r="N1092">
        <v>13.25</v>
      </c>
      <c r="O1092">
        <v>3.58</v>
      </c>
      <c r="P1092">
        <v>393.06</v>
      </c>
      <c r="Q1092">
        <v>612</v>
      </c>
      <c r="R1092">
        <v>3</v>
      </c>
      <c r="S1092">
        <v>104</v>
      </c>
    </row>
    <row r="1093" spans="1:19" x14ac:dyDescent="0.3">
      <c r="A1093">
        <v>1092</v>
      </c>
      <c r="B1093" t="s">
        <v>686</v>
      </c>
      <c r="C1093">
        <v>2022</v>
      </c>
      <c r="D1093" t="s">
        <v>161</v>
      </c>
      <c r="E1093">
        <v>9</v>
      </c>
      <c r="F1093" t="s">
        <v>29</v>
      </c>
      <c r="G1093" t="s">
        <v>42</v>
      </c>
      <c r="H1093">
        <v>18.420000000000002</v>
      </c>
      <c r="I1093" t="s">
        <v>47</v>
      </c>
      <c r="J1093">
        <v>28</v>
      </c>
      <c r="K1093">
        <v>261</v>
      </c>
      <c r="L1093">
        <v>87.88</v>
      </c>
      <c r="M1093">
        <v>17.48</v>
      </c>
      <c r="N1093">
        <v>6.73</v>
      </c>
      <c r="O1093">
        <v>6.69</v>
      </c>
      <c r="P1093">
        <v>254.05</v>
      </c>
      <c r="Q1093">
        <v>790</v>
      </c>
      <c r="R1093">
        <v>3</v>
      </c>
      <c r="S1093">
        <v>196</v>
      </c>
    </row>
    <row r="1094" spans="1:19" x14ac:dyDescent="0.3">
      <c r="A1094">
        <v>1093</v>
      </c>
      <c r="B1094" t="s">
        <v>687</v>
      </c>
      <c r="C1094">
        <v>2022</v>
      </c>
      <c r="D1094" t="s">
        <v>161</v>
      </c>
      <c r="E1094">
        <v>9</v>
      </c>
      <c r="F1094" t="s">
        <v>25</v>
      </c>
      <c r="G1094" t="s">
        <v>42</v>
      </c>
      <c r="H1094">
        <v>38.549999999999997</v>
      </c>
      <c r="I1094" t="s">
        <v>23</v>
      </c>
      <c r="J1094">
        <v>31</v>
      </c>
      <c r="K1094">
        <v>436</v>
      </c>
      <c r="L1094">
        <v>75.25</v>
      </c>
      <c r="M1094">
        <v>26.12</v>
      </c>
      <c r="N1094">
        <v>4.18</v>
      </c>
      <c r="O1094">
        <v>15.04</v>
      </c>
      <c r="P1094">
        <v>113.4</v>
      </c>
      <c r="Q1094">
        <v>744</v>
      </c>
      <c r="R1094">
        <v>3</v>
      </c>
      <c r="S1094">
        <v>91</v>
      </c>
    </row>
    <row r="1095" spans="1:19" x14ac:dyDescent="0.3">
      <c r="A1095">
        <v>1094</v>
      </c>
      <c r="B1095" t="s">
        <v>688</v>
      </c>
      <c r="C1095">
        <v>2022</v>
      </c>
      <c r="D1095" t="s">
        <v>161</v>
      </c>
      <c r="E1095">
        <v>9</v>
      </c>
      <c r="F1095" t="s">
        <v>34</v>
      </c>
      <c r="G1095" t="s">
        <v>42</v>
      </c>
      <c r="H1095">
        <v>46.98</v>
      </c>
      <c r="I1095" t="s">
        <v>38</v>
      </c>
      <c r="J1095">
        <v>26</v>
      </c>
      <c r="K1095">
        <v>432</v>
      </c>
      <c r="L1095">
        <v>86.37</v>
      </c>
      <c r="M1095">
        <v>11.55</v>
      </c>
      <c r="N1095">
        <v>3.84</v>
      </c>
      <c r="O1095">
        <v>13.39</v>
      </c>
      <c r="P1095">
        <v>133.47999999999999</v>
      </c>
      <c r="Q1095">
        <v>854</v>
      </c>
      <c r="R1095">
        <v>5</v>
      </c>
      <c r="S1095">
        <v>153</v>
      </c>
    </row>
    <row r="1096" spans="1:19" x14ac:dyDescent="0.3">
      <c r="A1096">
        <v>1095</v>
      </c>
      <c r="B1096" t="s">
        <v>689</v>
      </c>
      <c r="C1096">
        <v>2022</v>
      </c>
      <c r="D1096" t="s">
        <v>161</v>
      </c>
      <c r="E1096">
        <v>9</v>
      </c>
      <c r="F1096" t="s">
        <v>21</v>
      </c>
      <c r="G1096" t="s">
        <v>22</v>
      </c>
      <c r="H1096">
        <v>23.32</v>
      </c>
      <c r="I1096" t="s">
        <v>23</v>
      </c>
      <c r="J1096">
        <v>40</v>
      </c>
      <c r="K1096">
        <v>168</v>
      </c>
      <c r="L1096">
        <v>90.28</v>
      </c>
      <c r="M1096">
        <v>13.27</v>
      </c>
      <c r="N1096">
        <v>15.96</v>
      </c>
      <c r="O1096">
        <v>6.08</v>
      </c>
      <c r="P1096">
        <v>322.18</v>
      </c>
      <c r="Q1096">
        <v>406</v>
      </c>
      <c r="R1096">
        <v>3</v>
      </c>
      <c r="S1096">
        <v>181</v>
      </c>
    </row>
    <row r="1097" spans="1:19" x14ac:dyDescent="0.3">
      <c r="A1097">
        <v>1096</v>
      </c>
      <c r="B1097" t="s">
        <v>690</v>
      </c>
      <c r="C1097">
        <v>2022</v>
      </c>
      <c r="D1097" t="s">
        <v>161</v>
      </c>
      <c r="E1097">
        <v>9</v>
      </c>
      <c r="F1097" t="s">
        <v>34</v>
      </c>
      <c r="G1097" t="s">
        <v>26</v>
      </c>
      <c r="H1097">
        <v>50.23</v>
      </c>
      <c r="I1097" t="s">
        <v>47</v>
      </c>
      <c r="J1097">
        <v>47</v>
      </c>
      <c r="K1097">
        <v>241</v>
      </c>
      <c r="L1097">
        <v>82.63</v>
      </c>
      <c r="M1097">
        <v>18.45</v>
      </c>
      <c r="N1097">
        <v>12.52</v>
      </c>
      <c r="O1097">
        <v>15.2</v>
      </c>
      <c r="P1097">
        <v>354.4</v>
      </c>
      <c r="Q1097">
        <v>412</v>
      </c>
      <c r="R1097">
        <v>2</v>
      </c>
      <c r="S1097">
        <v>191</v>
      </c>
    </row>
    <row r="1098" spans="1:19" x14ac:dyDescent="0.3">
      <c r="A1098">
        <v>1097</v>
      </c>
      <c r="B1098" t="s">
        <v>691</v>
      </c>
      <c r="C1098">
        <v>2022</v>
      </c>
      <c r="D1098" t="s">
        <v>161</v>
      </c>
      <c r="E1098">
        <v>9</v>
      </c>
      <c r="F1098" t="s">
        <v>62</v>
      </c>
      <c r="G1098" t="s">
        <v>22</v>
      </c>
      <c r="H1098">
        <v>22.43</v>
      </c>
      <c r="I1098" t="s">
        <v>32</v>
      </c>
      <c r="J1098">
        <v>9</v>
      </c>
      <c r="K1098">
        <v>141</v>
      </c>
      <c r="L1098">
        <v>85.39</v>
      </c>
      <c r="M1098">
        <v>17.3</v>
      </c>
      <c r="N1098">
        <v>14.94</v>
      </c>
      <c r="O1098">
        <v>5.2</v>
      </c>
      <c r="P1098">
        <v>246.25</v>
      </c>
      <c r="Q1098">
        <v>819</v>
      </c>
      <c r="R1098">
        <v>2</v>
      </c>
      <c r="S1098">
        <v>91</v>
      </c>
    </row>
    <row r="1099" spans="1:19" x14ac:dyDescent="0.3">
      <c r="A1099">
        <v>1098</v>
      </c>
      <c r="B1099" t="s">
        <v>692</v>
      </c>
      <c r="C1099">
        <v>2022</v>
      </c>
      <c r="D1099" t="s">
        <v>161</v>
      </c>
      <c r="E1099">
        <v>9</v>
      </c>
      <c r="F1099" t="s">
        <v>37</v>
      </c>
      <c r="G1099" t="s">
        <v>35</v>
      </c>
      <c r="H1099">
        <v>21.41</v>
      </c>
      <c r="I1099" t="s">
        <v>38</v>
      </c>
      <c r="J1099">
        <v>39</v>
      </c>
      <c r="K1099">
        <v>588</v>
      </c>
      <c r="L1099">
        <v>88.05</v>
      </c>
      <c r="M1099">
        <v>26.04</v>
      </c>
      <c r="N1099">
        <v>7.41</v>
      </c>
      <c r="O1099">
        <v>11.85</v>
      </c>
      <c r="P1099">
        <v>177.13</v>
      </c>
      <c r="Q1099">
        <v>383</v>
      </c>
      <c r="R1099">
        <v>3</v>
      </c>
      <c r="S1099">
        <v>148</v>
      </c>
    </row>
    <row r="1100" spans="1:19" x14ac:dyDescent="0.3">
      <c r="A1100">
        <v>1099</v>
      </c>
      <c r="B1100" t="s">
        <v>693</v>
      </c>
      <c r="C1100">
        <v>2022</v>
      </c>
      <c r="D1100" t="s">
        <v>161</v>
      </c>
      <c r="E1100">
        <v>9</v>
      </c>
      <c r="F1100" t="s">
        <v>62</v>
      </c>
      <c r="G1100" t="s">
        <v>40</v>
      </c>
      <c r="H1100">
        <v>43.56</v>
      </c>
      <c r="I1100" t="s">
        <v>32</v>
      </c>
      <c r="J1100">
        <v>1</v>
      </c>
      <c r="K1100">
        <v>141</v>
      </c>
      <c r="L1100">
        <v>88.99</v>
      </c>
      <c r="M1100">
        <v>16.82</v>
      </c>
      <c r="N1100">
        <v>11.03</v>
      </c>
      <c r="O1100">
        <v>15.06</v>
      </c>
      <c r="P1100">
        <v>275.33999999999997</v>
      </c>
      <c r="Q1100">
        <v>238</v>
      </c>
      <c r="R1100">
        <v>5</v>
      </c>
      <c r="S1100">
        <v>177</v>
      </c>
    </row>
    <row r="1101" spans="1:19" x14ac:dyDescent="0.3">
      <c r="A1101">
        <v>1100</v>
      </c>
      <c r="B1101" t="s">
        <v>685</v>
      </c>
      <c r="C1101">
        <v>2022</v>
      </c>
      <c r="D1101" t="s">
        <v>161</v>
      </c>
      <c r="E1101">
        <v>9</v>
      </c>
      <c r="F1101" t="s">
        <v>53</v>
      </c>
      <c r="G1101" t="s">
        <v>22</v>
      </c>
      <c r="H1101">
        <v>26.77</v>
      </c>
      <c r="I1101" t="s">
        <v>47</v>
      </c>
      <c r="J1101">
        <v>1</v>
      </c>
      <c r="K1101">
        <v>380</v>
      </c>
      <c r="L1101">
        <v>89.31</v>
      </c>
      <c r="M1101">
        <v>15.54</v>
      </c>
      <c r="N1101">
        <v>14.7</v>
      </c>
      <c r="O1101">
        <v>8.7100000000000009</v>
      </c>
      <c r="P1101">
        <v>342.99</v>
      </c>
      <c r="Q1101">
        <v>896</v>
      </c>
      <c r="R1101">
        <v>4</v>
      </c>
      <c r="S1101">
        <v>166</v>
      </c>
    </row>
    <row r="1102" spans="1:19" x14ac:dyDescent="0.3">
      <c r="A1102">
        <v>1101</v>
      </c>
      <c r="B1102" t="s">
        <v>694</v>
      </c>
      <c r="C1102">
        <v>2022</v>
      </c>
      <c r="D1102" t="s">
        <v>161</v>
      </c>
      <c r="E1102">
        <v>9</v>
      </c>
      <c r="F1102" t="s">
        <v>62</v>
      </c>
      <c r="G1102" t="s">
        <v>40</v>
      </c>
      <c r="H1102">
        <v>40.54</v>
      </c>
      <c r="I1102" t="s">
        <v>23</v>
      </c>
      <c r="J1102">
        <v>41</v>
      </c>
      <c r="K1102">
        <v>218</v>
      </c>
      <c r="L1102">
        <v>88.77</v>
      </c>
      <c r="M1102">
        <v>9.35</v>
      </c>
      <c r="N1102">
        <v>14.96</v>
      </c>
      <c r="O1102">
        <v>2.2000000000000002</v>
      </c>
      <c r="P1102">
        <v>595.51</v>
      </c>
      <c r="Q1102">
        <v>154</v>
      </c>
      <c r="R1102">
        <v>1</v>
      </c>
      <c r="S1102">
        <v>83</v>
      </c>
    </row>
    <row r="1103" spans="1:19" x14ac:dyDescent="0.3">
      <c r="A1103">
        <v>1102</v>
      </c>
      <c r="B1103" t="s">
        <v>695</v>
      </c>
      <c r="C1103">
        <v>2022</v>
      </c>
      <c r="D1103" t="s">
        <v>161</v>
      </c>
      <c r="E1103">
        <v>9</v>
      </c>
      <c r="F1103" t="s">
        <v>62</v>
      </c>
      <c r="G1103" t="s">
        <v>40</v>
      </c>
      <c r="H1103">
        <v>8.1199999999999992</v>
      </c>
      <c r="I1103" t="s">
        <v>38</v>
      </c>
      <c r="J1103">
        <v>42</v>
      </c>
      <c r="K1103">
        <v>420</v>
      </c>
      <c r="L1103">
        <v>80.099999999999994</v>
      </c>
      <c r="M1103">
        <v>21.56</v>
      </c>
      <c r="N1103">
        <v>14.01</v>
      </c>
      <c r="O1103">
        <v>15.4</v>
      </c>
      <c r="P1103">
        <v>396.17</v>
      </c>
      <c r="Q1103">
        <v>880</v>
      </c>
      <c r="R1103">
        <v>5</v>
      </c>
      <c r="S1103">
        <v>219</v>
      </c>
    </row>
    <row r="1104" spans="1:19" x14ac:dyDescent="0.3">
      <c r="A1104">
        <v>1103</v>
      </c>
      <c r="B1104" t="s">
        <v>696</v>
      </c>
      <c r="C1104">
        <v>2022</v>
      </c>
      <c r="D1104" t="s">
        <v>161</v>
      </c>
      <c r="E1104">
        <v>9</v>
      </c>
      <c r="F1104" t="s">
        <v>37</v>
      </c>
      <c r="G1104" t="s">
        <v>22</v>
      </c>
      <c r="H1104">
        <v>12.79</v>
      </c>
      <c r="I1104" t="s">
        <v>32</v>
      </c>
      <c r="J1104">
        <v>47</v>
      </c>
      <c r="K1104">
        <v>390</v>
      </c>
      <c r="L1104">
        <v>77.709999999999994</v>
      </c>
      <c r="M1104">
        <v>21.31</v>
      </c>
      <c r="N1104">
        <v>9.36</v>
      </c>
      <c r="O1104">
        <v>2.93</v>
      </c>
      <c r="P1104">
        <v>500.88</v>
      </c>
      <c r="Q1104">
        <v>559</v>
      </c>
      <c r="R1104">
        <v>4</v>
      </c>
      <c r="S1104">
        <v>214</v>
      </c>
    </row>
    <row r="1105" spans="1:19" x14ac:dyDescent="0.3">
      <c r="A1105">
        <v>1104</v>
      </c>
      <c r="B1105" t="s">
        <v>691</v>
      </c>
      <c r="C1105">
        <v>2022</v>
      </c>
      <c r="D1105" t="s">
        <v>161</v>
      </c>
      <c r="E1105">
        <v>9</v>
      </c>
      <c r="F1105" t="s">
        <v>37</v>
      </c>
      <c r="G1105" t="s">
        <v>35</v>
      </c>
      <c r="H1105">
        <v>52.08</v>
      </c>
      <c r="I1105" t="s">
        <v>47</v>
      </c>
      <c r="J1105">
        <v>1</v>
      </c>
      <c r="K1105">
        <v>386</v>
      </c>
      <c r="L1105">
        <v>89.46</v>
      </c>
      <c r="M1105">
        <v>25.61</v>
      </c>
      <c r="N1105">
        <v>7.46</v>
      </c>
      <c r="O1105">
        <v>4.21</v>
      </c>
      <c r="P1105">
        <v>350.85</v>
      </c>
      <c r="Q1105">
        <v>751</v>
      </c>
      <c r="R1105">
        <v>2</v>
      </c>
      <c r="S1105">
        <v>188</v>
      </c>
    </row>
    <row r="1106" spans="1:19" x14ac:dyDescent="0.3">
      <c r="A1106">
        <v>1105</v>
      </c>
      <c r="B1106" t="s">
        <v>697</v>
      </c>
      <c r="C1106">
        <v>2022</v>
      </c>
      <c r="D1106" t="s">
        <v>161</v>
      </c>
      <c r="E1106">
        <v>9</v>
      </c>
      <c r="F1106" t="s">
        <v>29</v>
      </c>
      <c r="G1106" t="s">
        <v>26</v>
      </c>
      <c r="H1106">
        <v>49.66</v>
      </c>
      <c r="I1106" t="s">
        <v>38</v>
      </c>
      <c r="J1106">
        <v>45</v>
      </c>
      <c r="K1106">
        <v>588</v>
      </c>
      <c r="L1106">
        <v>84.17</v>
      </c>
      <c r="M1106">
        <v>13.7</v>
      </c>
      <c r="N1106">
        <v>4.21</v>
      </c>
      <c r="O1106">
        <v>9.8000000000000007</v>
      </c>
      <c r="P1106">
        <v>327.13</v>
      </c>
      <c r="Q1106">
        <v>820</v>
      </c>
      <c r="R1106">
        <v>1</v>
      </c>
      <c r="S1106">
        <v>225</v>
      </c>
    </row>
    <row r="1107" spans="1:19" x14ac:dyDescent="0.3">
      <c r="A1107">
        <v>1106</v>
      </c>
      <c r="B1107" t="s">
        <v>698</v>
      </c>
      <c r="C1107">
        <v>2022</v>
      </c>
      <c r="D1107" t="s">
        <v>161</v>
      </c>
      <c r="E1107">
        <v>9</v>
      </c>
      <c r="F1107" t="s">
        <v>21</v>
      </c>
      <c r="G1107" t="s">
        <v>40</v>
      </c>
      <c r="H1107">
        <v>53.84</v>
      </c>
      <c r="I1107" t="s">
        <v>47</v>
      </c>
      <c r="J1107">
        <v>34</v>
      </c>
      <c r="K1107">
        <v>219</v>
      </c>
      <c r="L1107">
        <v>89.4</v>
      </c>
      <c r="M1107">
        <v>13.83</v>
      </c>
      <c r="N1107">
        <v>14.78</v>
      </c>
      <c r="O1107">
        <v>4.12</v>
      </c>
      <c r="P1107">
        <v>162.56</v>
      </c>
      <c r="Q1107">
        <v>333</v>
      </c>
      <c r="R1107">
        <v>1</v>
      </c>
      <c r="S1107">
        <v>70</v>
      </c>
    </row>
    <row r="1108" spans="1:19" x14ac:dyDescent="0.3">
      <c r="A1108">
        <v>1107</v>
      </c>
      <c r="B1108" t="s">
        <v>692</v>
      </c>
      <c r="C1108">
        <v>2022</v>
      </c>
      <c r="D1108" t="s">
        <v>161</v>
      </c>
      <c r="E1108">
        <v>9</v>
      </c>
      <c r="F1108" t="s">
        <v>53</v>
      </c>
      <c r="G1108" t="s">
        <v>40</v>
      </c>
      <c r="H1108">
        <v>54.51</v>
      </c>
      <c r="I1108" t="s">
        <v>27</v>
      </c>
      <c r="J1108">
        <v>48</v>
      </c>
      <c r="K1108">
        <v>151</v>
      </c>
      <c r="L1108">
        <v>87.9</v>
      </c>
      <c r="M1108">
        <v>23.15</v>
      </c>
      <c r="N1108">
        <v>19.420000000000002</v>
      </c>
      <c r="O1108">
        <v>9.33</v>
      </c>
      <c r="P1108">
        <v>480.75</v>
      </c>
      <c r="Q1108">
        <v>363</v>
      </c>
      <c r="R1108">
        <v>3</v>
      </c>
      <c r="S1108">
        <v>200</v>
      </c>
    </row>
    <row r="1109" spans="1:19" x14ac:dyDescent="0.3">
      <c r="A1109">
        <v>1108</v>
      </c>
      <c r="B1109" t="s">
        <v>694</v>
      </c>
      <c r="C1109">
        <v>2022</v>
      </c>
      <c r="D1109" t="s">
        <v>161</v>
      </c>
      <c r="E1109">
        <v>9</v>
      </c>
      <c r="F1109" t="s">
        <v>21</v>
      </c>
      <c r="G1109" t="s">
        <v>35</v>
      </c>
      <c r="H1109">
        <v>52.45</v>
      </c>
      <c r="I1109" t="s">
        <v>23</v>
      </c>
      <c r="J1109">
        <v>40</v>
      </c>
      <c r="K1109">
        <v>106</v>
      </c>
      <c r="L1109">
        <v>81.08</v>
      </c>
      <c r="M1109">
        <v>24.7</v>
      </c>
      <c r="N1109">
        <v>15.74</v>
      </c>
      <c r="O1109">
        <v>8.39</v>
      </c>
      <c r="P1109">
        <v>363.4</v>
      </c>
      <c r="Q1109">
        <v>332</v>
      </c>
      <c r="R1109">
        <v>5</v>
      </c>
      <c r="S1109">
        <v>147</v>
      </c>
    </row>
    <row r="1110" spans="1:19" x14ac:dyDescent="0.3">
      <c r="A1110">
        <v>1109</v>
      </c>
      <c r="B1110" t="s">
        <v>699</v>
      </c>
      <c r="C1110">
        <v>2022</v>
      </c>
      <c r="D1110" t="s">
        <v>161</v>
      </c>
      <c r="E1110">
        <v>9</v>
      </c>
      <c r="F1110" t="s">
        <v>21</v>
      </c>
      <c r="G1110" t="s">
        <v>26</v>
      </c>
      <c r="H1110">
        <v>31.51</v>
      </c>
      <c r="I1110" t="s">
        <v>27</v>
      </c>
      <c r="J1110">
        <v>25</v>
      </c>
      <c r="K1110">
        <v>575</v>
      </c>
      <c r="L1110">
        <v>85.52</v>
      </c>
      <c r="M1110">
        <v>21.67</v>
      </c>
      <c r="N1110">
        <v>15.62</v>
      </c>
      <c r="O1110">
        <v>2.21</v>
      </c>
      <c r="P1110">
        <v>488.9</v>
      </c>
      <c r="Q1110">
        <v>511</v>
      </c>
      <c r="R1110">
        <v>1</v>
      </c>
      <c r="S1110">
        <v>97</v>
      </c>
    </row>
    <row r="1111" spans="1:19" x14ac:dyDescent="0.3">
      <c r="A1111">
        <v>1110</v>
      </c>
      <c r="B1111" t="s">
        <v>700</v>
      </c>
      <c r="C1111">
        <v>2022</v>
      </c>
      <c r="D1111" t="s">
        <v>161</v>
      </c>
      <c r="E1111">
        <v>9</v>
      </c>
      <c r="F1111" t="s">
        <v>62</v>
      </c>
      <c r="G1111" t="s">
        <v>40</v>
      </c>
      <c r="H1111">
        <v>31.77</v>
      </c>
      <c r="I1111" t="s">
        <v>32</v>
      </c>
      <c r="J1111">
        <v>12</v>
      </c>
      <c r="K1111">
        <v>206</v>
      </c>
      <c r="L1111">
        <v>91.11</v>
      </c>
      <c r="M1111">
        <v>16.350000000000001</v>
      </c>
      <c r="N1111">
        <v>13.43</v>
      </c>
      <c r="O1111">
        <v>1.97</v>
      </c>
      <c r="P1111">
        <v>140.61000000000001</v>
      </c>
      <c r="Q1111">
        <v>791</v>
      </c>
      <c r="R1111">
        <v>5</v>
      </c>
      <c r="S1111">
        <v>246</v>
      </c>
    </row>
    <row r="1112" spans="1:19" x14ac:dyDescent="0.3">
      <c r="A1112">
        <v>1111</v>
      </c>
      <c r="B1112" t="s">
        <v>701</v>
      </c>
      <c r="C1112">
        <v>2022</v>
      </c>
      <c r="D1112" t="s">
        <v>161</v>
      </c>
      <c r="E1112">
        <v>9</v>
      </c>
      <c r="F1112" t="s">
        <v>53</v>
      </c>
      <c r="G1112" t="s">
        <v>42</v>
      </c>
      <c r="H1112">
        <v>47.41</v>
      </c>
      <c r="I1112" t="s">
        <v>23</v>
      </c>
      <c r="J1112">
        <v>27</v>
      </c>
      <c r="K1112">
        <v>118</v>
      </c>
      <c r="L1112">
        <v>82.89</v>
      </c>
      <c r="M1112">
        <v>24.72</v>
      </c>
      <c r="N1112">
        <v>14.8</v>
      </c>
      <c r="O1112">
        <v>5.9</v>
      </c>
      <c r="P1112">
        <v>417.74</v>
      </c>
      <c r="Q1112">
        <v>586</v>
      </c>
      <c r="R1112">
        <v>2</v>
      </c>
      <c r="S1112">
        <v>167</v>
      </c>
    </row>
    <row r="1113" spans="1:19" x14ac:dyDescent="0.3">
      <c r="A1113">
        <v>1112</v>
      </c>
      <c r="B1113" t="s">
        <v>688</v>
      </c>
      <c r="C1113">
        <v>2022</v>
      </c>
      <c r="D1113" t="s">
        <v>161</v>
      </c>
      <c r="E1113">
        <v>9</v>
      </c>
      <c r="F1113" t="s">
        <v>53</v>
      </c>
      <c r="G1113" t="s">
        <v>35</v>
      </c>
      <c r="H1113">
        <v>44.23</v>
      </c>
      <c r="I1113" t="s">
        <v>47</v>
      </c>
      <c r="J1113">
        <v>7</v>
      </c>
      <c r="K1113">
        <v>398</v>
      </c>
      <c r="L1113">
        <v>80.63</v>
      </c>
      <c r="M1113">
        <v>18.100000000000001</v>
      </c>
      <c r="N1113">
        <v>6.47</v>
      </c>
      <c r="O1113">
        <v>12.26</v>
      </c>
      <c r="P1113">
        <v>342.61</v>
      </c>
      <c r="Q1113">
        <v>549</v>
      </c>
      <c r="R1113">
        <v>2</v>
      </c>
      <c r="S1113">
        <v>195</v>
      </c>
    </row>
    <row r="1114" spans="1:19" x14ac:dyDescent="0.3">
      <c r="A1114">
        <v>1113</v>
      </c>
      <c r="B1114" t="s">
        <v>702</v>
      </c>
      <c r="C1114">
        <v>2022</v>
      </c>
      <c r="D1114" t="s">
        <v>161</v>
      </c>
      <c r="E1114">
        <v>9</v>
      </c>
      <c r="F1114" t="s">
        <v>21</v>
      </c>
      <c r="G1114" t="s">
        <v>35</v>
      </c>
      <c r="H1114">
        <v>28.06</v>
      </c>
      <c r="I1114" t="s">
        <v>47</v>
      </c>
      <c r="J1114">
        <v>5</v>
      </c>
      <c r="K1114">
        <v>206</v>
      </c>
      <c r="L1114">
        <v>92.5</v>
      </c>
      <c r="M1114">
        <v>18.07</v>
      </c>
      <c r="N1114">
        <v>14.9</v>
      </c>
      <c r="O1114">
        <v>8.7799999999999994</v>
      </c>
      <c r="P1114">
        <v>404.13</v>
      </c>
      <c r="Q1114">
        <v>1042</v>
      </c>
      <c r="R1114">
        <v>1</v>
      </c>
      <c r="S1114">
        <v>186</v>
      </c>
    </row>
    <row r="1115" spans="1:19" x14ac:dyDescent="0.3">
      <c r="A1115">
        <v>1114</v>
      </c>
      <c r="B1115" t="s">
        <v>703</v>
      </c>
      <c r="C1115">
        <v>2022</v>
      </c>
      <c r="D1115" t="s">
        <v>161</v>
      </c>
      <c r="E1115">
        <v>9</v>
      </c>
      <c r="F1115" t="s">
        <v>53</v>
      </c>
      <c r="G1115" t="s">
        <v>26</v>
      </c>
      <c r="H1115">
        <v>39.369999999999997</v>
      </c>
      <c r="I1115" t="s">
        <v>47</v>
      </c>
      <c r="J1115">
        <v>7</v>
      </c>
      <c r="K1115">
        <v>530</v>
      </c>
      <c r="L1115">
        <v>88.59</v>
      </c>
      <c r="M1115">
        <v>23.09</v>
      </c>
      <c r="N1115">
        <v>13.91</v>
      </c>
      <c r="O1115">
        <v>12.64</v>
      </c>
      <c r="P1115">
        <v>454.73</v>
      </c>
      <c r="Q1115">
        <v>402</v>
      </c>
      <c r="R1115">
        <v>1</v>
      </c>
      <c r="S1115">
        <v>62</v>
      </c>
    </row>
    <row r="1116" spans="1:19" x14ac:dyDescent="0.3">
      <c r="A1116">
        <v>1115</v>
      </c>
      <c r="B1116" t="s">
        <v>704</v>
      </c>
      <c r="C1116">
        <v>2022</v>
      </c>
      <c r="D1116" t="s">
        <v>161</v>
      </c>
      <c r="E1116">
        <v>9</v>
      </c>
      <c r="F1116" t="s">
        <v>29</v>
      </c>
      <c r="G1116" t="s">
        <v>40</v>
      </c>
      <c r="H1116">
        <v>52.99</v>
      </c>
      <c r="I1116" t="s">
        <v>27</v>
      </c>
      <c r="J1116">
        <v>27</v>
      </c>
      <c r="K1116">
        <v>297</v>
      </c>
      <c r="L1116">
        <v>83.65</v>
      </c>
      <c r="M1116">
        <v>11.93</v>
      </c>
      <c r="N1116">
        <v>6.09</v>
      </c>
      <c r="O1116">
        <v>4.1399999999999997</v>
      </c>
      <c r="P1116">
        <v>218.06</v>
      </c>
      <c r="Q1116">
        <v>557</v>
      </c>
      <c r="R1116">
        <v>3</v>
      </c>
      <c r="S1116">
        <v>92</v>
      </c>
    </row>
    <row r="1117" spans="1:19" x14ac:dyDescent="0.3">
      <c r="A1117">
        <v>1116</v>
      </c>
      <c r="B1117" t="s">
        <v>698</v>
      </c>
      <c r="C1117">
        <v>2022</v>
      </c>
      <c r="D1117" t="s">
        <v>161</v>
      </c>
      <c r="E1117">
        <v>9</v>
      </c>
      <c r="F1117" t="s">
        <v>34</v>
      </c>
      <c r="G1117" t="s">
        <v>35</v>
      </c>
      <c r="H1117">
        <v>54.21</v>
      </c>
      <c r="I1117" t="s">
        <v>47</v>
      </c>
      <c r="J1117">
        <v>14</v>
      </c>
      <c r="K1117">
        <v>558</v>
      </c>
      <c r="L1117">
        <v>88.9</v>
      </c>
      <c r="M1117">
        <v>26.43</v>
      </c>
      <c r="N1117">
        <v>10.88</v>
      </c>
      <c r="O1117">
        <v>8.74</v>
      </c>
      <c r="P1117">
        <v>372.76</v>
      </c>
      <c r="Q1117">
        <v>627</v>
      </c>
      <c r="R1117">
        <v>1</v>
      </c>
      <c r="S1117">
        <v>139</v>
      </c>
    </row>
    <row r="1118" spans="1:19" x14ac:dyDescent="0.3">
      <c r="A1118">
        <v>1117</v>
      </c>
      <c r="B1118" t="s">
        <v>686</v>
      </c>
      <c r="C1118">
        <v>2022</v>
      </c>
      <c r="D1118" t="s">
        <v>161</v>
      </c>
      <c r="E1118">
        <v>9</v>
      </c>
      <c r="F1118" t="s">
        <v>62</v>
      </c>
      <c r="G1118" t="s">
        <v>40</v>
      </c>
      <c r="H1118">
        <v>6.65</v>
      </c>
      <c r="I1118" t="s">
        <v>23</v>
      </c>
      <c r="J1118">
        <v>38</v>
      </c>
      <c r="K1118">
        <v>261</v>
      </c>
      <c r="L1118">
        <v>91.02</v>
      </c>
      <c r="M1118">
        <v>11.97</v>
      </c>
      <c r="N1118">
        <v>17.28</v>
      </c>
      <c r="O1118">
        <v>13.52</v>
      </c>
      <c r="P1118">
        <v>565.13</v>
      </c>
      <c r="Q1118">
        <v>131</v>
      </c>
      <c r="R1118">
        <v>2</v>
      </c>
      <c r="S1118">
        <v>168</v>
      </c>
    </row>
    <row r="1119" spans="1:19" x14ac:dyDescent="0.3">
      <c r="A1119">
        <v>1118</v>
      </c>
      <c r="B1119" t="s">
        <v>705</v>
      </c>
      <c r="C1119">
        <v>2022</v>
      </c>
      <c r="D1119" t="s">
        <v>161</v>
      </c>
      <c r="E1119">
        <v>9</v>
      </c>
      <c r="F1119" t="s">
        <v>37</v>
      </c>
      <c r="G1119" t="s">
        <v>42</v>
      </c>
      <c r="H1119">
        <v>26.79</v>
      </c>
      <c r="I1119" t="s">
        <v>38</v>
      </c>
      <c r="J1119">
        <v>9</v>
      </c>
      <c r="K1119">
        <v>172</v>
      </c>
      <c r="L1119">
        <v>83.5</v>
      </c>
      <c r="M1119">
        <v>9.4499999999999993</v>
      </c>
      <c r="N1119">
        <v>9.64</v>
      </c>
      <c r="O1119">
        <v>15.37</v>
      </c>
      <c r="P1119">
        <v>155.76</v>
      </c>
      <c r="Q1119">
        <v>469</v>
      </c>
      <c r="R1119">
        <v>4</v>
      </c>
      <c r="S1119">
        <v>234</v>
      </c>
    </row>
    <row r="1120" spans="1:19" x14ac:dyDescent="0.3">
      <c r="A1120">
        <v>1119</v>
      </c>
      <c r="B1120" t="s">
        <v>701</v>
      </c>
      <c r="C1120">
        <v>2022</v>
      </c>
      <c r="D1120" t="s">
        <v>161</v>
      </c>
      <c r="E1120">
        <v>9</v>
      </c>
      <c r="F1120" t="s">
        <v>25</v>
      </c>
      <c r="G1120" t="s">
        <v>22</v>
      </c>
      <c r="H1120">
        <v>52.86</v>
      </c>
      <c r="I1120" t="s">
        <v>23</v>
      </c>
      <c r="J1120">
        <v>5</v>
      </c>
      <c r="K1120">
        <v>556</v>
      </c>
      <c r="L1120">
        <v>86.25</v>
      </c>
      <c r="M1120">
        <v>17.579999999999998</v>
      </c>
      <c r="N1120">
        <v>11.5</v>
      </c>
      <c r="O1120">
        <v>12.02</v>
      </c>
      <c r="P1120">
        <v>547.76</v>
      </c>
      <c r="Q1120">
        <v>683</v>
      </c>
      <c r="R1120">
        <v>3</v>
      </c>
      <c r="S1120">
        <v>70</v>
      </c>
    </row>
    <row r="1121" spans="1:19" x14ac:dyDescent="0.3">
      <c r="A1121">
        <v>1120</v>
      </c>
      <c r="B1121" t="s">
        <v>706</v>
      </c>
      <c r="C1121">
        <v>2022</v>
      </c>
      <c r="D1121" t="s">
        <v>161</v>
      </c>
      <c r="E1121">
        <v>9</v>
      </c>
      <c r="F1121" t="s">
        <v>34</v>
      </c>
      <c r="G1121" t="s">
        <v>40</v>
      </c>
      <c r="H1121">
        <v>51.47</v>
      </c>
      <c r="I1121" t="s">
        <v>27</v>
      </c>
      <c r="J1121">
        <v>3</v>
      </c>
      <c r="K1121">
        <v>493</v>
      </c>
      <c r="L1121">
        <v>92.15</v>
      </c>
      <c r="M1121">
        <v>24.08</v>
      </c>
      <c r="N1121">
        <v>21.9</v>
      </c>
      <c r="O1121">
        <v>2</v>
      </c>
      <c r="P1121">
        <v>307.11</v>
      </c>
      <c r="Q1121">
        <v>994</v>
      </c>
      <c r="R1121">
        <v>5</v>
      </c>
      <c r="S1121">
        <v>153</v>
      </c>
    </row>
    <row r="1122" spans="1:19" x14ac:dyDescent="0.3">
      <c r="A1122">
        <v>1121</v>
      </c>
      <c r="B1122" t="s">
        <v>688</v>
      </c>
      <c r="C1122">
        <v>2022</v>
      </c>
      <c r="D1122" t="s">
        <v>161</v>
      </c>
      <c r="E1122">
        <v>9</v>
      </c>
      <c r="F1122" t="s">
        <v>62</v>
      </c>
      <c r="G1122" t="s">
        <v>42</v>
      </c>
      <c r="H1122">
        <v>47.52</v>
      </c>
      <c r="I1122" t="s">
        <v>32</v>
      </c>
      <c r="J1122">
        <v>4</v>
      </c>
      <c r="K1122">
        <v>528</v>
      </c>
      <c r="L1122">
        <v>91.67</v>
      </c>
      <c r="M1122">
        <v>28.81</v>
      </c>
      <c r="N1122">
        <v>18.329999999999998</v>
      </c>
      <c r="O1122">
        <v>14.81</v>
      </c>
      <c r="P1122">
        <v>474.85</v>
      </c>
      <c r="Q1122">
        <v>1043</v>
      </c>
      <c r="R1122">
        <v>3</v>
      </c>
      <c r="S1122">
        <v>198</v>
      </c>
    </row>
    <row r="1123" spans="1:19" x14ac:dyDescent="0.3">
      <c r="A1123">
        <v>1122</v>
      </c>
      <c r="B1123" t="s">
        <v>694</v>
      </c>
      <c r="C1123">
        <v>2022</v>
      </c>
      <c r="D1123" t="s">
        <v>161</v>
      </c>
      <c r="E1123">
        <v>9</v>
      </c>
      <c r="F1123" t="s">
        <v>37</v>
      </c>
      <c r="G1123" t="s">
        <v>42</v>
      </c>
      <c r="H1123">
        <v>48.11</v>
      </c>
      <c r="I1123" t="s">
        <v>23</v>
      </c>
      <c r="J1123">
        <v>31</v>
      </c>
      <c r="K1123">
        <v>435</v>
      </c>
      <c r="L1123">
        <v>84.3</v>
      </c>
      <c r="M1123">
        <v>11.3</v>
      </c>
      <c r="N1123">
        <v>13.85</v>
      </c>
      <c r="O1123">
        <v>6.88</v>
      </c>
      <c r="P1123">
        <v>345.97</v>
      </c>
      <c r="Q1123">
        <v>975</v>
      </c>
      <c r="R1123">
        <v>2</v>
      </c>
      <c r="S1123">
        <v>125</v>
      </c>
    </row>
    <row r="1124" spans="1:19" x14ac:dyDescent="0.3">
      <c r="A1124">
        <v>1123</v>
      </c>
      <c r="B1124" t="s">
        <v>707</v>
      </c>
      <c r="C1124">
        <v>2022</v>
      </c>
      <c r="D1124" t="s">
        <v>226</v>
      </c>
      <c r="E1124">
        <v>10</v>
      </c>
      <c r="F1124" t="s">
        <v>37</v>
      </c>
      <c r="G1124" t="s">
        <v>26</v>
      </c>
      <c r="H1124">
        <v>46.26</v>
      </c>
      <c r="I1124" t="s">
        <v>32</v>
      </c>
      <c r="J1124">
        <v>45</v>
      </c>
      <c r="K1124">
        <v>252</v>
      </c>
      <c r="L1124">
        <v>89.54</v>
      </c>
      <c r="M1124">
        <v>26</v>
      </c>
      <c r="N1124">
        <v>4.42</v>
      </c>
      <c r="O1124">
        <v>5.7</v>
      </c>
      <c r="P1124">
        <v>112.91</v>
      </c>
      <c r="Q1124">
        <v>237</v>
      </c>
      <c r="R1124">
        <v>3</v>
      </c>
      <c r="S1124">
        <v>98</v>
      </c>
    </row>
    <row r="1125" spans="1:19" x14ac:dyDescent="0.3">
      <c r="A1125">
        <v>1124</v>
      </c>
      <c r="B1125" t="s">
        <v>708</v>
      </c>
      <c r="C1125">
        <v>2022</v>
      </c>
      <c r="D1125" t="s">
        <v>226</v>
      </c>
      <c r="E1125">
        <v>10</v>
      </c>
      <c r="F1125" t="s">
        <v>34</v>
      </c>
      <c r="G1125" t="s">
        <v>35</v>
      </c>
      <c r="H1125">
        <v>47.43</v>
      </c>
      <c r="I1125" t="s">
        <v>23</v>
      </c>
      <c r="J1125">
        <v>3</v>
      </c>
      <c r="K1125">
        <v>155</v>
      </c>
      <c r="L1125">
        <v>88.91</v>
      </c>
      <c r="M1125">
        <v>5.69</v>
      </c>
      <c r="N1125">
        <v>3.9</v>
      </c>
      <c r="O1125">
        <v>9.17</v>
      </c>
      <c r="P1125">
        <v>590.02</v>
      </c>
      <c r="Q1125">
        <v>834</v>
      </c>
      <c r="R1125">
        <v>4</v>
      </c>
      <c r="S1125">
        <v>157</v>
      </c>
    </row>
    <row r="1126" spans="1:19" x14ac:dyDescent="0.3">
      <c r="A1126">
        <v>1125</v>
      </c>
      <c r="B1126" t="s">
        <v>709</v>
      </c>
      <c r="C1126">
        <v>2022</v>
      </c>
      <c r="D1126" t="s">
        <v>226</v>
      </c>
      <c r="E1126">
        <v>10</v>
      </c>
      <c r="F1126" t="s">
        <v>25</v>
      </c>
      <c r="G1126" t="s">
        <v>22</v>
      </c>
      <c r="H1126">
        <v>19.059999999999999</v>
      </c>
      <c r="I1126" t="s">
        <v>32</v>
      </c>
      <c r="J1126">
        <v>29</v>
      </c>
      <c r="K1126">
        <v>274</v>
      </c>
      <c r="L1126">
        <v>84.77</v>
      </c>
      <c r="M1126">
        <v>12.74</v>
      </c>
      <c r="N1126">
        <v>3.18</v>
      </c>
      <c r="O1126">
        <v>8.27</v>
      </c>
      <c r="P1126">
        <v>523.73</v>
      </c>
      <c r="Q1126">
        <v>977</v>
      </c>
      <c r="R1126">
        <v>5</v>
      </c>
      <c r="S1126">
        <v>57</v>
      </c>
    </row>
    <row r="1127" spans="1:19" x14ac:dyDescent="0.3">
      <c r="A1127">
        <v>1126</v>
      </c>
      <c r="B1127" t="s">
        <v>710</v>
      </c>
      <c r="C1127">
        <v>2022</v>
      </c>
      <c r="D1127" t="s">
        <v>226</v>
      </c>
      <c r="E1127">
        <v>10</v>
      </c>
      <c r="F1127" t="s">
        <v>21</v>
      </c>
      <c r="G1127" t="s">
        <v>42</v>
      </c>
      <c r="H1127">
        <v>10.69</v>
      </c>
      <c r="I1127" t="s">
        <v>32</v>
      </c>
      <c r="J1127">
        <v>41</v>
      </c>
      <c r="K1127">
        <v>310</v>
      </c>
      <c r="L1127">
        <v>78.900000000000006</v>
      </c>
      <c r="M1127">
        <v>34.83</v>
      </c>
      <c r="N1127">
        <v>19.2</v>
      </c>
      <c r="O1127">
        <v>5.24</v>
      </c>
      <c r="P1127">
        <v>410.99</v>
      </c>
      <c r="Q1127">
        <v>866</v>
      </c>
      <c r="R1127">
        <v>2</v>
      </c>
      <c r="S1127">
        <v>163</v>
      </c>
    </row>
    <row r="1128" spans="1:19" x14ac:dyDescent="0.3">
      <c r="A1128">
        <v>1127</v>
      </c>
      <c r="B1128" t="s">
        <v>711</v>
      </c>
      <c r="C1128">
        <v>2022</v>
      </c>
      <c r="D1128" t="s">
        <v>226</v>
      </c>
      <c r="E1128">
        <v>10</v>
      </c>
      <c r="F1128" t="s">
        <v>62</v>
      </c>
      <c r="G1128" t="s">
        <v>35</v>
      </c>
      <c r="H1128">
        <v>33.28</v>
      </c>
      <c r="I1128" t="s">
        <v>27</v>
      </c>
      <c r="J1128">
        <v>22</v>
      </c>
      <c r="K1128">
        <v>479</v>
      </c>
      <c r="L1128">
        <v>86.48</v>
      </c>
      <c r="M1128">
        <v>28.35</v>
      </c>
      <c r="N1128">
        <v>3.75</v>
      </c>
      <c r="O1128">
        <v>10.09</v>
      </c>
      <c r="P1128">
        <v>161.9</v>
      </c>
      <c r="Q1128">
        <v>887</v>
      </c>
      <c r="R1128">
        <v>1</v>
      </c>
      <c r="S1128">
        <v>115</v>
      </c>
    </row>
    <row r="1129" spans="1:19" x14ac:dyDescent="0.3">
      <c r="A1129">
        <v>1128</v>
      </c>
      <c r="B1129" t="s">
        <v>707</v>
      </c>
      <c r="C1129">
        <v>2022</v>
      </c>
      <c r="D1129" t="s">
        <v>226</v>
      </c>
      <c r="E1129">
        <v>10</v>
      </c>
      <c r="F1129" t="s">
        <v>62</v>
      </c>
      <c r="G1129" t="s">
        <v>22</v>
      </c>
      <c r="H1129">
        <v>5.59</v>
      </c>
      <c r="I1129" t="s">
        <v>23</v>
      </c>
      <c r="J1129">
        <v>15</v>
      </c>
      <c r="K1129">
        <v>412</v>
      </c>
      <c r="L1129">
        <v>93.26</v>
      </c>
      <c r="M1129">
        <v>17.09</v>
      </c>
      <c r="N1129">
        <v>17.52</v>
      </c>
      <c r="O1129">
        <v>12.6</v>
      </c>
      <c r="P1129">
        <v>167.57</v>
      </c>
      <c r="Q1129">
        <v>873</v>
      </c>
      <c r="R1129">
        <v>4</v>
      </c>
      <c r="S1129">
        <v>85</v>
      </c>
    </row>
    <row r="1130" spans="1:19" x14ac:dyDescent="0.3">
      <c r="A1130">
        <v>1129</v>
      </c>
      <c r="B1130" t="s">
        <v>712</v>
      </c>
      <c r="C1130">
        <v>2022</v>
      </c>
      <c r="D1130" t="s">
        <v>226</v>
      </c>
      <c r="E1130">
        <v>10</v>
      </c>
      <c r="F1130" t="s">
        <v>62</v>
      </c>
      <c r="G1130" t="s">
        <v>26</v>
      </c>
      <c r="H1130">
        <v>44.37</v>
      </c>
      <c r="I1130" t="s">
        <v>38</v>
      </c>
      <c r="J1130">
        <v>14</v>
      </c>
      <c r="K1130">
        <v>258</v>
      </c>
      <c r="L1130">
        <v>94.44</v>
      </c>
      <c r="M1130">
        <v>19.09</v>
      </c>
      <c r="N1130">
        <v>12.82</v>
      </c>
      <c r="O1130">
        <v>1.55</v>
      </c>
      <c r="P1130">
        <v>556.45000000000005</v>
      </c>
      <c r="Q1130">
        <v>534</v>
      </c>
      <c r="R1130">
        <v>1</v>
      </c>
      <c r="S1130">
        <v>169</v>
      </c>
    </row>
    <row r="1131" spans="1:19" x14ac:dyDescent="0.3">
      <c r="A1131">
        <v>1130</v>
      </c>
      <c r="B1131" t="s">
        <v>713</v>
      </c>
      <c r="C1131">
        <v>2022</v>
      </c>
      <c r="D1131" t="s">
        <v>226</v>
      </c>
      <c r="E1131">
        <v>10</v>
      </c>
      <c r="F1131" t="s">
        <v>62</v>
      </c>
      <c r="G1131" t="s">
        <v>26</v>
      </c>
      <c r="H1131">
        <v>40.58</v>
      </c>
      <c r="I1131" t="s">
        <v>47</v>
      </c>
      <c r="J1131">
        <v>47</v>
      </c>
      <c r="K1131">
        <v>342</v>
      </c>
      <c r="L1131">
        <v>91.91</v>
      </c>
      <c r="M1131">
        <v>27.11</v>
      </c>
      <c r="N1131">
        <v>13.2</v>
      </c>
      <c r="O1131">
        <v>8.2200000000000006</v>
      </c>
      <c r="P1131">
        <v>128.4</v>
      </c>
      <c r="Q1131">
        <v>681</v>
      </c>
      <c r="R1131">
        <v>4</v>
      </c>
      <c r="S1131">
        <v>116</v>
      </c>
    </row>
    <row r="1132" spans="1:19" x14ac:dyDescent="0.3">
      <c r="A1132">
        <v>1131</v>
      </c>
      <c r="B1132" t="s">
        <v>714</v>
      </c>
      <c r="C1132">
        <v>2022</v>
      </c>
      <c r="D1132" t="s">
        <v>226</v>
      </c>
      <c r="E1132">
        <v>10</v>
      </c>
      <c r="F1132" t="s">
        <v>62</v>
      </c>
      <c r="G1132" t="s">
        <v>26</v>
      </c>
      <c r="H1132">
        <v>26.24</v>
      </c>
      <c r="I1132" t="s">
        <v>47</v>
      </c>
      <c r="J1132">
        <v>16</v>
      </c>
      <c r="K1132">
        <v>592</v>
      </c>
      <c r="L1132">
        <v>79.84</v>
      </c>
      <c r="M1132">
        <v>12.41</v>
      </c>
      <c r="N1132">
        <v>17.46</v>
      </c>
      <c r="O1132">
        <v>14.42</v>
      </c>
      <c r="P1132">
        <v>367.91</v>
      </c>
      <c r="Q1132">
        <v>779</v>
      </c>
      <c r="R1132">
        <v>3</v>
      </c>
      <c r="S1132">
        <v>200</v>
      </c>
    </row>
    <row r="1133" spans="1:19" x14ac:dyDescent="0.3">
      <c r="A1133">
        <v>1132</v>
      </c>
      <c r="B1133" t="s">
        <v>707</v>
      </c>
      <c r="C1133">
        <v>2022</v>
      </c>
      <c r="D1133" t="s">
        <v>226</v>
      </c>
      <c r="E1133">
        <v>10</v>
      </c>
      <c r="F1133" t="s">
        <v>53</v>
      </c>
      <c r="G1133" t="s">
        <v>22</v>
      </c>
      <c r="H1133">
        <v>49.33</v>
      </c>
      <c r="I1133" t="s">
        <v>32</v>
      </c>
      <c r="J1133">
        <v>32</v>
      </c>
      <c r="K1133">
        <v>455</v>
      </c>
      <c r="L1133">
        <v>81.97</v>
      </c>
      <c r="M1133">
        <v>6.04</v>
      </c>
      <c r="N1133">
        <v>7.83</v>
      </c>
      <c r="O1133">
        <v>8.2799999999999994</v>
      </c>
      <c r="P1133">
        <v>264.98</v>
      </c>
      <c r="Q1133">
        <v>103</v>
      </c>
      <c r="R1133">
        <v>4</v>
      </c>
      <c r="S1133">
        <v>246</v>
      </c>
    </row>
    <row r="1134" spans="1:19" x14ac:dyDescent="0.3">
      <c r="A1134">
        <v>1133</v>
      </c>
      <c r="B1134" t="s">
        <v>715</v>
      </c>
      <c r="C1134">
        <v>2022</v>
      </c>
      <c r="D1134" t="s">
        <v>226</v>
      </c>
      <c r="E1134">
        <v>10</v>
      </c>
      <c r="F1134" t="s">
        <v>31</v>
      </c>
      <c r="G1134" t="s">
        <v>35</v>
      </c>
      <c r="H1134">
        <v>18.170000000000002</v>
      </c>
      <c r="I1134" t="s">
        <v>47</v>
      </c>
      <c r="J1134">
        <v>31</v>
      </c>
      <c r="K1134">
        <v>300</v>
      </c>
      <c r="L1134">
        <v>84.52</v>
      </c>
      <c r="M1134">
        <v>26.7</v>
      </c>
      <c r="N1134">
        <v>5.96</v>
      </c>
      <c r="O1134">
        <v>1.58</v>
      </c>
      <c r="P1134">
        <v>275.45999999999998</v>
      </c>
      <c r="Q1134">
        <v>830</v>
      </c>
      <c r="R1134">
        <v>2</v>
      </c>
      <c r="S1134">
        <v>57</v>
      </c>
    </row>
    <row r="1135" spans="1:19" x14ac:dyDescent="0.3">
      <c r="A1135">
        <v>1134</v>
      </c>
      <c r="B1135" t="s">
        <v>716</v>
      </c>
      <c r="C1135">
        <v>2022</v>
      </c>
      <c r="D1135" t="s">
        <v>226</v>
      </c>
      <c r="E1135">
        <v>10</v>
      </c>
      <c r="F1135" t="s">
        <v>62</v>
      </c>
      <c r="G1135" t="s">
        <v>26</v>
      </c>
      <c r="H1135">
        <v>6.24</v>
      </c>
      <c r="I1135" t="s">
        <v>47</v>
      </c>
      <c r="J1135">
        <v>12</v>
      </c>
      <c r="K1135">
        <v>273</v>
      </c>
      <c r="L1135">
        <v>90.53</v>
      </c>
      <c r="M1135">
        <v>28.68</v>
      </c>
      <c r="N1135">
        <v>11.26</v>
      </c>
      <c r="O1135">
        <v>7.17</v>
      </c>
      <c r="P1135">
        <v>517.26</v>
      </c>
      <c r="Q1135">
        <v>822</v>
      </c>
      <c r="R1135">
        <v>2</v>
      </c>
      <c r="S1135">
        <v>158</v>
      </c>
    </row>
    <row r="1136" spans="1:19" x14ac:dyDescent="0.3">
      <c r="A1136">
        <v>1135</v>
      </c>
      <c r="B1136" t="s">
        <v>713</v>
      </c>
      <c r="C1136">
        <v>2022</v>
      </c>
      <c r="D1136" t="s">
        <v>226</v>
      </c>
      <c r="E1136">
        <v>10</v>
      </c>
      <c r="F1136" t="s">
        <v>31</v>
      </c>
      <c r="G1136" t="s">
        <v>26</v>
      </c>
      <c r="H1136">
        <v>19.7</v>
      </c>
      <c r="I1136" t="s">
        <v>38</v>
      </c>
      <c r="J1136">
        <v>13</v>
      </c>
      <c r="K1136">
        <v>189</v>
      </c>
      <c r="L1136">
        <v>83.2</v>
      </c>
      <c r="M1136">
        <v>11.51</v>
      </c>
      <c r="N1136">
        <v>2.16</v>
      </c>
      <c r="O1136">
        <v>11.38</v>
      </c>
      <c r="P1136">
        <v>107.56</v>
      </c>
      <c r="Q1136">
        <v>279</v>
      </c>
      <c r="R1136">
        <v>5</v>
      </c>
      <c r="S1136">
        <v>143</v>
      </c>
    </row>
    <row r="1137" spans="1:19" x14ac:dyDescent="0.3">
      <c r="A1137">
        <v>1136</v>
      </c>
      <c r="B1137" t="s">
        <v>717</v>
      </c>
      <c r="C1137">
        <v>2022</v>
      </c>
      <c r="D1137" t="s">
        <v>226</v>
      </c>
      <c r="E1137">
        <v>10</v>
      </c>
      <c r="F1137" t="s">
        <v>34</v>
      </c>
      <c r="G1137" t="s">
        <v>26</v>
      </c>
      <c r="H1137">
        <v>6.67</v>
      </c>
      <c r="I1137" t="s">
        <v>23</v>
      </c>
      <c r="J1137">
        <v>47</v>
      </c>
      <c r="K1137">
        <v>401</v>
      </c>
      <c r="L1137">
        <v>77.510000000000005</v>
      </c>
      <c r="M1137">
        <v>12.58</v>
      </c>
      <c r="N1137">
        <v>16.02</v>
      </c>
      <c r="O1137">
        <v>2.64</v>
      </c>
      <c r="P1137">
        <v>577.36</v>
      </c>
      <c r="Q1137">
        <v>189</v>
      </c>
      <c r="R1137">
        <v>5</v>
      </c>
      <c r="S1137">
        <v>237</v>
      </c>
    </row>
    <row r="1138" spans="1:19" x14ac:dyDescent="0.3">
      <c r="A1138">
        <v>1137</v>
      </c>
      <c r="B1138" t="s">
        <v>710</v>
      </c>
      <c r="C1138">
        <v>2022</v>
      </c>
      <c r="D1138" t="s">
        <v>226</v>
      </c>
      <c r="E1138">
        <v>10</v>
      </c>
      <c r="F1138" t="s">
        <v>25</v>
      </c>
      <c r="G1138" t="s">
        <v>26</v>
      </c>
      <c r="H1138">
        <v>6.62</v>
      </c>
      <c r="I1138" t="s">
        <v>47</v>
      </c>
      <c r="J1138">
        <v>22</v>
      </c>
      <c r="K1138">
        <v>582</v>
      </c>
      <c r="L1138">
        <v>75.400000000000006</v>
      </c>
      <c r="M1138">
        <v>8.7100000000000009</v>
      </c>
      <c r="N1138">
        <v>2.16</v>
      </c>
      <c r="O1138">
        <v>15.46</v>
      </c>
      <c r="P1138">
        <v>313.72000000000003</v>
      </c>
      <c r="Q1138">
        <v>1048</v>
      </c>
      <c r="R1138">
        <v>5</v>
      </c>
      <c r="S1138">
        <v>79</v>
      </c>
    </row>
    <row r="1139" spans="1:19" x14ac:dyDescent="0.3">
      <c r="A1139">
        <v>1138</v>
      </c>
      <c r="B1139" t="s">
        <v>710</v>
      </c>
      <c r="C1139">
        <v>2022</v>
      </c>
      <c r="D1139" t="s">
        <v>226</v>
      </c>
      <c r="E1139">
        <v>10</v>
      </c>
      <c r="F1139" t="s">
        <v>37</v>
      </c>
      <c r="G1139" t="s">
        <v>40</v>
      </c>
      <c r="H1139">
        <v>44.21</v>
      </c>
      <c r="I1139" t="s">
        <v>32</v>
      </c>
      <c r="J1139">
        <v>27</v>
      </c>
      <c r="K1139">
        <v>159</v>
      </c>
      <c r="L1139">
        <v>85.93</v>
      </c>
      <c r="M1139">
        <v>32.86</v>
      </c>
      <c r="N1139">
        <v>4.51</v>
      </c>
      <c r="O1139">
        <v>8.99</v>
      </c>
      <c r="P1139">
        <v>486.56</v>
      </c>
      <c r="Q1139">
        <v>908</v>
      </c>
      <c r="R1139">
        <v>1</v>
      </c>
      <c r="S1139">
        <v>249</v>
      </c>
    </row>
    <row r="1140" spans="1:19" x14ac:dyDescent="0.3">
      <c r="A1140">
        <v>1139</v>
      </c>
      <c r="B1140" t="s">
        <v>718</v>
      </c>
      <c r="C1140">
        <v>2022</v>
      </c>
      <c r="D1140" t="s">
        <v>226</v>
      </c>
      <c r="E1140">
        <v>10</v>
      </c>
      <c r="F1140" t="s">
        <v>25</v>
      </c>
      <c r="G1140" t="s">
        <v>22</v>
      </c>
      <c r="H1140">
        <v>22.7</v>
      </c>
      <c r="I1140" t="s">
        <v>32</v>
      </c>
      <c r="J1140">
        <v>38</v>
      </c>
      <c r="K1140">
        <v>499</v>
      </c>
      <c r="L1140">
        <v>82.25</v>
      </c>
      <c r="M1140">
        <v>24.03</v>
      </c>
      <c r="N1140">
        <v>9.4499999999999993</v>
      </c>
      <c r="O1140">
        <v>4.12</v>
      </c>
      <c r="P1140">
        <v>314.13</v>
      </c>
      <c r="Q1140">
        <v>632</v>
      </c>
      <c r="R1140">
        <v>3</v>
      </c>
      <c r="S1140">
        <v>197</v>
      </c>
    </row>
    <row r="1141" spans="1:19" x14ac:dyDescent="0.3">
      <c r="A1141">
        <v>1140</v>
      </c>
      <c r="B1141" t="s">
        <v>719</v>
      </c>
      <c r="C1141">
        <v>2022</v>
      </c>
      <c r="D1141" t="s">
        <v>226</v>
      </c>
      <c r="E1141">
        <v>10</v>
      </c>
      <c r="F1141" t="s">
        <v>21</v>
      </c>
      <c r="G1141" t="s">
        <v>22</v>
      </c>
      <c r="H1141">
        <v>29.78</v>
      </c>
      <c r="I1141" t="s">
        <v>23</v>
      </c>
      <c r="J1141">
        <v>37</v>
      </c>
      <c r="K1141">
        <v>555</v>
      </c>
      <c r="L1141">
        <v>86.44</v>
      </c>
      <c r="M1141">
        <v>23.34</v>
      </c>
      <c r="N1141">
        <v>19.8</v>
      </c>
      <c r="O1141">
        <v>12.59</v>
      </c>
      <c r="P1141">
        <v>175.83</v>
      </c>
      <c r="Q1141">
        <v>125</v>
      </c>
      <c r="R1141">
        <v>4</v>
      </c>
      <c r="S1141">
        <v>55</v>
      </c>
    </row>
    <row r="1142" spans="1:19" x14ac:dyDescent="0.3">
      <c r="A1142">
        <v>1141</v>
      </c>
      <c r="B1142" t="s">
        <v>720</v>
      </c>
      <c r="C1142">
        <v>2022</v>
      </c>
      <c r="D1142" t="s">
        <v>226</v>
      </c>
      <c r="E1142">
        <v>10</v>
      </c>
      <c r="F1142" t="s">
        <v>29</v>
      </c>
      <c r="G1142" t="s">
        <v>26</v>
      </c>
      <c r="H1142">
        <v>46.68</v>
      </c>
      <c r="I1142" t="s">
        <v>27</v>
      </c>
      <c r="J1142">
        <v>40</v>
      </c>
      <c r="K1142">
        <v>109</v>
      </c>
      <c r="L1142">
        <v>85.96</v>
      </c>
      <c r="M1142">
        <v>7.05</v>
      </c>
      <c r="N1142">
        <v>13.56</v>
      </c>
      <c r="O1142">
        <v>1.6</v>
      </c>
      <c r="P1142">
        <v>225.55</v>
      </c>
      <c r="Q1142">
        <v>593</v>
      </c>
      <c r="R1142">
        <v>2</v>
      </c>
      <c r="S1142">
        <v>51</v>
      </c>
    </row>
    <row r="1143" spans="1:19" x14ac:dyDescent="0.3">
      <c r="A1143">
        <v>1142</v>
      </c>
      <c r="B1143" t="s">
        <v>721</v>
      </c>
      <c r="C1143">
        <v>2022</v>
      </c>
      <c r="D1143" t="s">
        <v>226</v>
      </c>
      <c r="E1143">
        <v>10</v>
      </c>
      <c r="F1143" t="s">
        <v>53</v>
      </c>
      <c r="G1143" t="s">
        <v>35</v>
      </c>
      <c r="H1143">
        <v>23.65</v>
      </c>
      <c r="I1143" t="s">
        <v>32</v>
      </c>
      <c r="J1143">
        <v>20</v>
      </c>
      <c r="K1143">
        <v>141</v>
      </c>
      <c r="L1143">
        <v>87.56</v>
      </c>
      <c r="M1143">
        <v>5.32</v>
      </c>
      <c r="N1143">
        <v>18.989999999999998</v>
      </c>
      <c r="O1143">
        <v>6.41</v>
      </c>
      <c r="P1143">
        <v>593.61</v>
      </c>
      <c r="Q1143">
        <v>516</v>
      </c>
      <c r="R1143">
        <v>4</v>
      </c>
      <c r="S1143">
        <v>156</v>
      </c>
    </row>
    <row r="1144" spans="1:19" x14ac:dyDescent="0.3">
      <c r="A1144">
        <v>1143</v>
      </c>
      <c r="B1144" t="s">
        <v>722</v>
      </c>
      <c r="C1144">
        <v>2022</v>
      </c>
      <c r="D1144" t="s">
        <v>226</v>
      </c>
      <c r="E1144">
        <v>10</v>
      </c>
      <c r="F1144" t="s">
        <v>53</v>
      </c>
      <c r="G1144" t="s">
        <v>42</v>
      </c>
      <c r="H1144">
        <v>5.24</v>
      </c>
      <c r="I1144" t="s">
        <v>27</v>
      </c>
      <c r="J1144">
        <v>30</v>
      </c>
      <c r="K1144">
        <v>274</v>
      </c>
      <c r="L1144">
        <v>76.19</v>
      </c>
      <c r="M1144">
        <v>22.31</v>
      </c>
      <c r="N1144">
        <v>11.76</v>
      </c>
      <c r="O1144">
        <v>5.35</v>
      </c>
      <c r="P1144">
        <v>262.16000000000003</v>
      </c>
      <c r="Q1144">
        <v>327</v>
      </c>
      <c r="R1144">
        <v>3</v>
      </c>
      <c r="S1144">
        <v>225</v>
      </c>
    </row>
    <row r="1145" spans="1:19" x14ac:dyDescent="0.3">
      <c r="A1145">
        <v>1144</v>
      </c>
      <c r="B1145" t="s">
        <v>723</v>
      </c>
      <c r="C1145">
        <v>2022</v>
      </c>
      <c r="D1145" t="s">
        <v>226</v>
      </c>
      <c r="E1145">
        <v>10</v>
      </c>
      <c r="F1145" t="s">
        <v>37</v>
      </c>
      <c r="G1145" t="s">
        <v>26</v>
      </c>
      <c r="H1145">
        <v>20.72</v>
      </c>
      <c r="I1145" t="s">
        <v>23</v>
      </c>
      <c r="J1145">
        <v>19</v>
      </c>
      <c r="K1145">
        <v>550</v>
      </c>
      <c r="L1145">
        <v>86.21</v>
      </c>
      <c r="M1145">
        <v>24.35</v>
      </c>
      <c r="N1145">
        <v>9.7200000000000006</v>
      </c>
      <c r="O1145">
        <v>15.45</v>
      </c>
      <c r="P1145">
        <v>150.13</v>
      </c>
      <c r="Q1145">
        <v>883</v>
      </c>
      <c r="R1145">
        <v>2</v>
      </c>
      <c r="S1145">
        <v>117</v>
      </c>
    </row>
    <row r="1146" spans="1:19" x14ac:dyDescent="0.3">
      <c r="A1146">
        <v>1145</v>
      </c>
      <c r="B1146" t="s">
        <v>710</v>
      </c>
      <c r="C1146">
        <v>2022</v>
      </c>
      <c r="D1146" t="s">
        <v>226</v>
      </c>
      <c r="E1146">
        <v>10</v>
      </c>
      <c r="F1146" t="s">
        <v>29</v>
      </c>
      <c r="G1146" t="s">
        <v>40</v>
      </c>
      <c r="H1146">
        <v>30.11</v>
      </c>
      <c r="I1146" t="s">
        <v>38</v>
      </c>
      <c r="J1146">
        <v>34</v>
      </c>
      <c r="K1146">
        <v>277</v>
      </c>
      <c r="L1146">
        <v>80.59</v>
      </c>
      <c r="M1146">
        <v>15.53</v>
      </c>
      <c r="N1146">
        <v>3.2</v>
      </c>
      <c r="O1146">
        <v>10.02</v>
      </c>
      <c r="P1146">
        <v>391.89</v>
      </c>
      <c r="Q1146">
        <v>191</v>
      </c>
      <c r="R1146">
        <v>3</v>
      </c>
      <c r="S1146">
        <v>148</v>
      </c>
    </row>
    <row r="1147" spans="1:19" x14ac:dyDescent="0.3">
      <c r="A1147">
        <v>1146</v>
      </c>
      <c r="B1147" t="s">
        <v>724</v>
      </c>
      <c r="C1147">
        <v>2022</v>
      </c>
      <c r="D1147" t="s">
        <v>226</v>
      </c>
      <c r="E1147">
        <v>10</v>
      </c>
      <c r="F1147" t="s">
        <v>62</v>
      </c>
      <c r="G1147" t="s">
        <v>26</v>
      </c>
      <c r="H1147">
        <v>45.13</v>
      </c>
      <c r="I1147" t="s">
        <v>47</v>
      </c>
      <c r="J1147">
        <v>36</v>
      </c>
      <c r="K1147">
        <v>578</v>
      </c>
      <c r="L1147">
        <v>83.06</v>
      </c>
      <c r="M1147">
        <v>5.64</v>
      </c>
      <c r="N1147">
        <v>15.61</v>
      </c>
      <c r="O1147">
        <v>7.55</v>
      </c>
      <c r="P1147">
        <v>200.2</v>
      </c>
      <c r="Q1147">
        <v>154</v>
      </c>
      <c r="R1147">
        <v>4</v>
      </c>
      <c r="S1147">
        <v>247</v>
      </c>
    </row>
    <row r="1148" spans="1:19" x14ac:dyDescent="0.3">
      <c r="A1148">
        <v>1147</v>
      </c>
      <c r="B1148" t="s">
        <v>709</v>
      </c>
      <c r="C1148">
        <v>2022</v>
      </c>
      <c r="D1148" t="s">
        <v>226</v>
      </c>
      <c r="E1148">
        <v>10</v>
      </c>
      <c r="F1148" t="s">
        <v>31</v>
      </c>
      <c r="G1148" t="s">
        <v>22</v>
      </c>
      <c r="H1148">
        <v>10.5</v>
      </c>
      <c r="I1148" t="s">
        <v>32</v>
      </c>
      <c r="J1148">
        <v>30</v>
      </c>
      <c r="K1148">
        <v>349</v>
      </c>
      <c r="L1148">
        <v>76.12</v>
      </c>
      <c r="M1148">
        <v>9.82</v>
      </c>
      <c r="N1148">
        <v>4.47</v>
      </c>
      <c r="O1148">
        <v>1.93</v>
      </c>
      <c r="P1148">
        <v>273.36</v>
      </c>
      <c r="Q1148">
        <v>887</v>
      </c>
      <c r="R1148">
        <v>5</v>
      </c>
      <c r="S1148">
        <v>177</v>
      </c>
    </row>
    <row r="1149" spans="1:19" x14ac:dyDescent="0.3">
      <c r="A1149">
        <v>1148</v>
      </c>
      <c r="B1149" t="s">
        <v>721</v>
      </c>
      <c r="C1149">
        <v>2022</v>
      </c>
      <c r="D1149" t="s">
        <v>226</v>
      </c>
      <c r="E1149">
        <v>10</v>
      </c>
      <c r="F1149" t="s">
        <v>53</v>
      </c>
      <c r="G1149" t="s">
        <v>26</v>
      </c>
      <c r="H1149">
        <v>45.85</v>
      </c>
      <c r="I1149" t="s">
        <v>47</v>
      </c>
      <c r="J1149">
        <v>31</v>
      </c>
      <c r="K1149">
        <v>257</v>
      </c>
      <c r="L1149">
        <v>83.08</v>
      </c>
      <c r="M1149">
        <v>13.69</v>
      </c>
      <c r="N1149">
        <v>9.3800000000000008</v>
      </c>
      <c r="O1149">
        <v>8.5299999999999994</v>
      </c>
      <c r="P1149">
        <v>355.18</v>
      </c>
      <c r="Q1149">
        <v>198</v>
      </c>
      <c r="R1149">
        <v>5</v>
      </c>
      <c r="S1149">
        <v>220</v>
      </c>
    </row>
    <row r="1150" spans="1:19" x14ac:dyDescent="0.3">
      <c r="A1150">
        <v>1149</v>
      </c>
      <c r="B1150" t="s">
        <v>725</v>
      </c>
      <c r="C1150">
        <v>2022</v>
      </c>
      <c r="D1150" t="s">
        <v>226</v>
      </c>
      <c r="E1150">
        <v>10</v>
      </c>
      <c r="F1150" t="s">
        <v>34</v>
      </c>
      <c r="G1150" t="s">
        <v>35</v>
      </c>
      <c r="H1150">
        <v>12.81</v>
      </c>
      <c r="I1150" t="s">
        <v>38</v>
      </c>
      <c r="J1150">
        <v>4</v>
      </c>
      <c r="K1150">
        <v>139</v>
      </c>
      <c r="L1150">
        <v>75.47</v>
      </c>
      <c r="M1150">
        <v>16.440000000000001</v>
      </c>
      <c r="N1150">
        <v>15.62</v>
      </c>
      <c r="O1150">
        <v>7.59</v>
      </c>
      <c r="P1150">
        <v>250.53</v>
      </c>
      <c r="Q1150">
        <v>652</v>
      </c>
      <c r="R1150">
        <v>1</v>
      </c>
      <c r="S1150">
        <v>86</v>
      </c>
    </row>
    <row r="1151" spans="1:19" x14ac:dyDescent="0.3">
      <c r="A1151">
        <v>1150</v>
      </c>
      <c r="B1151" t="s">
        <v>724</v>
      </c>
      <c r="C1151">
        <v>2022</v>
      </c>
      <c r="D1151" t="s">
        <v>226</v>
      </c>
      <c r="E1151">
        <v>10</v>
      </c>
      <c r="F1151" t="s">
        <v>62</v>
      </c>
      <c r="G1151" t="s">
        <v>42</v>
      </c>
      <c r="H1151">
        <v>40.72</v>
      </c>
      <c r="I1151" t="s">
        <v>32</v>
      </c>
      <c r="J1151">
        <v>14</v>
      </c>
      <c r="K1151">
        <v>412</v>
      </c>
      <c r="L1151">
        <v>83.68</v>
      </c>
      <c r="M1151">
        <v>13.99</v>
      </c>
      <c r="N1151">
        <v>14.34</v>
      </c>
      <c r="O1151">
        <v>2.74</v>
      </c>
      <c r="P1151">
        <v>190.86</v>
      </c>
      <c r="Q1151">
        <v>628</v>
      </c>
      <c r="R1151">
        <v>5</v>
      </c>
      <c r="S1151">
        <v>214</v>
      </c>
    </row>
    <row r="1152" spans="1:19" x14ac:dyDescent="0.3">
      <c r="A1152">
        <v>1151</v>
      </c>
      <c r="B1152" t="s">
        <v>716</v>
      </c>
      <c r="C1152">
        <v>2022</v>
      </c>
      <c r="D1152" t="s">
        <v>226</v>
      </c>
      <c r="E1152">
        <v>10</v>
      </c>
      <c r="F1152" t="s">
        <v>25</v>
      </c>
      <c r="G1152" t="s">
        <v>40</v>
      </c>
      <c r="H1152">
        <v>43.18</v>
      </c>
      <c r="I1152" t="s">
        <v>23</v>
      </c>
      <c r="J1152">
        <v>39</v>
      </c>
      <c r="K1152">
        <v>222</v>
      </c>
      <c r="L1152">
        <v>84.53</v>
      </c>
      <c r="M1152">
        <v>31.49</v>
      </c>
      <c r="N1152">
        <v>13.69</v>
      </c>
      <c r="O1152">
        <v>12.2</v>
      </c>
      <c r="P1152">
        <v>565.78</v>
      </c>
      <c r="Q1152">
        <v>668</v>
      </c>
      <c r="R1152">
        <v>3</v>
      </c>
      <c r="S1152">
        <v>116</v>
      </c>
    </row>
    <row r="1153" spans="1:19" x14ac:dyDescent="0.3">
      <c r="A1153">
        <v>1152</v>
      </c>
      <c r="B1153" t="s">
        <v>719</v>
      </c>
      <c r="C1153">
        <v>2022</v>
      </c>
      <c r="D1153" t="s">
        <v>226</v>
      </c>
      <c r="E1153">
        <v>10</v>
      </c>
      <c r="F1153" t="s">
        <v>53</v>
      </c>
      <c r="G1153" t="s">
        <v>22</v>
      </c>
      <c r="H1153">
        <v>13.15</v>
      </c>
      <c r="I1153" t="s">
        <v>47</v>
      </c>
      <c r="J1153">
        <v>11</v>
      </c>
      <c r="K1153">
        <v>307</v>
      </c>
      <c r="L1153">
        <v>87.78</v>
      </c>
      <c r="M1153">
        <v>17.32</v>
      </c>
      <c r="N1153">
        <v>16.63</v>
      </c>
      <c r="O1153">
        <v>1.63</v>
      </c>
      <c r="P1153">
        <v>259.55</v>
      </c>
      <c r="Q1153">
        <v>458</v>
      </c>
      <c r="R1153">
        <v>2</v>
      </c>
      <c r="S1153">
        <v>190</v>
      </c>
    </row>
    <row r="1154" spans="1:19" x14ac:dyDescent="0.3">
      <c r="A1154">
        <v>1153</v>
      </c>
      <c r="B1154" t="s">
        <v>708</v>
      </c>
      <c r="C1154">
        <v>2022</v>
      </c>
      <c r="D1154" t="s">
        <v>226</v>
      </c>
      <c r="E1154">
        <v>10</v>
      </c>
      <c r="F1154" t="s">
        <v>62</v>
      </c>
      <c r="G1154" t="s">
        <v>42</v>
      </c>
      <c r="H1154">
        <v>24.76</v>
      </c>
      <c r="I1154" t="s">
        <v>38</v>
      </c>
      <c r="J1154">
        <v>10</v>
      </c>
      <c r="K1154">
        <v>575</v>
      </c>
      <c r="L1154">
        <v>94.88</v>
      </c>
      <c r="M1154">
        <v>17.53</v>
      </c>
      <c r="N1154">
        <v>14.11</v>
      </c>
      <c r="O1154">
        <v>15.75</v>
      </c>
      <c r="P1154">
        <v>168.59</v>
      </c>
      <c r="Q1154">
        <v>738</v>
      </c>
      <c r="R1154">
        <v>2</v>
      </c>
      <c r="S1154">
        <v>111</v>
      </c>
    </row>
    <row r="1155" spans="1:19" x14ac:dyDescent="0.3">
      <c r="A1155">
        <v>1154</v>
      </c>
      <c r="B1155" t="s">
        <v>726</v>
      </c>
      <c r="C1155">
        <v>2022</v>
      </c>
      <c r="D1155" t="s">
        <v>226</v>
      </c>
      <c r="E1155">
        <v>10</v>
      </c>
      <c r="F1155" t="s">
        <v>31</v>
      </c>
      <c r="G1155" t="s">
        <v>42</v>
      </c>
      <c r="H1155">
        <v>11.01</v>
      </c>
      <c r="I1155" t="s">
        <v>23</v>
      </c>
      <c r="J1155">
        <v>28</v>
      </c>
      <c r="K1155">
        <v>324</v>
      </c>
      <c r="L1155">
        <v>83.71</v>
      </c>
      <c r="M1155">
        <v>25.07</v>
      </c>
      <c r="N1155">
        <v>16.829999999999998</v>
      </c>
      <c r="O1155">
        <v>4.54</v>
      </c>
      <c r="P1155">
        <v>174.24</v>
      </c>
      <c r="Q1155">
        <v>339</v>
      </c>
      <c r="R1155">
        <v>5</v>
      </c>
      <c r="S1155">
        <v>103</v>
      </c>
    </row>
    <row r="1156" spans="1:19" x14ac:dyDescent="0.3">
      <c r="A1156">
        <v>1155</v>
      </c>
      <c r="B1156" t="s">
        <v>722</v>
      </c>
      <c r="C1156">
        <v>2022</v>
      </c>
      <c r="D1156" t="s">
        <v>226</v>
      </c>
      <c r="E1156">
        <v>10</v>
      </c>
      <c r="F1156" t="s">
        <v>34</v>
      </c>
      <c r="G1156" t="s">
        <v>26</v>
      </c>
      <c r="H1156">
        <v>54.29</v>
      </c>
      <c r="I1156" t="s">
        <v>47</v>
      </c>
      <c r="J1156">
        <v>34</v>
      </c>
      <c r="K1156">
        <v>534</v>
      </c>
      <c r="L1156">
        <v>90.51</v>
      </c>
      <c r="M1156">
        <v>24.19</v>
      </c>
      <c r="N1156">
        <v>7.75</v>
      </c>
      <c r="O1156">
        <v>7.86</v>
      </c>
      <c r="P1156">
        <v>457.37</v>
      </c>
      <c r="Q1156">
        <v>166</v>
      </c>
      <c r="R1156">
        <v>1</v>
      </c>
      <c r="S1156">
        <v>189</v>
      </c>
    </row>
    <row r="1157" spans="1:19" x14ac:dyDescent="0.3">
      <c r="A1157">
        <v>1156</v>
      </c>
      <c r="B1157" t="s">
        <v>717</v>
      </c>
      <c r="C1157">
        <v>2022</v>
      </c>
      <c r="D1157" t="s">
        <v>226</v>
      </c>
      <c r="E1157">
        <v>10</v>
      </c>
      <c r="F1157" t="s">
        <v>31</v>
      </c>
      <c r="G1157" t="s">
        <v>42</v>
      </c>
      <c r="H1157">
        <v>18.91</v>
      </c>
      <c r="I1157" t="s">
        <v>38</v>
      </c>
      <c r="J1157">
        <v>44</v>
      </c>
      <c r="K1157">
        <v>240</v>
      </c>
      <c r="L1157">
        <v>89.41</v>
      </c>
      <c r="M1157">
        <v>11.84</v>
      </c>
      <c r="N1157">
        <v>16.63</v>
      </c>
      <c r="O1157">
        <v>11.02</v>
      </c>
      <c r="P1157">
        <v>519.08000000000004</v>
      </c>
      <c r="Q1157">
        <v>250</v>
      </c>
      <c r="R1157">
        <v>1</v>
      </c>
      <c r="S1157">
        <v>113</v>
      </c>
    </row>
    <row r="1158" spans="1:19" x14ac:dyDescent="0.3">
      <c r="A1158">
        <v>1157</v>
      </c>
      <c r="B1158" t="s">
        <v>727</v>
      </c>
      <c r="C1158">
        <v>2022</v>
      </c>
      <c r="D1158" t="s">
        <v>226</v>
      </c>
      <c r="E1158">
        <v>11</v>
      </c>
      <c r="F1158" t="s">
        <v>21</v>
      </c>
      <c r="G1158" t="s">
        <v>35</v>
      </c>
      <c r="H1158">
        <v>15.44</v>
      </c>
      <c r="I1158" t="s">
        <v>27</v>
      </c>
      <c r="J1158">
        <v>6</v>
      </c>
      <c r="K1158">
        <v>424</v>
      </c>
      <c r="L1158">
        <v>83.31</v>
      </c>
      <c r="M1158">
        <v>25.85</v>
      </c>
      <c r="N1158">
        <v>15.44</v>
      </c>
      <c r="O1158">
        <v>14.81</v>
      </c>
      <c r="P1158">
        <v>526.08000000000004</v>
      </c>
      <c r="Q1158">
        <v>230</v>
      </c>
      <c r="R1158">
        <v>2</v>
      </c>
      <c r="S1158">
        <v>152</v>
      </c>
    </row>
    <row r="1159" spans="1:19" x14ac:dyDescent="0.3">
      <c r="A1159">
        <v>1158</v>
      </c>
      <c r="B1159" t="s">
        <v>728</v>
      </c>
      <c r="C1159">
        <v>2022</v>
      </c>
      <c r="D1159" t="s">
        <v>226</v>
      </c>
      <c r="E1159">
        <v>11</v>
      </c>
      <c r="F1159" t="s">
        <v>21</v>
      </c>
      <c r="G1159" t="s">
        <v>22</v>
      </c>
      <c r="H1159">
        <v>14.88</v>
      </c>
      <c r="I1159" t="s">
        <v>38</v>
      </c>
      <c r="J1159">
        <v>30</v>
      </c>
      <c r="K1159">
        <v>459</v>
      </c>
      <c r="L1159">
        <v>92.12</v>
      </c>
      <c r="M1159">
        <v>10.65</v>
      </c>
      <c r="N1159">
        <v>8.1199999999999992</v>
      </c>
      <c r="O1159">
        <v>13.76</v>
      </c>
      <c r="P1159">
        <v>353.83</v>
      </c>
      <c r="Q1159">
        <v>613</v>
      </c>
      <c r="R1159">
        <v>4</v>
      </c>
      <c r="S1159">
        <v>110</v>
      </c>
    </row>
    <row r="1160" spans="1:19" x14ac:dyDescent="0.3">
      <c r="A1160">
        <v>1159</v>
      </c>
      <c r="B1160" t="s">
        <v>729</v>
      </c>
      <c r="C1160">
        <v>2022</v>
      </c>
      <c r="D1160" t="s">
        <v>226</v>
      </c>
      <c r="E1160">
        <v>11</v>
      </c>
      <c r="F1160" t="s">
        <v>29</v>
      </c>
      <c r="G1160" t="s">
        <v>22</v>
      </c>
      <c r="H1160">
        <v>24.92</v>
      </c>
      <c r="I1160" t="s">
        <v>47</v>
      </c>
      <c r="J1160">
        <v>46</v>
      </c>
      <c r="K1160">
        <v>219</v>
      </c>
      <c r="L1160">
        <v>82.74</v>
      </c>
      <c r="M1160">
        <v>7</v>
      </c>
      <c r="N1160">
        <v>20.57</v>
      </c>
      <c r="O1160">
        <v>3.27</v>
      </c>
      <c r="P1160">
        <v>381.74</v>
      </c>
      <c r="Q1160">
        <v>141</v>
      </c>
      <c r="R1160">
        <v>4</v>
      </c>
      <c r="S1160">
        <v>187</v>
      </c>
    </row>
    <row r="1161" spans="1:19" x14ac:dyDescent="0.3">
      <c r="A1161">
        <v>1160</v>
      </c>
      <c r="B1161" t="s">
        <v>730</v>
      </c>
      <c r="C1161">
        <v>2022</v>
      </c>
      <c r="D1161" t="s">
        <v>226</v>
      </c>
      <c r="E1161">
        <v>11</v>
      </c>
      <c r="F1161" t="s">
        <v>34</v>
      </c>
      <c r="G1161" t="s">
        <v>40</v>
      </c>
      <c r="H1161">
        <v>5.65</v>
      </c>
      <c r="I1161" t="s">
        <v>32</v>
      </c>
      <c r="J1161">
        <v>34</v>
      </c>
      <c r="K1161">
        <v>300</v>
      </c>
      <c r="L1161">
        <v>82.07</v>
      </c>
      <c r="M1161">
        <v>17.04</v>
      </c>
      <c r="N1161">
        <v>6.47</v>
      </c>
      <c r="O1161">
        <v>12.14</v>
      </c>
      <c r="P1161">
        <v>552.95000000000005</v>
      </c>
      <c r="Q1161">
        <v>943</v>
      </c>
      <c r="R1161">
        <v>1</v>
      </c>
      <c r="S1161">
        <v>198</v>
      </c>
    </row>
    <row r="1162" spans="1:19" x14ac:dyDescent="0.3">
      <c r="A1162">
        <v>1161</v>
      </c>
      <c r="B1162" t="s">
        <v>731</v>
      </c>
      <c r="C1162">
        <v>2022</v>
      </c>
      <c r="D1162" t="s">
        <v>226</v>
      </c>
      <c r="E1162">
        <v>11</v>
      </c>
      <c r="F1162" t="s">
        <v>21</v>
      </c>
      <c r="G1162" t="s">
        <v>26</v>
      </c>
      <c r="H1162">
        <v>49.7</v>
      </c>
      <c r="I1162" t="s">
        <v>38</v>
      </c>
      <c r="J1162">
        <v>44</v>
      </c>
      <c r="K1162">
        <v>225</v>
      </c>
      <c r="L1162">
        <v>89.62</v>
      </c>
      <c r="M1162">
        <v>30.17</v>
      </c>
      <c r="N1162">
        <v>6.3</v>
      </c>
      <c r="O1162">
        <v>12.64</v>
      </c>
      <c r="P1162">
        <v>150.54</v>
      </c>
      <c r="Q1162">
        <v>879</v>
      </c>
      <c r="R1162">
        <v>1</v>
      </c>
      <c r="S1162">
        <v>62</v>
      </c>
    </row>
    <row r="1163" spans="1:19" x14ac:dyDescent="0.3">
      <c r="A1163">
        <v>1162</v>
      </c>
      <c r="B1163" t="s">
        <v>732</v>
      </c>
      <c r="C1163">
        <v>2022</v>
      </c>
      <c r="D1163" t="s">
        <v>226</v>
      </c>
      <c r="E1163">
        <v>11</v>
      </c>
      <c r="F1163" t="s">
        <v>29</v>
      </c>
      <c r="G1163" t="s">
        <v>22</v>
      </c>
      <c r="H1163">
        <v>54.34</v>
      </c>
      <c r="I1163" t="s">
        <v>47</v>
      </c>
      <c r="J1163">
        <v>36</v>
      </c>
      <c r="K1163">
        <v>412</v>
      </c>
      <c r="L1163">
        <v>80.88</v>
      </c>
      <c r="M1163">
        <v>8.58</v>
      </c>
      <c r="N1163">
        <v>11.32</v>
      </c>
      <c r="O1163">
        <v>1.59</v>
      </c>
      <c r="P1163">
        <v>221.89</v>
      </c>
      <c r="Q1163">
        <v>848</v>
      </c>
      <c r="R1163">
        <v>2</v>
      </c>
      <c r="S1163">
        <v>213</v>
      </c>
    </row>
    <row r="1164" spans="1:19" x14ac:dyDescent="0.3">
      <c r="A1164">
        <v>1163</v>
      </c>
      <c r="B1164" t="s">
        <v>733</v>
      </c>
      <c r="C1164">
        <v>2022</v>
      </c>
      <c r="D1164" t="s">
        <v>226</v>
      </c>
      <c r="E1164">
        <v>11</v>
      </c>
      <c r="F1164" t="s">
        <v>53</v>
      </c>
      <c r="G1164" t="s">
        <v>42</v>
      </c>
      <c r="H1164">
        <v>29.02</v>
      </c>
      <c r="I1164" t="s">
        <v>27</v>
      </c>
      <c r="J1164">
        <v>21</v>
      </c>
      <c r="K1164">
        <v>579</v>
      </c>
      <c r="L1164">
        <v>89.37</v>
      </c>
      <c r="M1164">
        <v>13.08</v>
      </c>
      <c r="N1164">
        <v>3.2</v>
      </c>
      <c r="O1164">
        <v>7.57</v>
      </c>
      <c r="P1164">
        <v>146.99</v>
      </c>
      <c r="Q1164">
        <v>833</v>
      </c>
      <c r="R1164">
        <v>3</v>
      </c>
      <c r="S1164">
        <v>235</v>
      </c>
    </row>
    <row r="1165" spans="1:19" x14ac:dyDescent="0.3">
      <c r="A1165">
        <v>1164</v>
      </c>
      <c r="B1165" t="s">
        <v>734</v>
      </c>
      <c r="C1165">
        <v>2022</v>
      </c>
      <c r="D1165" t="s">
        <v>226</v>
      </c>
      <c r="E1165">
        <v>11</v>
      </c>
      <c r="F1165" t="s">
        <v>25</v>
      </c>
      <c r="G1165" t="s">
        <v>35</v>
      </c>
      <c r="H1165">
        <v>23.51</v>
      </c>
      <c r="I1165" t="s">
        <v>23</v>
      </c>
      <c r="J1165">
        <v>24</v>
      </c>
      <c r="K1165">
        <v>102</v>
      </c>
      <c r="L1165">
        <v>86.47</v>
      </c>
      <c r="M1165">
        <v>6.9</v>
      </c>
      <c r="N1165">
        <v>19</v>
      </c>
      <c r="O1165">
        <v>6.82</v>
      </c>
      <c r="P1165">
        <v>173.25</v>
      </c>
      <c r="Q1165">
        <v>747</v>
      </c>
      <c r="R1165">
        <v>1</v>
      </c>
      <c r="S1165">
        <v>246</v>
      </c>
    </row>
    <row r="1166" spans="1:19" x14ac:dyDescent="0.3">
      <c r="A1166">
        <v>1165</v>
      </c>
      <c r="B1166" t="s">
        <v>731</v>
      </c>
      <c r="C1166">
        <v>2022</v>
      </c>
      <c r="D1166" t="s">
        <v>226</v>
      </c>
      <c r="E1166">
        <v>11</v>
      </c>
      <c r="F1166" t="s">
        <v>29</v>
      </c>
      <c r="G1166" t="s">
        <v>40</v>
      </c>
      <c r="H1166">
        <v>17.98</v>
      </c>
      <c r="I1166" t="s">
        <v>32</v>
      </c>
      <c r="J1166">
        <v>41</v>
      </c>
      <c r="K1166">
        <v>464</v>
      </c>
      <c r="L1166">
        <v>81.78</v>
      </c>
      <c r="M1166">
        <v>12.02</v>
      </c>
      <c r="N1166">
        <v>15.93</v>
      </c>
      <c r="O1166">
        <v>11.36</v>
      </c>
      <c r="P1166">
        <v>310.49</v>
      </c>
      <c r="Q1166">
        <v>939</v>
      </c>
      <c r="R1166">
        <v>2</v>
      </c>
      <c r="S1166">
        <v>105</v>
      </c>
    </row>
    <row r="1167" spans="1:19" x14ac:dyDescent="0.3">
      <c r="A1167">
        <v>1166</v>
      </c>
      <c r="B1167" t="s">
        <v>735</v>
      </c>
      <c r="C1167">
        <v>2022</v>
      </c>
      <c r="D1167" t="s">
        <v>226</v>
      </c>
      <c r="E1167">
        <v>11</v>
      </c>
      <c r="F1167" t="s">
        <v>53</v>
      </c>
      <c r="G1167" t="s">
        <v>26</v>
      </c>
      <c r="H1167">
        <v>48.49</v>
      </c>
      <c r="I1167" t="s">
        <v>47</v>
      </c>
      <c r="J1167">
        <v>20</v>
      </c>
      <c r="K1167">
        <v>510</v>
      </c>
      <c r="L1167">
        <v>81.11</v>
      </c>
      <c r="M1167">
        <v>32.549999999999997</v>
      </c>
      <c r="N1167">
        <v>5.1100000000000003</v>
      </c>
      <c r="O1167">
        <v>13.33</v>
      </c>
      <c r="P1167">
        <v>239.75</v>
      </c>
      <c r="Q1167">
        <v>599</v>
      </c>
      <c r="R1167">
        <v>5</v>
      </c>
      <c r="S1167">
        <v>183</v>
      </c>
    </row>
    <row r="1168" spans="1:19" x14ac:dyDescent="0.3">
      <c r="A1168">
        <v>1167</v>
      </c>
      <c r="B1168" t="s">
        <v>736</v>
      </c>
      <c r="C1168">
        <v>2022</v>
      </c>
      <c r="D1168" t="s">
        <v>226</v>
      </c>
      <c r="E1168">
        <v>11</v>
      </c>
      <c r="F1168" t="s">
        <v>21</v>
      </c>
      <c r="G1168" t="s">
        <v>42</v>
      </c>
      <c r="H1168">
        <v>16.690000000000001</v>
      </c>
      <c r="I1168" t="s">
        <v>38</v>
      </c>
      <c r="J1168">
        <v>21</v>
      </c>
      <c r="K1168">
        <v>520</v>
      </c>
      <c r="L1168">
        <v>93.74</v>
      </c>
      <c r="M1168">
        <v>5.96</v>
      </c>
      <c r="N1168">
        <v>21.9</v>
      </c>
      <c r="O1168">
        <v>14.44</v>
      </c>
      <c r="P1168">
        <v>500.3</v>
      </c>
      <c r="Q1168">
        <v>868</v>
      </c>
      <c r="R1168">
        <v>1</v>
      </c>
      <c r="S1168">
        <v>188</v>
      </c>
    </row>
    <row r="1169" spans="1:19" x14ac:dyDescent="0.3">
      <c r="A1169">
        <v>1168</v>
      </c>
      <c r="B1169" t="s">
        <v>737</v>
      </c>
      <c r="C1169">
        <v>2022</v>
      </c>
      <c r="D1169" t="s">
        <v>226</v>
      </c>
      <c r="E1169">
        <v>11</v>
      </c>
      <c r="F1169" t="s">
        <v>37</v>
      </c>
      <c r="G1169" t="s">
        <v>42</v>
      </c>
      <c r="H1169">
        <v>32.409999999999997</v>
      </c>
      <c r="I1169" t="s">
        <v>47</v>
      </c>
      <c r="J1169">
        <v>2</v>
      </c>
      <c r="K1169">
        <v>212</v>
      </c>
      <c r="L1169">
        <v>84.31</v>
      </c>
      <c r="M1169">
        <v>17.68</v>
      </c>
      <c r="N1169">
        <v>14.91</v>
      </c>
      <c r="O1169">
        <v>12.78</v>
      </c>
      <c r="P1169">
        <v>445.36</v>
      </c>
      <c r="Q1169">
        <v>709</v>
      </c>
      <c r="R1169">
        <v>3</v>
      </c>
      <c r="S1169">
        <v>153</v>
      </c>
    </row>
    <row r="1170" spans="1:19" x14ac:dyDescent="0.3">
      <c r="A1170">
        <v>1169</v>
      </c>
      <c r="B1170" t="s">
        <v>738</v>
      </c>
      <c r="C1170">
        <v>2022</v>
      </c>
      <c r="D1170" t="s">
        <v>226</v>
      </c>
      <c r="E1170">
        <v>11</v>
      </c>
      <c r="F1170" t="s">
        <v>34</v>
      </c>
      <c r="G1170" t="s">
        <v>26</v>
      </c>
      <c r="H1170">
        <v>24.13</v>
      </c>
      <c r="I1170" t="s">
        <v>27</v>
      </c>
      <c r="J1170">
        <v>30</v>
      </c>
      <c r="K1170">
        <v>334</v>
      </c>
      <c r="L1170">
        <v>92.87</v>
      </c>
      <c r="M1170">
        <v>19.84</v>
      </c>
      <c r="N1170">
        <v>16.3</v>
      </c>
      <c r="O1170">
        <v>1.36</v>
      </c>
      <c r="P1170">
        <v>526.80999999999995</v>
      </c>
      <c r="Q1170">
        <v>228</v>
      </c>
      <c r="R1170">
        <v>5</v>
      </c>
      <c r="S1170">
        <v>229</v>
      </c>
    </row>
    <row r="1171" spans="1:19" x14ac:dyDescent="0.3">
      <c r="A1171">
        <v>1170</v>
      </c>
      <c r="B1171" t="s">
        <v>731</v>
      </c>
      <c r="C1171">
        <v>2022</v>
      </c>
      <c r="D1171" t="s">
        <v>226</v>
      </c>
      <c r="E1171">
        <v>11</v>
      </c>
      <c r="F1171" t="s">
        <v>29</v>
      </c>
      <c r="G1171" t="s">
        <v>42</v>
      </c>
      <c r="H1171">
        <v>41.8</v>
      </c>
      <c r="I1171" t="s">
        <v>47</v>
      </c>
      <c r="J1171">
        <v>10</v>
      </c>
      <c r="K1171">
        <v>544</v>
      </c>
      <c r="L1171">
        <v>94.4</v>
      </c>
      <c r="M1171">
        <v>20.53</v>
      </c>
      <c r="N1171">
        <v>11.29</v>
      </c>
      <c r="O1171">
        <v>11.79</v>
      </c>
      <c r="P1171">
        <v>162.21</v>
      </c>
      <c r="Q1171">
        <v>399</v>
      </c>
      <c r="R1171">
        <v>5</v>
      </c>
      <c r="S1171">
        <v>204</v>
      </c>
    </row>
    <row r="1172" spans="1:19" x14ac:dyDescent="0.3">
      <c r="A1172">
        <v>1171</v>
      </c>
      <c r="B1172" t="s">
        <v>727</v>
      </c>
      <c r="C1172">
        <v>2022</v>
      </c>
      <c r="D1172" t="s">
        <v>226</v>
      </c>
      <c r="E1172">
        <v>11</v>
      </c>
      <c r="F1172" t="s">
        <v>34</v>
      </c>
      <c r="G1172" t="s">
        <v>22</v>
      </c>
      <c r="H1172">
        <v>41.92</v>
      </c>
      <c r="I1172" t="s">
        <v>47</v>
      </c>
      <c r="J1172">
        <v>17</v>
      </c>
      <c r="K1172">
        <v>566</v>
      </c>
      <c r="L1172">
        <v>84.62</v>
      </c>
      <c r="M1172">
        <v>34.04</v>
      </c>
      <c r="N1172">
        <v>5.31</v>
      </c>
      <c r="O1172">
        <v>1.0900000000000001</v>
      </c>
      <c r="P1172">
        <v>564.9</v>
      </c>
      <c r="Q1172">
        <v>601</v>
      </c>
      <c r="R1172">
        <v>3</v>
      </c>
      <c r="S1172">
        <v>110</v>
      </c>
    </row>
    <row r="1173" spans="1:19" x14ac:dyDescent="0.3">
      <c r="A1173">
        <v>1172</v>
      </c>
      <c r="B1173" t="s">
        <v>739</v>
      </c>
      <c r="C1173">
        <v>2022</v>
      </c>
      <c r="D1173" t="s">
        <v>226</v>
      </c>
      <c r="E1173">
        <v>11</v>
      </c>
      <c r="F1173" t="s">
        <v>21</v>
      </c>
      <c r="G1173" t="s">
        <v>35</v>
      </c>
      <c r="H1173">
        <v>17.760000000000002</v>
      </c>
      <c r="I1173" t="s">
        <v>23</v>
      </c>
      <c r="J1173">
        <v>38</v>
      </c>
      <c r="K1173">
        <v>364</v>
      </c>
      <c r="L1173">
        <v>78.73</v>
      </c>
      <c r="M1173">
        <v>22.71</v>
      </c>
      <c r="N1173">
        <v>15.15</v>
      </c>
      <c r="O1173">
        <v>13.17</v>
      </c>
      <c r="P1173">
        <v>496.25</v>
      </c>
      <c r="Q1173">
        <v>727</v>
      </c>
      <c r="R1173">
        <v>2</v>
      </c>
      <c r="S1173">
        <v>206</v>
      </c>
    </row>
    <row r="1174" spans="1:19" x14ac:dyDescent="0.3">
      <c r="A1174">
        <v>1173</v>
      </c>
      <c r="B1174" t="s">
        <v>730</v>
      </c>
      <c r="C1174">
        <v>2022</v>
      </c>
      <c r="D1174" t="s">
        <v>226</v>
      </c>
      <c r="E1174">
        <v>11</v>
      </c>
      <c r="F1174" t="s">
        <v>53</v>
      </c>
      <c r="G1174" t="s">
        <v>26</v>
      </c>
      <c r="H1174">
        <v>32.29</v>
      </c>
      <c r="I1174" t="s">
        <v>23</v>
      </c>
      <c r="J1174">
        <v>18</v>
      </c>
      <c r="K1174">
        <v>103</v>
      </c>
      <c r="L1174">
        <v>81.819999999999993</v>
      </c>
      <c r="M1174">
        <v>8.24</v>
      </c>
      <c r="N1174">
        <v>17.14</v>
      </c>
      <c r="O1174">
        <v>5.05</v>
      </c>
      <c r="P1174">
        <v>428.32</v>
      </c>
      <c r="Q1174">
        <v>1035</v>
      </c>
      <c r="R1174">
        <v>2</v>
      </c>
      <c r="S1174">
        <v>71</v>
      </c>
    </row>
    <row r="1175" spans="1:19" x14ac:dyDescent="0.3">
      <c r="A1175">
        <v>1174</v>
      </c>
      <c r="B1175" t="s">
        <v>734</v>
      </c>
      <c r="C1175">
        <v>2022</v>
      </c>
      <c r="D1175" t="s">
        <v>226</v>
      </c>
      <c r="E1175">
        <v>11</v>
      </c>
      <c r="F1175" t="s">
        <v>37</v>
      </c>
      <c r="G1175" t="s">
        <v>26</v>
      </c>
      <c r="H1175">
        <v>31.03</v>
      </c>
      <c r="I1175" t="s">
        <v>38</v>
      </c>
      <c r="J1175">
        <v>19</v>
      </c>
      <c r="K1175">
        <v>551</v>
      </c>
      <c r="L1175">
        <v>81.069999999999993</v>
      </c>
      <c r="M1175">
        <v>30.25</v>
      </c>
      <c r="N1175">
        <v>11.08</v>
      </c>
      <c r="O1175">
        <v>15.15</v>
      </c>
      <c r="P1175">
        <v>544.42999999999995</v>
      </c>
      <c r="Q1175">
        <v>198</v>
      </c>
      <c r="R1175">
        <v>3</v>
      </c>
      <c r="S1175">
        <v>91</v>
      </c>
    </row>
    <row r="1176" spans="1:19" x14ac:dyDescent="0.3">
      <c r="A1176">
        <v>1175</v>
      </c>
      <c r="B1176" t="s">
        <v>740</v>
      </c>
      <c r="C1176">
        <v>2022</v>
      </c>
      <c r="D1176" t="s">
        <v>226</v>
      </c>
      <c r="E1176">
        <v>11</v>
      </c>
      <c r="F1176" t="s">
        <v>25</v>
      </c>
      <c r="G1176" t="s">
        <v>35</v>
      </c>
      <c r="H1176">
        <v>39.61</v>
      </c>
      <c r="I1176" t="s">
        <v>47</v>
      </c>
      <c r="J1176">
        <v>31</v>
      </c>
      <c r="K1176">
        <v>427</v>
      </c>
      <c r="L1176">
        <v>77.78</v>
      </c>
      <c r="M1176">
        <v>21.4</v>
      </c>
      <c r="N1176">
        <v>6.27</v>
      </c>
      <c r="O1176">
        <v>13.38</v>
      </c>
      <c r="P1176">
        <v>438.28</v>
      </c>
      <c r="Q1176">
        <v>624</v>
      </c>
      <c r="R1176">
        <v>3</v>
      </c>
      <c r="S1176">
        <v>160</v>
      </c>
    </row>
    <row r="1177" spans="1:19" x14ac:dyDescent="0.3">
      <c r="A1177">
        <v>1176</v>
      </c>
      <c r="B1177" t="s">
        <v>730</v>
      </c>
      <c r="C1177">
        <v>2022</v>
      </c>
      <c r="D1177" t="s">
        <v>226</v>
      </c>
      <c r="E1177">
        <v>11</v>
      </c>
      <c r="F1177" t="s">
        <v>29</v>
      </c>
      <c r="G1177" t="s">
        <v>22</v>
      </c>
      <c r="H1177">
        <v>53.11</v>
      </c>
      <c r="I1177" t="s">
        <v>47</v>
      </c>
      <c r="J1177">
        <v>48</v>
      </c>
      <c r="K1177">
        <v>216</v>
      </c>
      <c r="L1177">
        <v>91.2</v>
      </c>
      <c r="M1177">
        <v>12.99</v>
      </c>
      <c r="N1177">
        <v>14.28</v>
      </c>
      <c r="O1177">
        <v>7.59</v>
      </c>
      <c r="P1177">
        <v>317.41000000000003</v>
      </c>
      <c r="Q1177">
        <v>1003</v>
      </c>
      <c r="R1177">
        <v>1</v>
      </c>
      <c r="S1177">
        <v>133</v>
      </c>
    </row>
    <row r="1178" spans="1:19" x14ac:dyDescent="0.3">
      <c r="A1178">
        <v>1177</v>
      </c>
      <c r="B1178" t="s">
        <v>741</v>
      </c>
      <c r="C1178">
        <v>2022</v>
      </c>
      <c r="D1178" t="s">
        <v>226</v>
      </c>
      <c r="E1178">
        <v>11</v>
      </c>
      <c r="F1178" t="s">
        <v>31</v>
      </c>
      <c r="G1178" t="s">
        <v>22</v>
      </c>
      <c r="H1178">
        <v>49.21</v>
      </c>
      <c r="I1178" t="s">
        <v>27</v>
      </c>
      <c r="J1178">
        <v>31</v>
      </c>
      <c r="K1178">
        <v>350</v>
      </c>
      <c r="L1178">
        <v>93.36</v>
      </c>
      <c r="M1178">
        <v>9.2100000000000009</v>
      </c>
      <c r="N1178">
        <v>6.77</v>
      </c>
      <c r="O1178">
        <v>10.17</v>
      </c>
      <c r="P1178">
        <v>495.53</v>
      </c>
      <c r="Q1178">
        <v>236</v>
      </c>
      <c r="R1178">
        <v>1</v>
      </c>
      <c r="S1178">
        <v>183</v>
      </c>
    </row>
    <row r="1179" spans="1:19" x14ac:dyDescent="0.3">
      <c r="A1179">
        <v>1178</v>
      </c>
      <c r="B1179" t="s">
        <v>742</v>
      </c>
      <c r="C1179">
        <v>2022</v>
      </c>
      <c r="D1179" t="s">
        <v>226</v>
      </c>
      <c r="E1179">
        <v>11</v>
      </c>
      <c r="F1179" t="s">
        <v>53</v>
      </c>
      <c r="G1179" t="s">
        <v>26</v>
      </c>
      <c r="H1179">
        <v>43.71</v>
      </c>
      <c r="I1179" t="s">
        <v>32</v>
      </c>
      <c r="J1179">
        <v>48</v>
      </c>
      <c r="K1179">
        <v>425</v>
      </c>
      <c r="L1179">
        <v>79.5</v>
      </c>
      <c r="M1179">
        <v>13.39</v>
      </c>
      <c r="N1179">
        <v>12.19</v>
      </c>
      <c r="O1179">
        <v>15.31</v>
      </c>
      <c r="P1179">
        <v>442.43</v>
      </c>
      <c r="Q1179">
        <v>249</v>
      </c>
      <c r="R1179">
        <v>2</v>
      </c>
      <c r="S1179">
        <v>85</v>
      </c>
    </row>
    <row r="1180" spans="1:19" x14ac:dyDescent="0.3">
      <c r="A1180">
        <v>1179</v>
      </c>
      <c r="B1180" t="s">
        <v>743</v>
      </c>
      <c r="C1180">
        <v>2022</v>
      </c>
      <c r="D1180" t="s">
        <v>226</v>
      </c>
      <c r="E1180">
        <v>11</v>
      </c>
      <c r="F1180" t="s">
        <v>21</v>
      </c>
      <c r="G1180" t="s">
        <v>26</v>
      </c>
      <c r="H1180">
        <v>48.71</v>
      </c>
      <c r="I1180" t="s">
        <v>27</v>
      </c>
      <c r="J1180">
        <v>36</v>
      </c>
      <c r="K1180">
        <v>118</v>
      </c>
      <c r="L1180">
        <v>91.46</v>
      </c>
      <c r="M1180">
        <v>14.34</v>
      </c>
      <c r="N1180">
        <v>9.61</v>
      </c>
      <c r="O1180">
        <v>7.69</v>
      </c>
      <c r="P1180">
        <v>292.69</v>
      </c>
      <c r="Q1180">
        <v>665</v>
      </c>
      <c r="R1180">
        <v>2</v>
      </c>
      <c r="S1180">
        <v>167</v>
      </c>
    </row>
    <row r="1181" spans="1:19" x14ac:dyDescent="0.3">
      <c r="A1181">
        <v>1180</v>
      </c>
      <c r="B1181" t="s">
        <v>744</v>
      </c>
      <c r="C1181">
        <v>2022</v>
      </c>
      <c r="D1181" t="s">
        <v>226</v>
      </c>
      <c r="E1181">
        <v>11</v>
      </c>
      <c r="F1181" t="s">
        <v>34</v>
      </c>
      <c r="G1181" t="s">
        <v>40</v>
      </c>
      <c r="H1181">
        <v>26.1</v>
      </c>
      <c r="I1181" t="s">
        <v>32</v>
      </c>
      <c r="J1181">
        <v>41</v>
      </c>
      <c r="K1181">
        <v>251</v>
      </c>
      <c r="L1181">
        <v>94.04</v>
      </c>
      <c r="M1181">
        <v>29.83</v>
      </c>
      <c r="N1181">
        <v>21.87</v>
      </c>
      <c r="O1181">
        <v>7.16</v>
      </c>
      <c r="P1181">
        <v>527.66</v>
      </c>
      <c r="Q1181">
        <v>340</v>
      </c>
      <c r="R1181">
        <v>2</v>
      </c>
      <c r="S1181">
        <v>109</v>
      </c>
    </row>
    <row r="1182" spans="1:19" x14ac:dyDescent="0.3">
      <c r="A1182">
        <v>1181</v>
      </c>
      <c r="B1182" t="s">
        <v>745</v>
      </c>
      <c r="C1182">
        <v>2022</v>
      </c>
      <c r="D1182" t="s">
        <v>226</v>
      </c>
      <c r="E1182">
        <v>11</v>
      </c>
      <c r="F1182" t="s">
        <v>29</v>
      </c>
      <c r="G1182" t="s">
        <v>26</v>
      </c>
      <c r="H1182">
        <v>49.57</v>
      </c>
      <c r="I1182" t="s">
        <v>47</v>
      </c>
      <c r="J1182">
        <v>38</v>
      </c>
      <c r="K1182">
        <v>211</v>
      </c>
      <c r="L1182">
        <v>83.2</v>
      </c>
      <c r="M1182">
        <v>30.12</v>
      </c>
      <c r="N1182">
        <v>20.18</v>
      </c>
      <c r="O1182">
        <v>10.9</v>
      </c>
      <c r="P1182">
        <v>275.7</v>
      </c>
      <c r="Q1182">
        <v>1075</v>
      </c>
      <c r="R1182">
        <v>2</v>
      </c>
      <c r="S1182">
        <v>150</v>
      </c>
    </row>
    <row r="1183" spans="1:19" x14ac:dyDescent="0.3">
      <c r="A1183">
        <v>1182</v>
      </c>
      <c r="B1183" t="s">
        <v>727</v>
      </c>
      <c r="C1183">
        <v>2022</v>
      </c>
      <c r="D1183" t="s">
        <v>226</v>
      </c>
      <c r="E1183">
        <v>11</v>
      </c>
      <c r="F1183" t="s">
        <v>21</v>
      </c>
      <c r="G1183" t="s">
        <v>26</v>
      </c>
      <c r="H1183">
        <v>6.85</v>
      </c>
      <c r="I1183" t="s">
        <v>23</v>
      </c>
      <c r="J1183">
        <v>20</v>
      </c>
      <c r="K1183">
        <v>116</v>
      </c>
      <c r="L1183">
        <v>87.29</v>
      </c>
      <c r="M1183">
        <v>17.03</v>
      </c>
      <c r="N1183">
        <v>14.75</v>
      </c>
      <c r="O1183">
        <v>12.08</v>
      </c>
      <c r="P1183">
        <v>483.08</v>
      </c>
      <c r="Q1183">
        <v>235</v>
      </c>
      <c r="R1183">
        <v>2</v>
      </c>
      <c r="S1183">
        <v>209</v>
      </c>
    </row>
    <row r="1184" spans="1:19" x14ac:dyDescent="0.3">
      <c r="A1184">
        <v>1183</v>
      </c>
      <c r="B1184" t="s">
        <v>732</v>
      </c>
      <c r="C1184">
        <v>2022</v>
      </c>
      <c r="D1184" t="s">
        <v>226</v>
      </c>
      <c r="E1184">
        <v>11</v>
      </c>
      <c r="F1184" t="s">
        <v>62</v>
      </c>
      <c r="G1184" t="s">
        <v>42</v>
      </c>
      <c r="H1184">
        <v>37.78</v>
      </c>
      <c r="I1184" t="s">
        <v>23</v>
      </c>
      <c r="J1184">
        <v>26</v>
      </c>
      <c r="K1184">
        <v>336</v>
      </c>
      <c r="L1184">
        <v>87.02</v>
      </c>
      <c r="M1184">
        <v>21.07</v>
      </c>
      <c r="N1184">
        <v>18.62</v>
      </c>
      <c r="O1184">
        <v>1.57</v>
      </c>
      <c r="P1184">
        <v>391.56</v>
      </c>
      <c r="Q1184">
        <v>597</v>
      </c>
      <c r="R1184">
        <v>2</v>
      </c>
      <c r="S1184">
        <v>98</v>
      </c>
    </row>
    <row r="1185" spans="1:19" x14ac:dyDescent="0.3">
      <c r="A1185">
        <v>1184</v>
      </c>
      <c r="B1185" t="s">
        <v>744</v>
      </c>
      <c r="C1185">
        <v>2022</v>
      </c>
      <c r="D1185" t="s">
        <v>226</v>
      </c>
      <c r="E1185">
        <v>11</v>
      </c>
      <c r="F1185" t="s">
        <v>21</v>
      </c>
      <c r="G1185" t="s">
        <v>35</v>
      </c>
      <c r="H1185">
        <v>8.84</v>
      </c>
      <c r="I1185" t="s">
        <v>47</v>
      </c>
      <c r="J1185">
        <v>33</v>
      </c>
      <c r="K1185">
        <v>132</v>
      </c>
      <c r="L1185">
        <v>82.47</v>
      </c>
      <c r="M1185">
        <v>18.66</v>
      </c>
      <c r="N1185">
        <v>13.31</v>
      </c>
      <c r="O1185">
        <v>7.74</v>
      </c>
      <c r="P1185">
        <v>540.1</v>
      </c>
      <c r="Q1185">
        <v>299</v>
      </c>
      <c r="R1185">
        <v>3</v>
      </c>
      <c r="S1185">
        <v>87</v>
      </c>
    </row>
    <row r="1186" spans="1:19" x14ac:dyDescent="0.3">
      <c r="A1186">
        <v>1185</v>
      </c>
      <c r="B1186" t="s">
        <v>743</v>
      </c>
      <c r="C1186">
        <v>2022</v>
      </c>
      <c r="D1186" t="s">
        <v>226</v>
      </c>
      <c r="E1186">
        <v>11</v>
      </c>
      <c r="F1186" t="s">
        <v>21</v>
      </c>
      <c r="G1186" t="s">
        <v>40</v>
      </c>
      <c r="H1186">
        <v>50.55</v>
      </c>
      <c r="I1186" t="s">
        <v>27</v>
      </c>
      <c r="J1186">
        <v>11</v>
      </c>
      <c r="K1186">
        <v>233</v>
      </c>
      <c r="L1186">
        <v>92.45</v>
      </c>
      <c r="M1186">
        <v>21.48</v>
      </c>
      <c r="N1186">
        <v>3.45</v>
      </c>
      <c r="O1186">
        <v>8.6199999999999992</v>
      </c>
      <c r="P1186">
        <v>139.38999999999999</v>
      </c>
      <c r="Q1186">
        <v>1088</v>
      </c>
      <c r="R1186">
        <v>2</v>
      </c>
      <c r="S1186">
        <v>76</v>
      </c>
    </row>
    <row r="1187" spans="1:19" x14ac:dyDescent="0.3">
      <c r="A1187">
        <v>1186</v>
      </c>
      <c r="B1187" t="s">
        <v>746</v>
      </c>
      <c r="C1187">
        <v>2022</v>
      </c>
      <c r="D1187" t="s">
        <v>226</v>
      </c>
      <c r="E1187">
        <v>11</v>
      </c>
      <c r="F1187" t="s">
        <v>34</v>
      </c>
      <c r="G1187" t="s">
        <v>35</v>
      </c>
      <c r="H1187">
        <v>17.02</v>
      </c>
      <c r="I1187" t="s">
        <v>23</v>
      </c>
      <c r="J1187">
        <v>48</v>
      </c>
      <c r="K1187">
        <v>217</v>
      </c>
      <c r="L1187">
        <v>92.03</v>
      </c>
      <c r="M1187">
        <v>14.21</v>
      </c>
      <c r="N1187">
        <v>7.81</v>
      </c>
      <c r="O1187">
        <v>9.9499999999999993</v>
      </c>
      <c r="P1187">
        <v>381.83</v>
      </c>
      <c r="Q1187">
        <v>204</v>
      </c>
      <c r="R1187">
        <v>4</v>
      </c>
      <c r="S1187">
        <v>131</v>
      </c>
    </row>
    <row r="1188" spans="1:19" x14ac:dyDescent="0.3">
      <c r="A1188">
        <v>1187</v>
      </c>
      <c r="B1188" t="s">
        <v>738</v>
      </c>
      <c r="C1188">
        <v>2022</v>
      </c>
      <c r="D1188" t="s">
        <v>226</v>
      </c>
      <c r="E1188">
        <v>11</v>
      </c>
      <c r="F1188" t="s">
        <v>31</v>
      </c>
      <c r="G1188" t="s">
        <v>42</v>
      </c>
      <c r="H1188">
        <v>30.22</v>
      </c>
      <c r="I1188" t="s">
        <v>47</v>
      </c>
      <c r="J1188">
        <v>34</v>
      </c>
      <c r="K1188">
        <v>589</v>
      </c>
      <c r="L1188">
        <v>76.959999999999994</v>
      </c>
      <c r="M1188">
        <v>21.79</v>
      </c>
      <c r="N1188">
        <v>3.89</v>
      </c>
      <c r="O1188">
        <v>14.38</v>
      </c>
      <c r="P1188">
        <v>260.07</v>
      </c>
      <c r="Q1188">
        <v>1086</v>
      </c>
      <c r="R1188">
        <v>5</v>
      </c>
      <c r="S1188">
        <v>82</v>
      </c>
    </row>
    <row r="1189" spans="1:19" x14ac:dyDescent="0.3">
      <c r="A1189">
        <v>1188</v>
      </c>
      <c r="B1189" t="s">
        <v>747</v>
      </c>
      <c r="C1189">
        <v>2022</v>
      </c>
      <c r="D1189" t="s">
        <v>226</v>
      </c>
      <c r="E1189">
        <v>11</v>
      </c>
      <c r="F1189" t="s">
        <v>21</v>
      </c>
      <c r="G1189" t="s">
        <v>35</v>
      </c>
      <c r="H1189">
        <v>25.13</v>
      </c>
      <c r="I1189" t="s">
        <v>23</v>
      </c>
      <c r="J1189">
        <v>8</v>
      </c>
      <c r="K1189">
        <v>365</v>
      </c>
      <c r="L1189">
        <v>88.09</v>
      </c>
      <c r="M1189">
        <v>12.56</v>
      </c>
      <c r="N1189">
        <v>2.09</v>
      </c>
      <c r="O1189">
        <v>2.17</v>
      </c>
      <c r="P1189">
        <v>117.81</v>
      </c>
      <c r="Q1189">
        <v>357</v>
      </c>
      <c r="R1189">
        <v>4</v>
      </c>
      <c r="S1189">
        <v>109</v>
      </c>
    </row>
    <row r="1190" spans="1:19" x14ac:dyDescent="0.3">
      <c r="A1190">
        <v>1189</v>
      </c>
      <c r="B1190" t="s">
        <v>743</v>
      </c>
      <c r="C1190">
        <v>2022</v>
      </c>
      <c r="D1190" t="s">
        <v>226</v>
      </c>
      <c r="E1190">
        <v>11</v>
      </c>
      <c r="F1190" t="s">
        <v>25</v>
      </c>
      <c r="G1190" t="s">
        <v>35</v>
      </c>
      <c r="H1190">
        <v>5.71</v>
      </c>
      <c r="I1190" t="s">
        <v>38</v>
      </c>
      <c r="J1190">
        <v>7</v>
      </c>
      <c r="K1190">
        <v>394</v>
      </c>
      <c r="L1190">
        <v>85.53</v>
      </c>
      <c r="M1190">
        <v>31.69</v>
      </c>
      <c r="N1190">
        <v>14.49</v>
      </c>
      <c r="O1190">
        <v>9.9</v>
      </c>
      <c r="P1190">
        <v>468.71</v>
      </c>
      <c r="Q1190">
        <v>209</v>
      </c>
      <c r="R1190">
        <v>2</v>
      </c>
      <c r="S1190">
        <v>192</v>
      </c>
    </row>
    <row r="1191" spans="1:19" x14ac:dyDescent="0.3">
      <c r="A1191">
        <v>1190</v>
      </c>
      <c r="B1191" t="s">
        <v>730</v>
      </c>
      <c r="C1191">
        <v>2022</v>
      </c>
      <c r="D1191" t="s">
        <v>226</v>
      </c>
      <c r="E1191">
        <v>11</v>
      </c>
      <c r="F1191" t="s">
        <v>37</v>
      </c>
      <c r="G1191" t="s">
        <v>40</v>
      </c>
      <c r="H1191">
        <v>34.53</v>
      </c>
      <c r="I1191" t="s">
        <v>27</v>
      </c>
      <c r="J1191">
        <v>12</v>
      </c>
      <c r="K1191">
        <v>129</v>
      </c>
      <c r="L1191">
        <v>77.260000000000005</v>
      </c>
      <c r="M1191">
        <v>7.23</v>
      </c>
      <c r="N1191">
        <v>18.05</v>
      </c>
      <c r="O1191">
        <v>15.59</v>
      </c>
      <c r="P1191">
        <v>318.01</v>
      </c>
      <c r="Q1191">
        <v>745</v>
      </c>
      <c r="R1191">
        <v>1</v>
      </c>
      <c r="S1191">
        <v>155</v>
      </c>
    </row>
    <row r="1192" spans="1:19" x14ac:dyDescent="0.3">
      <c r="A1192">
        <v>1191</v>
      </c>
      <c r="B1192" t="s">
        <v>748</v>
      </c>
      <c r="C1192">
        <v>2022</v>
      </c>
      <c r="D1192" t="s">
        <v>226</v>
      </c>
      <c r="E1192">
        <v>12</v>
      </c>
      <c r="F1192" t="s">
        <v>53</v>
      </c>
      <c r="G1192" t="s">
        <v>26</v>
      </c>
      <c r="H1192">
        <v>48.16</v>
      </c>
      <c r="I1192" t="s">
        <v>32</v>
      </c>
      <c r="J1192">
        <v>45</v>
      </c>
      <c r="K1192">
        <v>410</v>
      </c>
      <c r="L1192">
        <v>92.62</v>
      </c>
      <c r="M1192">
        <v>10.28</v>
      </c>
      <c r="N1192">
        <v>6.79</v>
      </c>
      <c r="O1192">
        <v>7.76</v>
      </c>
      <c r="P1192">
        <v>187.24</v>
      </c>
      <c r="Q1192">
        <v>661</v>
      </c>
      <c r="R1192">
        <v>3</v>
      </c>
      <c r="S1192">
        <v>139</v>
      </c>
    </row>
    <row r="1193" spans="1:19" x14ac:dyDescent="0.3">
      <c r="A1193">
        <v>1192</v>
      </c>
      <c r="B1193" t="s">
        <v>749</v>
      </c>
      <c r="C1193">
        <v>2022</v>
      </c>
      <c r="D1193" t="s">
        <v>226</v>
      </c>
      <c r="E1193">
        <v>12</v>
      </c>
      <c r="F1193" t="s">
        <v>34</v>
      </c>
      <c r="G1193" t="s">
        <v>40</v>
      </c>
      <c r="H1193">
        <v>41.51</v>
      </c>
      <c r="I1193" t="s">
        <v>27</v>
      </c>
      <c r="J1193">
        <v>27</v>
      </c>
      <c r="K1193">
        <v>488</v>
      </c>
      <c r="L1193">
        <v>79.739999999999995</v>
      </c>
      <c r="M1193">
        <v>7.93</v>
      </c>
      <c r="N1193">
        <v>9.11</v>
      </c>
      <c r="O1193">
        <v>13.4</v>
      </c>
      <c r="P1193">
        <v>429.15</v>
      </c>
      <c r="Q1193">
        <v>553</v>
      </c>
      <c r="R1193">
        <v>5</v>
      </c>
      <c r="S1193">
        <v>62</v>
      </c>
    </row>
    <row r="1194" spans="1:19" x14ac:dyDescent="0.3">
      <c r="A1194">
        <v>1193</v>
      </c>
      <c r="B1194" t="s">
        <v>750</v>
      </c>
      <c r="C1194">
        <v>2022</v>
      </c>
      <c r="D1194" t="s">
        <v>226</v>
      </c>
      <c r="E1194">
        <v>12</v>
      </c>
      <c r="F1194" t="s">
        <v>31</v>
      </c>
      <c r="G1194" t="s">
        <v>26</v>
      </c>
      <c r="H1194">
        <v>34.82</v>
      </c>
      <c r="I1194" t="s">
        <v>38</v>
      </c>
      <c r="J1194">
        <v>21</v>
      </c>
      <c r="K1194">
        <v>337</v>
      </c>
      <c r="L1194">
        <v>81.77</v>
      </c>
      <c r="M1194">
        <v>24.3</v>
      </c>
      <c r="N1194">
        <v>19.190000000000001</v>
      </c>
      <c r="O1194">
        <v>3.66</v>
      </c>
      <c r="P1194">
        <v>178.1</v>
      </c>
      <c r="Q1194">
        <v>820</v>
      </c>
      <c r="R1194">
        <v>1</v>
      </c>
      <c r="S1194">
        <v>233</v>
      </c>
    </row>
    <row r="1195" spans="1:19" x14ac:dyDescent="0.3">
      <c r="A1195">
        <v>1194</v>
      </c>
      <c r="B1195" t="s">
        <v>751</v>
      </c>
      <c r="C1195">
        <v>2022</v>
      </c>
      <c r="D1195" t="s">
        <v>226</v>
      </c>
      <c r="E1195">
        <v>12</v>
      </c>
      <c r="F1195" t="s">
        <v>34</v>
      </c>
      <c r="G1195" t="s">
        <v>40</v>
      </c>
      <c r="H1195">
        <v>11.24</v>
      </c>
      <c r="I1195" t="s">
        <v>32</v>
      </c>
      <c r="J1195">
        <v>36</v>
      </c>
      <c r="K1195">
        <v>410</v>
      </c>
      <c r="L1195">
        <v>81.81</v>
      </c>
      <c r="M1195">
        <v>17.350000000000001</v>
      </c>
      <c r="N1195">
        <v>15.49</v>
      </c>
      <c r="O1195">
        <v>14.38</v>
      </c>
      <c r="P1195">
        <v>424.27</v>
      </c>
      <c r="Q1195">
        <v>678</v>
      </c>
      <c r="R1195">
        <v>1</v>
      </c>
      <c r="S1195">
        <v>123</v>
      </c>
    </row>
    <row r="1196" spans="1:19" x14ac:dyDescent="0.3">
      <c r="A1196">
        <v>1195</v>
      </c>
      <c r="B1196" t="s">
        <v>752</v>
      </c>
      <c r="C1196">
        <v>2022</v>
      </c>
      <c r="D1196" t="s">
        <v>226</v>
      </c>
      <c r="E1196">
        <v>12</v>
      </c>
      <c r="F1196" t="s">
        <v>34</v>
      </c>
      <c r="G1196" t="s">
        <v>40</v>
      </c>
      <c r="H1196">
        <v>31.66</v>
      </c>
      <c r="I1196" t="s">
        <v>32</v>
      </c>
      <c r="J1196">
        <v>49</v>
      </c>
      <c r="K1196">
        <v>551</v>
      </c>
      <c r="L1196">
        <v>75.06</v>
      </c>
      <c r="M1196">
        <v>6.11</v>
      </c>
      <c r="N1196">
        <v>14.47</v>
      </c>
      <c r="O1196">
        <v>3.2</v>
      </c>
      <c r="P1196">
        <v>533.92999999999995</v>
      </c>
      <c r="Q1196">
        <v>147</v>
      </c>
      <c r="R1196">
        <v>4</v>
      </c>
      <c r="S1196">
        <v>145</v>
      </c>
    </row>
    <row r="1197" spans="1:19" x14ac:dyDescent="0.3">
      <c r="A1197">
        <v>1196</v>
      </c>
      <c r="B1197" t="s">
        <v>749</v>
      </c>
      <c r="C1197">
        <v>2022</v>
      </c>
      <c r="D1197" t="s">
        <v>226</v>
      </c>
      <c r="E1197">
        <v>12</v>
      </c>
      <c r="F1197" t="s">
        <v>37</v>
      </c>
      <c r="G1197" t="s">
        <v>40</v>
      </c>
      <c r="H1197">
        <v>19.23</v>
      </c>
      <c r="I1197" t="s">
        <v>23</v>
      </c>
      <c r="J1197">
        <v>46</v>
      </c>
      <c r="K1197">
        <v>320</v>
      </c>
      <c r="L1197">
        <v>75.98</v>
      </c>
      <c r="M1197">
        <v>23.02</v>
      </c>
      <c r="N1197">
        <v>9.9499999999999993</v>
      </c>
      <c r="O1197">
        <v>11.7</v>
      </c>
      <c r="P1197">
        <v>103.36</v>
      </c>
      <c r="Q1197">
        <v>1006</v>
      </c>
      <c r="R1197">
        <v>4</v>
      </c>
      <c r="S1197">
        <v>62</v>
      </c>
    </row>
    <row r="1198" spans="1:19" x14ac:dyDescent="0.3">
      <c r="A1198">
        <v>1197</v>
      </c>
      <c r="B1198" t="s">
        <v>753</v>
      </c>
      <c r="C1198">
        <v>2022</v>
      </c>
      <c r="D1198" t="s">
        <v>226</v>
      </c>
      <c r="E1198">
        <v>12</v>
      </c>
      <c r="F1198" t="s">
        <v>62</v>
      </c>
      <c r="G1198" t="s">
        <v>22</v>
      </c>
      <c r="H1198">
        <v>50.29</v>
      </c>
      <c r="I1198" t="s">
        <v>47</v>
      </c>
      <c r="J1198">
        <v>37</v>
      </c>
      <c r="K1198">
        <v>297</v>
      </c>
      <c r="L1198">
        <v>93.81</v>
      </c>
      <c r="M1198">
        <v>27.49</v>
      </c>
      <c r="N1198">
        <v>7.48</v>
      </c>
      <c r="O1198">
        <v>7.03</v>
      </c>
      <c r="P1198">
        <v>315.83999999999997</v>
      </c>
      <c r="Q1198">
        <v>198</v>
      </c>
      <c r="R1198">
        <v>4</v>
      </c>
      <c r="S1198">
        <v>237</v>
      </c>
    </row>
    <row r="1199" spans="1:19" x14ac:dyDescent="0.3">
      <c r="A1199">
        <v>1198</v>
      </c>
      <c r="B1199" t="s">
        <v>754</v>
      </c>
      <c r="C1199">
        <v>2022</v>
      </c>
      <c r="D1199" t="s">
        <v>226</v>
      </c>
      <c r="E1199">
        <v>12</v>
      </c>
      <c r="F1199" t="s">
        <v>37</v>
      </c>
      <c r="G1199" t="s">
        <v>42</v>
      </c>
      <c r="H1199">
        <v>14.11</v>
      </c>
      <c r="I1199" t="s">
        <v>38</v>
      </c>
      <c r="J1199">
        <v>35</v>
      </c>
      <c r="K1199">
        <v>189</v>
      </c>
      <c r="L1199">
        <v>85.38</v>
      </c>
      <c r="M1199">
        <v>34.51</v>
      </c>
      <c r="N1199">
        <v>9.7200000000000006</v>
      </c>
      <c r="O1199">
        <v>5.08</v>
      </c>
      <c r="P1199">
        <v>145.63999999999999</v>
      </c>
      <c r="Q1199">
        <v>367</v>
      </c>
      <c r="R1199">
        <v>1</v>
      </c>
      <c r="S1199">
        <v>191</v>
      </c>
    </row>
    <row r="1200" spans="1:19" x14ac:dyDescent="0.3">
      <c r="A1200">
        <v>1199</v>
      </c>
      <c r="B1200" t="s">
        <v>755</v>
      </c>
      <c r="C1200">
        <v>2022</v>
      </c>
      <c r="D1200" t="s">
        <v>226</v>
      </c>
      <c r="E1200">
        <v>12</v>
      </c>
      <c r="F1200" t="s">
        <v>34</v>
      </c>
      <c r="G1200" t="s">
        <v>40</v>
      </c>
      <c r="H1200">
        <v>53.26</v>
      </c>
      <c r="I1200" t="s">
        <v>23</v>
      </c>
      <c r="J1200">
        <v>32</v>
      </c>
      <c r="K1200">
        <v>435</v>
      </c>
      <c r="L1200">
        <v>80.73</v>
      </c>
      <c r="M1200">
        <v>14.88</v>
      </c>
      <c r="N1200">
        <v>4.16</v>
      </c>
      <c r="O1200">
        <v>10.119999999999999</v>
      </c>
      <c r="P1200">
        <v>575.05999999999995</v>
      </c>
      <c r="Q1200">
        <v>897</v>
      </c>
      <c r="R1200">
        <v>1</v>
      </c>
      <c r="S1200">
        <v>215</v>
      </c>
    </row>
    <row r="1201" spans="1:19" x14ac:dyDescent="0.3">
      <c r="A1201">
        <v>1200</v>
      </c>
      <c r="B1201" t="s">
        <v>756</v>
      </c>
      <c r="C1201">
        <v>2022</v>
      </c>
      <c r="D1201" t="s">
        <v>226</v>
      </c>
      <c r="E1201">
        <v>12</v>
      </c>
      <c r="F1201" t="s">
        <v>34</v>
      </c>
      <c r="G1201" t="s">
        <v>26</v>
      </c>
      <c r="H1201">
        <v>45.45</v>
      </c>
      <c r="I1201" t="s">
        <v>47</v>
      </c>
      <c r="J1201">
        <v>7</v>
      </c>
      <c r="K1201">
        <v>568</v>
      </c>
      <c r="L1201">
        <v>91.91</v>
      </c>
      <c r="M1201">
        <v>32.450000000000003</v>
      </c>
      <c r="N1201">
        <v>9.11</v>
      </c>
      <c r="O1201">
        <v>11.77</v>
      </c>
      <c r="P1201">
        <v>108.82</v>
      </c>
      <c r="Q1201">
        <v>123</v>
      </c>
      <c r="R1201">
        <v>1</v>
      </c>
      <c r="S1201">
        <v>68</v>
      </c>
    </row>
    <row r="1202" spans="1:19" x14ac:dyDescent="0.3">
      <c r="A1202">
        <v>1201</v>
      </c>
      <c r="B1202" t="s">
        <v>753</v>
      </c>
      <c r="C1202">
        <v>2022</v>
      </c>
      <c r="D1202" t="s">
        <v>226</v>
      </c>
      <c r="E1202">
        <v>12</v>
      </c>
      <c r="F1202" t="s">
        <v>62</v>
      </c>
      <c r="G1202" t="s">
        <v>40</v>
      </c>
      <c r="H1202">
        <v>49.27</v>
      </c>
      <c r="I1202" t="s">
        <v>32</v>
      </c>
      <c r="J1202">
        <v>2</v>
      </c>
      <c r="K1202">
        <v>549</v>
      </c>
      <c r="L1202">
        <v>78.260000000000005</v>
      </c>
      <c r="M1202">
        <v>19.12</v>
      </c>
      <c r="N1202">
        <v>15.06</v>
      </c>
      <c r="O1202">
        <v>6.66</v>
      </c>
      <c r="P1202">
        <v>360.1</v>
      </c>
      <c r="Q1202">
        <v>1026</v>
      </c>
      <c r="R1202">
        <v>1</v>
      </c>
      <c r="S1202">
        <v>158</v>
      </c>
    </row>
    <row r="1203" spans="1:19" x14ac:dyDescent="0.3">
      <c r="A1203">
        <v>1202</v>
      </c>
      <c r="B1203" t="s">
        <v>755</v>
      </c>
      <c r="C1203">
        <v>2022</v>
      </c>
      <c r="D1203" t="s">
        <v>226</v>
      </c>
      <c r="E1203">
        <v>12</v>
      </c>
      <c r="F1203" t="s">
        <v>62</v>
      </c>
      <c r="G1203" t="s">
        <v>42</v>
      </c>
      <c r="H1203">
        <v>26.73</v>
      </c>
      <c r="I1203" t="s">
        <v>38</v>
      </c>
      <c r="J1203">
        <v>42</v>
      </c>
      <c r="K1203">
        <v>538</v>
      </c>
      <c r="L1203">
        <v>94.36</v>
      </c>
      <c r="M1203">
        <v>11.71</v>
      </c>
      <c r="N1203">
        <v>17.25</v>
      </c>
      <c r="O1203">
        <v>10.06</v>
      </c>
      <c r="P1203">
        <v>503.97</v>
      </c>
      <c r="Q1203">
        <v>672</v>
      </c>
      <c r="R1203">
        <v>1</v>
      </c>
      <c r="S1203">
        <v>83</v>
      </c>
    </row>
    <row r="1204" spans="1:19" x14ac:dyDescent="0.3">
      <c r="A1204">
        <v>1203</v>
      </c>
      <c r="B1204" t="s">
        <v>757</v>
      </c>
      <c r="C1204">
        <v>2022</v>
      </c>
      <c r="D1204" t="s">
        <v>226</v>
      </c>
      <c r="E1204">
        <v>12</v>
      </c>
      <c r="F1204" t="s">
        <v>25</v>
      </c>
      <c r="G1204" t="s">
        <v>42</v>
      </c>
      <c r="H1204">
        <v>22.96</v>
      </c>
      <c r="I1204" t="s">
        <v>27</v>
      </c>
      <c r="J1204">
        <v>29</v>
      </c>
      <c r="K1204">
        <v>189</v>
      </c>
      <c r="L1204">
        <v>86.58</v>
      </c>
      <c r="M1204">
        <v>14.68</v>
      </c>
      <c r="N1204">
        <v>12</v>
      </c>
      <c r="O1204">
        <v>11.13</v>
      </c>
      <c r="P1204">
        <v>580.32000000000005</v>
      </c>
      <c r="Q1204">
        <v>512</v>
      </c>
      <c r="R1204">
        <v>3</v>
      </c>
      <c r="S1204">
        <v>148</v>
      </c>
    </row>
    <row r="1205" spans="1:19" x14ac:dyDescent="0.3">
      <c r="A1205">
        <v>1204</v>
      </c>
      <c r="B1205" t="s">
        <v>758</v>
      </c>
      <c r="C1205">
        <v>2022</v>
      </c>
      <c r="D1205" t="s">
        <v>226</v>
      </c>
      <c r="E1205">
        <v>12</v>
      </c>
      <c r="F1205" t="s">
        <v>31</v>
      </c>
      <c r="G1205" t="s">
        <v>35</v>
      </c>
      <c r="H1205">
        <v>26.5</v>
      </c>
      <c r="I1205" t="s">
        <v>23</v>
      </c>
      <c r="J1205">
        <v>27</v>
      </c>
      <c r="K1205">
        <v>116</v>
      </c>
      <c r="L1205">
        <v>81.680000000000007</v>
      </c>
      <c r="M1205">
        <v>30.66</v>
      </c>
      <c r="N1205">
        <v>9.86</v>
      </c>
      <c r="O1205">
        <v>6.25</v>
      </c>
      <c r="P1205">
        <v>356.55</v>
      </c>
      <c r="Q1205">
        <v>533</v>
      </c>
      <c r="R1205">
        <v>3</v>
      </c>
      <c r="S1205">
        <v>55</v>
      </c>
    </row>
    <row r="1206" spans="1:19" x14ac:dyDescent="0.3">
      <c r="A1206">
        <v>1205</v>
      </c>
      <c r="B1206" t="s">
        <v>759</v>
      </c>
      <c r="C1206">
        <v>2022</v>
      </c>
      <c r="D1206" t="s">
        <v>226</v>
      </c>
      <c r="E1206">
        <v>12</v>
      </c>
      <c r="F1206" t="s">
        <v>29</v>
      </c>
      <c r="G1206" t="s">
        <v>22</v>
      </c>
      <c r="H1206">
        <v>21.34</v>
      </c>
      <c r="I1206" t="s">
        <v>27</v>
      </c>
      <c r="J1206">
        <v>21</v>
      </c>
      <c r="K1206">
        <v>298</v>
      </c>
      <c r="L1206">
        <v>89</v>
      </c>
      <c r="M1206">
        <v>29.84</v>
      </c>
      <c r="N1206">
        <v>12.58</v>
      </c>
      <c r="O1206">
        <v>1.46</v>
      </c>
      <c r="P1206">
        <v>594.91999999999996</v>
      </c>
      <c r="Q1206">
        <v>955</v>
      </c>
      <c r="R1206">
        <v>1</v>
      </c>
      <c r="S1206">
        <v>147</v>
      </c>
    </row>
    <row r="1207" spans="1:19" x14ac:dyDescent="0.3">
      <c r="A1207">
        <v>1206</v>
      </c>
      <c r="B1207" t="s">
        <v>754</v>
      </c>
      <c r="C1207">
        <v>2022</v>
      </c>
      <c r="D1207" t="s">
        <v>226</v>
      </c>
      <c r="E1207">
        <v>12</v>
      </c>
      <c r="F1207" t="s">
        <v>25</v>
      </c>
      <c r="G1207" t="s">
        <v>22</v>
      </c>
      <c r="H1207">
        <v>41.82</v>
      </c>
      <c r="I1207" t="s">
        <v>47</v>
      </c>
      <c r="J1207">
        <v>2</v>
      </c>
      <c r="K1207">
        <v>146</v>
      </c>
      <c r="L1207">
        <v>83.65</v>
      </c>
      <c r="M1207">
        <v>28.68</v>
      </c>
      <c r="N1207">
        <v>16.46</v>
      </c>
      <c r="O1207">
        <v>2.4300000000000002</v>
      </c>
      <c r="P1207">
        <v>178.03</v>
      </c>
      <c r="Q1207">
        <v>264</v>
      </c>
      <c r="R1207">
        <v>2</v>
      </c>
      <c r="S1207">
        <v>109</v>
      </c>
    </row>
    <row r="1208" spans="1:19" x14ac:dyDescent="0.3">
      <c r="A1208">
        <v>1207</v>
      </c>
      <c r="B1208" t="s">
        <v>760</v>
      </c>
      <c r="C1208">
        <v>2022</v>
      </c>
      <c r="D1208" t="s">
        <v>226</v>
      </c>
      <c r="E1208">
        <v>12</v>
      </c>
      <c r="F1208" t="s">
        <v>34</v>
      </c>
      <c r="G1208" t="s">
        <v>35</v>
      </c>
      <c r="H1208">
        <v>10.73</v>
      </c>
      <c r="I1208" t="s">
        <v>32</v>
      </c>
      <c r="J1208">
        <v>17</v>
      </c>
      <c r="K1208">
        <v>297</v>
      </c>
      <c r="L1208">
        <v>88.31</v>
      </c>
      <c r="M1208">
        <v>13.31</v>
      </c>
      <c r="N1208">
        <v>11.73</v>
      </c>
      <c r="O1208">
        <v>14.85</v>
      </c>
      <c r="P1208">
        <v>307.86</v>
      </c>
      <c r="Q1208">
        <v>747</v>
      </c>
      <c r="R1208">
        <v>2</v>
      </c>
      <c r="S1208">
        <v>200</v>
      </c>
    </row>
    <row r="1209" spans="1:19" x14ac:dyDescent="0.3">
      <c r="A1209">
        <v>1208</v>
      </c>
      <c r="B1209" t="s">
        <v>761</v>
      </c>
      <c r="C1209">
        <v>2022</v>
      </c>
      <c r="D1209" t="s">
        <v>226</v>
      </c>
      <c r="E1209">
        <v>12</v>
      </c>
      <c r="F1209" t="s">
        <v>31</v>
      </c>
      <c r="G1209" t="s">
        <v>42</v>
      </c>
      <c r="H1209">
        <v>25.42</v>
      </c>
      <c r="I1209" t="s">
        <v>27</v>
      </c>
      <c r="J1209">
        <v>20</v>
      </c>
      <c r="K1209">
        <v>394</v>
      </c>
      <c r="L1209">
        <v>93.05</v>
      </c>
      <c r="M1209">
        <v>34.42</v>
      </c>
      <c r="N1209">
        <v>16.07</v>
      </c>
      <c r="O1209">
        <v>5.15</v>
      </c>
      <c r="P1209">
        <v>508.27</v>
      </c>
      <c r="Q1209">
        <v>234</v>
      </c>
      <c r="R1209">
        <v>1</v>
      </c>
      <c r="S1209">
        <v>202</v>
      </c>
    </row>
    <row r="1210" spans="1:19" x14ac:dyDescent="0.3">
      <c r="A1210">
        <v>1209</v>
      </c>
      <c r="B1210" t="s">
        <v>757</v>
      </c>
      <c r="C1210">
        <v>2022</v>
      </c>
      <c r="D1210" t="s">
        <v>226</v>
      </c>
      <c r="E1210">
        <v>12</v>
      </c>
      <c r="F1210" t="s">
        <v>34</v>
      </c>
      <c r="G1210" t="s">
        <v>35</v>
      </c>
      <c r="H1210">
        <v>44.48</v>
      </c>
      <c r="I1210" t="s">
        <v>27</v>
      </c>
      <c r="J1210">
        <v>33</v>
      </c>
      <c r="K1210">
        <v>317</v>
      </c>
      <c r="L1210">
        <v>94.97</v>
      </c>
      <c r="M1210">
        <v>33.78</v>
      </c>
      <c r="N1210">
        <v>21.06</v>
      </c>
      <c r="O1210">
        <v>7.83</v>
      </c>
      <c r="P1210">
        <v>576.72</v>
      </c>
      <c r="Q1210">
        <v>1072</v>
      </c>
      <c r="R1210">
        <v>5</v>
      </c>
      <c r="S1210">
        <v>56</v>
      </c>
    </row>
    <row r="1211" spans="1:19" x14ac:dyDescent="0.3">
      <c r="A1211">
        <v>1210</v>
      </c>
      <c r="B1211" t="s">
        <v>753</v>
      </c>
      <c r="C1211">
        <v>2022</v>
      </c>
      <c r="D1211" t="s">
        <v>226</v>
      </c>
      <c r="E1211">
        <v>12</v>
      </c>
      <c r="F1211" t="s">
        <v>29</v>
      </c>
      <c r="G1211" t="s">
        <v>35</v>
      </c>
      <c r="H1211">
        <v>11.53</v>
      </c>
      <c r="I1211" t="s">
        <v>38</v>
      </c>
      <c r="J1211">
        <v>15</v>
      </c>
      <c r="K1211">
        <v>286</v>
      </c>
      <c r="L1211">
        <v>84.14</v>
      </c>
      <c r="M1211">
        <v>24.01</v>
      </c>
      <c r="N1211">
        <v>10.36</v>
      </c>
      <c r="O1211">
        <v>15.25</v>
      </c>
      <c r="P1211">
        <v>540.09</v>
      </c>
      <c r="Q1211">
        <v>760</v>
      </c>
      <c r="R1211">
        <v>3</v>
      </c>
      <c r="S1211">
        <v>92</v>
      </c>
    </row>
    <row r="1212" spans="1:19" x14ac:dyDescent="0.3">
      <c r="A1212">
        <v>1211</v>
      </c>
      <c r="B1212" t="s">
        <v>762</v>
      </c>
      <c r="C1212">
        <v>2022</v>
      </c>
      <c r="D1212" t="s">
        <v>226</v>
      </c>
      <c r="E1212">
        <v>12</v>
      </c>
      <c r="F1212" t="s">
        <v>25</v>
      </c>
      <c r="G1212" t="s">
        <v>26</v>
      </c>
      <c r="H1212">
        <v>34.35</v>
      </c>
      <c r="I1212" t="s">
        <v>38</v>
      </c>
      <c r="J1212">
        <v>36</v>
      </c>
      <c r="K1212">
        <v>444</v>
      </c>
      <c r="L1212">
        <v>91.57</v>
      </c>
      <c r="M1212">
        <v>32.159999999999997</v>
      </c>
      <c r="N1212">
        <v>6.25</v>
      </c>
      <c r="O1212">
        <v>12.86</v>
      </c>
      <c r="P1212">
        <v>287.05</v>
      </c>
      <c r="Q1212">
        <v>166</v>
      </c>
      <c r="R1212">
        <v>2</v>
      </c>
      <c r="S1212">
        <v>69</v>
      </c>
    </row>
    <row r="1213" spans="1:19" x14ac:dyDescent="0.3">
      <c r="A1213">
        <v>1212</v>
      </c>
      <c r="B1213" t="s">
        <v>763</v>
      </c>
      <c r="C1213">
        <v>2022</v>
      </c>
      <c r="D1213" t="s">
        <v>226</v>
      </c>
      <c r="E1213">
        <v>12</v>
      </c>
      <c r="F1213" t="s">
        <v>29</v>
      </c>
      <c r="G1213" t="s">
        <v>26</v>
      </c>
      <c r="H1213">
        <v>10.82</v>
      </c>
      <c r="I1213" t="s">
        <v>38</v>
      </c>
      <c r="J1213">
        <v>17</v>
      </c>
      <c r="K1213">
        <v>281</v>
      </c>
      <c r="L1213">
        <v>94.81</v>
      </c>
      <c r="M1213">
        <v>17.75</v>
      </c>
      <c r="N1213">
        <v>10.76</v>
      </c>
      <c r="O1213">
        <v>10.49</v>
      </c>
      <c r="P1213">
        <v>583.14</v>
      </c>
      <c r="Q1213">
        <v>1072</v>
      </c>
      <c r="R1213">
        <v>3</v>
      </c>
      <c r="S1213">
        <v>129</v>
      </c>
    </row>
    <row r="1214" spans="1:19" x14ac:dyDescent="0.3">
      <c r="A1214">
        <v>1213</v>
      </c>
      <c r="B1214" t="s">
        <v>764</v>
      </c>
      <c r="C1214">
        <v>2022</v>
      </c>
      <c r="D1214" t="s">
        <v>226</v>
      </c>
      <c r="E1214">
        <v>12</v>
      </c>
      <c r="F1214" t="s">
        <v>62</v>
      </c>
      <c r="G1214" t="s">
        <v>22</v>
      </c>
      <c r="H1214">
        <v>6.39</v>
      </c>
      <c r="I1214" t="s">
        <v>47</v>
      </c>
      <c r="J1214">
        <v>27</v>
      </c>
      <c r="K1214">
        <v>512</v>
      </c>
      <c r="L1214">
        <v>89.78</v>
      </c>
      <c r="M1214">
        <v>23.41</v>
      </c>
      <c r="N1214">
        <v>10.56</v>
      </c>
      <c r="O1214">
        <v>12.53</v>
      </c>
      <c r="P1214">
        <v>223.35</v>
      </c>
      <c r="Q1214">
        <v>168</v>
      </c>
      <c r="R1214">
        <v>5</v>
      </c>
      <c r="S1214">
        <v>139</v>
      </c>
    </row>
    <row r="1215" spans="1:19" x14ac:dyDescent="0.3">
      <c r="A1215">
        <v>1214</v>
      </c>
      <c r="B1215" t="s">
        <v>765</v>
      </c>
      <c r="C1215">
        <v>2022</v>
      </c>
      <c r="D1215" t="s">
        <v>226</v>
      </c>
      <c r="E1215">
        <v>12</v>
      </c>
      <c r="F1215" t="s">
        <v>62</v>
      </c>
      <c r="G1215" t="s">
        <v>26</v>
      </c>
      <c r="H1215">
        <v>28.61</v>
      </c>
      <c r="I1215" t="s">
        <v>47</v>
      </c>
      <c r="J1215">
        <v>1</v>
      </c>
      <c r="K1215">
        <v>289</v>
      </c>
      <c r="L1215">
        <v>91.15</v>
      </c>
      <c r="M1215">
        <v>13.48</v>
      </c>
      <c r="N1215">
        <v>17.489999999999998</v>
      </c>
      <c r="O1215">
        <v>9.7899999999999991</v>
      </c>
      <c r="P1215">
        <v>251.34</v>
      </c>
      <c r="Q1215">
        <v>541</v>
      </c>
      <c r="R1215">
        <v>5</v>
      </c>
      <c r="S1215">
        <v>144</v>
      </c>
    </row>
    <row r="1216" spans="1:19" x14ac:dyDescent="0.3">
      <c r="A1216">
        <v>1215</v>
      </c>
      <c r="B1216" t="s">
        <v>759</v>
      </c>
      <c r="C1216">
        <v>2022</v>
      </c>
      <c r="D1216" t="s">
        <v>226</v>
      </c>
      <c r="E1216">
        <v>12</v>
      </c>
      <c r="F1216" t="s">
        <v>21</v>
      </c>
      <c r="G1216" t="s">
        <v>22</v>
      </c>
      <c r="H1216">
        <v>34.08</v>
      </c>
      <c r="I1216" t="s">
        <v>27</v>
      </c>
      <c r="J1216">
        <v>4</v>
      </c>
      <c r="K1216">
        <v>181</v>
      </c>
      <c r="L1216">
        <v>88.04</v>
      </c>
      <c r="M1216">
        <v>24.09</v>
      </c>
      <c r="N1216">
        <v>8.69</v>
      </c>
      <c r="O1216">
        <v>12.11</v>
      </c>
      <c r="P1216">
        <v>402.49</v>
      </c>
      <c r="Q1216">
        <v>914</v>
      </c>
      <c r="R1216">
        <v>3</v>
      </c>
      <c r="S1216">
        <v>133</v>
      </c>
    </row>
    <row r="1217" spans="1:19" x14ac:dyDescent="0.3">
      <c r="A1217">
        <v>1216</v>
      </c>
      <c r="B1217" t="s">
        <v>758</v>
      </c>
      <c r="C1217">
        <v>2022</v>
      </c>
      <c r="D1217" t="s">
        <v>226</v>
      </c>
      <c r="E1217">
        <v>12</v>
      </c>
      <c r="F1217" t="s">
        <v>21</v>
      </c>
      <c r="G1217" t="s">
        <v>35</v>
      </c>
      <c r="H1217">
        <v>38.119999999999997</v>
      </c>
      <c r="I1217" t="s">
        <v>47</v>
      </c>
      <c r="J1217">
        <v>45</v>
      </c>
      <c r="K1217">
        <v>355</v>
      </c>
      <c r="L1217">
        <v>90.32</v>
      </c>
      <c r="M1217">
        <v>27.67</v>
      </c>
      <c r="N1217">
        <v>8.1300000000000008</v>
      </c>
      <c r="O1217">
        <v>6.26</v>
      </c>
      <c r="P1217">
        <v>427.62</v>
      </c>
      <c r="Q1217">
        <v>300</v>
      </c>
      <c r="R1217">
        <v>4</v>
      </c>
      <c r="S1217">
        <v>66</v>
      </c>
    </row>
    <row r="1218" spans="1:19" x14ac:dyDescent="0.3">
      <c r="A1218">
        <v>1217</v>
      </c>
      <c r="B1218" t="s">
        <v>766</v>
      </c>
      <c r="C1218">
        <v>2022</v>
      </c>
      <c r="D1218" t="s">
        <v>226</v>
      </c>
      <c r="E1218">
        <v>12</v>
      </c>
      <c r="F1218" t="s">
        <v>37</v>
      </c>
      <c r="G1218" t="s">
        <v>35</v>
      </c>
      <c r="H1218">
        <v>13.59</v>
      </c>
      <c r="I1218" t="s">
        <v>32</v>
      </c>
      <c r="J1218">
        <v>5</v>
      </c>
      <c r="K1218">
        <v>346</v>
      </c>
      <c r="L1218">
        <v>77.22</v>
      </c>
      <c r="M1218">
        <v>26.79</v>
      </c>
      <c r="N1218">
        <v>21.1</v>
      </c>
      <c r="O1218">
        <v>9.4700000000000006</v>
      </c>
      <c r="P1218">
        <v>391.55</v>
      </c>
      <c r="Q1218">
        <v>207</v>
      </c>
      <c r="R1218">
        <v>3</v>
      </c>
      <c r="S1218">
        <v>114</v>
      </c>
    </row>
    <row r="1219" spans="1:19" x14ac:dyDescent="0.3">
      <c r="A1219">
        <v>1218</v>
      </c>
      <c r="B1219" t="s">
        <v>767</v>
      </c>
      <c r="C1219">
        <v>2022</v>
      </c>
      <c r="D1219" t="s">
        <v>226</v>
      </c>
      <c r="E1219">
        <v>12</v>
      </c>
      <c r="F1219" t="s">
        <v>37</v>
      </c>
      <c r="G1219" t="s">
        <v>26</v>
      </c>
      <c r="H1219">
        <v>30.9</v>
      </c>
      <c r="I1219" t="s">
        <v>32</v>
      </c>
      <c r="J1219">
        <v>14</v>
      </c>
      <c r="K1219">
        <v>280</v>
      </c>
      <c r="L1219">
        <v>93.64</v>
      </c>
      <c r="M1219">
        <v>8.26</v>
      </c>
      <c r="N1219">
        <v>13.86</v>
      </c>
      <c r="O1219">
        <v>5.45</v>
      </c>
      <c r="P1219">
        <v>594.62</v>
      </c>
      <c r="Q1219">
        <v>715</v>
      </c>
      <c r="R1219">
        <v>3</v>
      </c>
      <c r="S1219">
        <v>79</v>
      </c>
    </row>
    <row r="1220" spans="1:19" x14ac:dyDescent="0.3">
      <c r="A1220">
        <v>1219</v>
      </c>
      <c r="B1220" t="s">
        <v>763</v>
      </c>
      <c r="C1220">
        <v>2022</v>
      </c>
      <c r="D1220" t="s">
        <v>226</v>
      </c>
      <c r="E1220">
        <v>12</v>
      </c>
      <c r="F1220" t="s">
        <v>31</v>
      </c>
      <c r="G1220" t="s">
        <v>26</v>
      </c>
      <c r="H1220">
        <v>10.42</v>
      </c>
      <c r="I1220" t="s">
        <v>27</v>
      </c>
      <c r="J1220">
        <v>34</v>
      </c>
      <c r="K1220">
        <v>331</v>
      </c>
      <c r="L1220">
        <v>87.88</v>
      </c>
      <c r="M1220">
        <v>13.87</v>
      </c>
      <c r="N1220">
        <v>5.75</v>
      </c>
      <c r="O1220">
        <v>8.32</v>
      </c>
      <c r="P1220">
        <v>451.21</v>
      </c>
      <c r="Q1220">
        <v>613</v>
      </c>
      <c r="R1220">
        <v>5</v>
      </c>
      <c r="S1220">
        <v>126</v>
      </c>
    </row>
    <row r="1221" spans="1:19" x14ac:dyDescent="0.3">
      <c r="A1221">
        <v>1220</v>
      </c>
      <c r="B1221" t="s">
        <v>768</v>
      </c>
      <c r="C1221">
        <v>2022</v>
      </c>
      <c r="D1221" t="s">
        <v>226</v>
      </c>
      <c r="E1221">
        <v>12</v>
      </c>
      <c r="F1221" t="s">
        <v>34</v>
      </c>
      <c r="G1221" t="s">
        <v>40</v>
      </c>
      <c r="H1221">
        <v>42.68</v>
      </c>
      <c r="I1221" t="s">
        <v>27</v>
      </c>
      <c r="J1221">
        <v>6</v>
      </c>
      <c r="K1221">
        <v>262</v>
      </c>
      <c r="L1221">
        <v>76.47</v>
      </c>
      <c r="M1221">
        <v>25.33</v>
      </c>
      <c r="N1221">
        <v>21.13</v>
      </c>
      <c r="O1221">
        <v>8.09</v>
      </c>
      <c r="P1221">
        <v>203.84</v>
      </c>
      <c r="Q1221">
        <v>233</v>
      </c>
      <c r="R1221">
        <v>3</v>
      </c>
      <c r="S1221">
        <v>167</v>
      </c>
    </row>
    <row r="1222" spans="1:19" x14ac:dyDescent="0.3">
      <c r="A1222">
        <v>1221</v>
      </c>
      <c r="B1222" t="s">
        <v>765</v>
      </c>
      <c r="C1222">
        <v>2022</v>
      </c>
      <c r="D1222" t="s">
        <v>226</v>
      </c>
      <c r="E1222">
        <v>12</v>
      </c>
      <c r="F1222" t="s">
        <v>29</v>
      </c>
      <c r="G1222" t="s">
        <v>35</v>
      </c>
      <c r="H1222">
        <v>5.39</v>
      </c>
      <c r="I1222" t="s">
        <v>27</v>
      </c>
      <c r="J1222">
        <v>39</v>
      </c>
      <c r="K1222">
        <v>477</v>
      </c>
      <c r="L1222">
        <v>78.239999999999995</v>
      </c>
      <c r="M1222">
        <v>14.51</v>
      </c>
      <c r="N1222">
        <v>19</v>
      </c>
      <c r="O1222">
        <v>3.33</v>
      </c>
      <c r="P1222">
        <v>322.42</v>
      </c>
      <c r="Q1222">
        <v>355</v>
      </c>
      <c r="R1222">
        <v>2</v>
      </c>
      <c r="S1222">
        <v>207</v>
      </c>
    </row>
    <row r="1223" spans="1:19" x14ac:dyDescent="0.3">
      <c r="A1223">
        <v>1222</v>
      </c>
      <c r="B1223" t="s">
        <v>769</v>
      </c>
      <c r="C1223">
        <v>2022</v>
      </c>
      <c r="D1223" t="s">
        <v>226</v>
      </c>
      <c r="E1223">
        <v>12</v>
      </c>
      <c r="F1223" t="s">
        <v>37</v>
      </c>
      <c r="G1223" t="s">
        <v>22</v>
      </c>
      <c r="H1223">
        <v>48.16</v>
      </c>
      <c r="I1223" t="s">
        <v>38</v>
      </c>
      <c r="J1223">
        <v>9</v>
      </c>
      <c r="K1223">
        <v>206</v>
      </c>
      <c r="L1223">
        <v>91.32</v>
      </c>
      <c r="M1223">
        <v>6.16</v>
      </c>
      <c r="N1223">
        <v>11.11</v>
      </c>
      <c r="O1223">
        <v>9.85</v>
      </c>
      <c r="P1223">
        <v>545.61</v>
      </c>
      <c r="Q1223">
        <v>637</v>
      </c>
      <c r="R1223">
        <v>4</v>
      </c>
      <c r="S1223">
        <v>94</v>
      </c>
    </row>
    <row r="1224" spans="1:19" x14ac:dyDescent="0.3">
      <c r="A1224">
        <v>1223</v>
      </c>
      <c r="B1224" t="s">
        <v>764</v>
      </c>
      <c r="C1224">
        <v>2022</v>
      </c>
      <c r="D1224" t="s">
        <v>226</v>
      </c>
      <c r="E1224">
        <v>12</v>
      </c>
      <c r="F1224" t="s">
        <v>25</v>
      </c>
      <c r="G1224" t="s">
        <v>35</v>
      </c>
      <c r="H1224">
        <v>29.05</v>
      </c>
      <c r="I1224" t="s">
        <v>23</v>
      </c>
      <c r="J1224">
        <v>3</v>
      </c>
      <c r="K1224">
        <v>575</v>
      </c>
      <c r="L1224">
        <v>82.71</v>
      </c>
      <c r="M1224">
        <v>18.190000000000001</v>
      </c>
      <c r="N1224">
        <v>7.01</v>
      </c>
      <c r="O1224">
        <v>13.36</v>
      </c>
      <c r="P1224">
        <v>591.87</v>
      </c>
      <c r="Q1224">
        <v>114</v>
      </c>
      <c r="R1224">
        <v>1</v>
      </c>
      <c r="S1224">
        <v>171</v>
      </c>
    </row>
    <row r="1225" spans="1:19" x14ac:dyDescent="0.3">
      <c r="A1225">
        <v>1224</v>
      </c>
      <c r="B1225" t="s">
        <v>751</v>
      </c>
      <c r="C1225">
        <v>2022</v>
      </c>
      <c r="D1225" t="s">
        <v>226</v>
      </c>
      <c r="E1225">
        <v>12</v>
      </c>
      <c r="F1225" t="s">
        <v>25</v>
      </c>
      <c r="G1225" t="s">
        <v>42</v>
      </c>
      <c r="H1225">
        <v>6.36</v>
      </c>
      <c r="I1225" t="s">
        <v>23</v>
      </c>
      <c r="J1225">
        <v>27</v>
      </c>
      <c r="K1225">
        <v>443</v>
      </c>
      <c r="L1225">
        <v>82.98</v>
      </c>
      <c r="M1225">
        <v>26.77</v>
      </c>
      <c r="N1225">
        <v>3.78</v>
      </c>
      <c r="O1225">
        <v>2.99</v>
      </c>
      <c r="P1225">
        <v>215.5</v>
      </c>
      <c r="Q1225">
        <v>673</v>
      </c>
      <c r="R1225">
        <v>3</v>
      </c>
      <c r="S1225">
        <v>240</v>
      </c>
    </row>
    <row r="1226" spans="1:19" x14ac:dyDescent="0.3">
      <c r="A1226">
        <v>1225</v>
      </c>
      <c r="B1226" t="s">
        <v>770</v>
      </c>
      <c r="C1226">
        <v>2023</v>
      </c>
      <c r="D1226" t="s">
        <v>20</v>
      </c>
      <c r="E1226">
        <v>1</v>
      </c>
      <c r="F1226" t="s">
        <v>62</v>
      </c>
      <c r="G1226" t="s">
        <v>35</v>
      </c>
      <c r="H1226">
        <v>49.69</v>
      </c>
      <c r="I1226" t="s">
        <v>47</v>
      </c>
      <c r="J1226">
        <v>9</v>
      </c>
      <c r="K1226">
        <v>526</v>
      </c>
      <c r="L1226">
        <v>85.5</v>
      </c>
      <c r="M1226">
        <v>16.82</v>
      </c>
      <c r="N1226">
        <v>20.73</v>
      </c>
      <c r="O1226">
        <v>2.13</v>
      </c>
      <c r="P1226">
        <v>412.96</v>
      </c>
      <c r="Q1226">
        <v>301</v>
      </c>
      <c r="R1226">
        <v>5</v>
      </c>
      <c r="S1226">
        <v>75</v>
      </c>
    </row>
    <row r="1227" spans="1:19" x14ac:dyDescent="0.3">
      <c r="A1227">
        <v>1226</v>
      </c>
      <c r="B1227" t="s">
        <v>771</v>
      </c>
      <c r="C1227">
        <v>2023</v>
      </c>
      <c r="D1227" t="s">
        <v>20</v>
      </c>
      <c r="E1227">
        <v>1</v>
      </c>
      <c r="F1227" t="s">
        <v>31</v>
      </c>
      <c r="G1227" t="s">
        <v>40</v>
      </c>
      <c r="H1227">
        <v>54.15</v>
      </c>
      <c r="I1227" t="s">
        <v>47</v>
      </c>
      <c r="J1227">
        <v>25</v>
      </c>
      <c r="K1227">
        <v>102</v>
      </c>
      <c r="L1227">
        <v>93.08</v>
      </c>
      <c r="M1227">
        <v>28.43</v>
      </c>
      <c r="N1227">
        <v>17.170000000000002</v>
      </c>
      <c r="O1227">
        <v>6.82</v>
      </c>
      <c r="P1227">
        <v>240.94</v>
      </c>
      <c r="Q1227">
        <v>146</v>
      </c>
      <c r="R1227">
        <v>3</v>
      </c>
      <c r="S1227">
        <v>80</v>
      </c>
    </row>
    <row r="1228" spans="1:19" x14ac:dyDescent="0.3">
      <c r="A1228">
        <v>1227</v>
      </c>
      <c r="B1228" t="s">
        <v>772</v>
      </c>
      <c r="C1228">
        <v>2023</v>
      </c>
      <c r="D1228" t="s">
        <v>20</v>
      </c>
      <c r="E1228">
        <v>1</v>
      </c>
      <c r="F1228" t="s">
        <v>25</v>
      </c>
      <c r="G1228" t="s">
        <v>22</v>
      </c>
      <c r="H1228">
        <v>42.22</v>
      </c>
      <c r="I1228" t="s">
        <v>32</v>
      </c>
      <c r="J1228">
        <v>28</v>
      </c>
      <c r="K1228">
        <v>372</v>
      </c>
      <c r="L1228">
        <v>88.98</v>
      </c>
      <c r="M1228">
        <v>23.2</v>
      </c>
      <c r="N1228">
        <v>13.63</v>
      </c>
      <c r="O1228">
        <v>14.11</v>
      </c>
      <c r="P1228">
        <v>387.48</v>
      </c>
      <c r="Q1228">
        <v>612</v>
      </c>
      <c r="R1228">
        <v>4</v>
      </c>
      <c r="S1228">
        <v>224</v>
      </c>
    </row>
    <row r="1229" spans="1:19" x14ac:dyDescent="0.3">
      <c r="A1229">
        <v>1228</v>
      </c>
      <c r="B1229" t="s">
        <v>772</v>
      </c>
      <c r="C1229">
        <v>2023</v>
      </c>
      <c r="D1229" t="s">
        <v>20</v>
      </c>
      <c r="E1229">
        <v>1</v>
      </c>
      <c r="F1229" t="s">
        <v>29</v>
      </c>
      <c r="G1229" t="s">
        <v>22</v>
      </c>
      <c r="H1229">
        <v>23.02</v>
      </c>
      <c r="I1229" t="s">
        <v>32</v>
      </c>
      <c r="J1229">
        <v>49</v>
      </c>
      <c r="K1229">
        <v>554</v>
      </c>
      <c r="L1229">
        <v>80.400000000000006</v>
      </c>
      <c r="M1229">
        <v>21.15</v>
      </c>
      <c r="N1229">
        <v>19.82</v>
      </c>
      <c r="O1229">
        <v>12.89</v>
      </c>
      <c r="P1229">
        <v>503.83</v>
      </c>
      <c r="Q1229">
        <v>548</v>
      </c>
      <c r="R1229">
        <v>2</v>
      </c>
      <c r="S1229">
        <v>127</v>
      </c>
    </row>
    <row r="1230" spans="1:19" x14ac:dyDescent="0.3">
      <c r="A1230">
        <v>1229</v>
      </c>
      <c r="B1230" t="s">
        <v>771</v>
      </c>
      <c r="C1230">
        <v>2023</v>
      </c>
      <c r="D1230" t="s">
        <v>20</v>
      </c>
      <c r="E1230">
        <v>1</v>
      </c>
      <c r="F1230" t="s">
        <v>34</v>
      </c>
      <c r="G1230" t="s">
        <v>26</v>
      </c>
      <c r="H1230">
        <v>34.1</v>
      </c>
      <c r="I1230" t="s">
        <v>47</v>
      </c>
      <c r="J1230">
        <v>9</v>
      </c>
      <c r="K1230">
        <v>101</v>
      </c>
      <c r="L1230">
        <v>90.35</v>
      </c>
      <c r="M1230">
        <v>25.33</v>
      </c>
      <c r="N1230">
        <v>18.43</v>
      </c>
      <c r="O1230">
        <v>15.53</v>
      </c>
      <c r="P1230">
        <v>450.64</v>
      </c>
      <c r="Q1230">
        <v>705</v>
      </c>
      <c r="R1230">
        <v>3</v>
      </c>
      <c r="S1230">
        <v>225</v>
      </c>
    </row>
    <row r="1231" spans="1:19" x14ac:dyDescent="0.3">
      <c r="A1231">
        <v>1230</v>
      </c>
      <c r="B1231" t="s">
        <v>773</v>
      </c>
      <c r="C1231">
        <v>2023</v>
      </c>
      <c r="D1231" t="s">
        <v>20</v>
      </c>
      <c r="E1231">
        <v>1</v>
      </c>
      <c r="F1231" t="s">
        <v>31</v>
      </c>
      <c r="G1231" t="s">
        <v>26</v>
      </c>
      <c r="H1231">
        <v>47.19</v>
      </c>
      <c r="I1231" t="s">
        <v>27</v>
      </c>
      <c r="J1231">
        <v>1</v>
      </c>
      <c r="K1231">
        <v>454</v>
      </c>
      <c r="L1231">
        <v>82.74</v>
      </c>
      <c r="M1231">
        <v>31.9</v>
      </c>
      <c r="N1231">
        <v>20.66</v>
      </c>
      <c r="O1231">
        <v>10.199999999999999</v>
      </c>
      <c r="P1231">
        <v>539.35</v>
      </c>
      <c r="Q1231">
        <v>961</v>
      </c>
      <c r="R1231">
        <v>5</v>
      </c>
      <c r="S1231">
        <v>144</v>
      </c>
    </row>
    <row r="1232" spans="1:19" x14ac:dyDescent="0.3">
      <c r="A1232">
        <v>1231</v>
      </c>
      <c r="B1232" t="s">
        <v>774</v>
      </c>
      <c r="C1232">
        <v>2023</v>
      </c>
      <c r="D1232" t="s">
        <v>20</v>
      </c>
      <c r="E1232">
        <v>1</v>
      </c>
      <c r="F1232" t="s">
        <v>31</v>
      </c>
      <c r="G1232" t="s">
        <v>35</v>
      </c>
      <c r="H1232">
        <v>27.79</v>
      </c>
      <c r="I1232" t="s">
        <v>47</v>
      </c>
      <c r="J1232">
        <v>24</v>
      </c>
      <c r="K1232">
        <v>275</v>
      </c>
      <c r="L1232">
        <v>79.180000000000007</v>
      </c>
      <c r="M1232">
        <v>34.700000000000003</v>
      </c>
      <c r="N1232">
        <v>5.94</v>
      </c>
      <c r="O1232">
        <v>12.33</v>
      </c>
      <c r="P1232">
        <v>386.1</v>
      </c>
      <c r="Q1232">
        <v>798</v>
      </c>
      <c r="R1232">
        <v>2</v>
      </c>
      <c r="S1232">
        <v>156</v>
      </c>
    </row>
    <row r="1233" spans="1:19" x14ac:dyDescent="0.3">
      <c r="A1233">
        <v>1232</v>
      </c>
      <c r="B1233" t="s">
        <v>772</v>
      </c>
      <c r="C1233">
        <v>2023</v>
      </c>
      <c r="D1233" t="s">
        <v>20</v>
      </c>
      <c r="E1233">
        <v>1</v>
      </c>
      <c r="F1233" t="s">
        <v>29</v>
      </c>
      <c r="G1233" t="s">
        <v>22</v>
      </c>
      <c r="H1233">
        <v>30.91</v>
      </c>
      <c r="I1233" t="s">
        <v>27</v>
      </c>
      <c r="J1233">
        <v>9</v>
      </c>
      <c r="K1233">
        <v>473</v>
      </c>
      <c r="L1233">
        <v>93.31</v>
      </c>
      <c r="M1233">
        <v>10.49</v>
      </c>
      <c r="N1233">
        <v>13.92</v>
      </c>
      <c r="O1233">
        <v>4.41</v>
      </c>
      <c r="P1233">
        <v>568.29</v>
      </c>
      <c r="Q1233">
        <v>994</v>
      </c>
      <c r="R1233">
        <v>5</v>
      </c>
      <c r="S1233">
        <v>54</v>
      </c>
    </row>
    <row r="1234" spans="1:19" x14ac:dyDescent="0.3">
      <c r="A1234">
        <v>1233</v>
      </c>
      <c r="B1234" t="s">
        <v>775</v>
      </c>
      <c r="C1234">
        <v>2023</v>
      </c>
      <c r="D1234" t="s">
        <v>20</v>
      </c>
      <c r="E1234">
        <v>1</v>
      </c>
      <c r="F1234" t="s">
        <v>62</v>
      </c>
      <c r="G1234" t="s">
        <v>40</v>
      </c>
      <c r="H1234">
        <v>49.59</v>
      </c>
      <c r="I1234" t="s">
        <v>38</v>
      </c>
      <c r="J1234">
        <v>6</v>
      </c>
      <c r="K1234">
        <v>501</v>
      </c>
      <c r="L1234">
        <v>87.28</v>
      </c>
      <c r="M1234">
        <v>5.28</v>
      </c>
      <c r="N1234">
        <v>14.82</v>
      </c>
      <c r="O1234">
        <v>3.01</v>
      </c>
      <c r="P1234">
        <v>129.13</v>
      </c>
      <c r="Q1234">
        <v>755</v>
      </c>
      <c r="R1234">
        <v>5</v>
      </c>
      <c r="S1234">
        <v>86</v>
      </c>
    </row>
    <row r="1235" spans="1:19" x14ac:dyDescent="0.3">
      <c r="A1235">
        <v>1234</v>
      </c>
      <c r="B1235" t="s">
        <v>776</v>
      </c>
      <c r="C1235">
        <v>2023</v>
      </c>
      <c r="D1235" t="s">
        <v>20</v>
      </c>
      <c r="E1235">
        <v>1</v>
      </c>
      <c r="F1235" t="s">
        <v>21</v>
      </c>
      <c r="G1235" t="s">
        <v>22</v>
      </c>
      <c r="H1235">
        <v>50.04</v>
      </c>
      <c r="I1235" t="s">
        <v>38</v>
      </c>
      <c r="J1235">
        <v>8</v>
      </c>
      <c r="K1235">
        <v>319</v>
      </c>
      <c r="L1235">
        <v>85.94</v>
      </c>
      <c r="M1235">
        <v>12.71</v>
      </c>
      <c r="N1235">
        <v>15.68</v>
      </c>
      <c r="O1235">
        <v>11.24</v>
      </c>
      <c r="P1235">
        <v>582.48</v>
      </c>
      <c r="Q1235">
        <v>1015</v>
      </c>
      <c r="R1235">
        <v>1</v>
      </c>
      <c r="S1235">
        <v>153</v>
      </c>
    </row>
    <row r="1236" spans="1:19" x14ac:dyDescent="0.3">
      <c r="A1236">
        <v>1235</v>
      </c>
      <c r="B1236" t="s">
        <v>777</v>
      </c>
      <c r="C1236">
        <v>2023</v>
      </c>
      <c r="D1236" t="s">
        <v>20</v>
      </c>
      <c r="E1236">
        <v>1</v>
      </c>
      <c r="F1236" t="s">
        <v>21</v>
      </c>
      <c r="G1236" t="s">
        <v>22</v>
      </c>
      <c r="H1236">
        <v>37.78</v>
      </c>
      <c r="I1236" t="s">
        <v>32</v>
      </c>
      <c r="J1236">
        <v>10</v>
      </c>
      <c r="K1236">
        <v>440</v>
      </c>
      <c r="L1236">
        <v>83.8</v>
      </c>
      <c r="M1236">
        <v>19.649999999999999</v>
      </c>
      <c r="N1236">
        <v>20.99</v>
      </c>
      <c r="O1236">
        <v>5.36</v>
      </c>
      <c r="P1236">
        <v>373.34</v>
      </c>
      <c r="Q1236">
        <v>466</v>
      </c>
      <c r="R1236">
        <v>1</v>
      </c>
      <c r="S1236">
        <v>79</v>
      </c>
    </row>
    <row r="1237" spans="1:19" x14ac:dyDescent="0.3">
      <c r="A1237">
        <v>1236</v>
      </c>
      <c r="B1237" t="s">
        <v>778</v>
      </c>
      <c r="C1237">
        <v>2023</v>
      </c>
      <c r="D1237" t="s">
        <v>20</v>
      </c>
      <c r="E1237">
        <v>1</v>
      </c>
      <c r="F1237" t="s">
        <v>25</v>
      </c>
      <c r="G1237" t="s">
        <v>35</v>
      </c>
      <c r="H1237">
        <v>25.77</v>
      </c>
      <c r="I1237" t="s">
        <v>38</v>
      </c>
      <c r="J1237">
        <v>20</v>
      </c>
      <c r="K1237">
        <v>318</v>
      </c>
      <c r="L1237">
        <v>76.489999999999995</v>
      </c>
      <c r="M1237">
        <v>31.3</v>
      </c>
      <c r="N1237">
        <v>4.5599999999999996</v>
      </c>
      <c r="O1237">
        <v>15.35</v>
      </c>
      <c r="P1237">
        <v>259.24</v>
      </c>
      <c r="Q1237">
        <v>355</v>
      </c>
      <c r="R1237">
        <v>3</v>
      </c>
      <c r="S1237">
        <v>186</v>
      </c>
    </row>
    <row r="1238" spans="1:19" x14ac:dyDescent="0.3">
      <c r="A1238">
        <v>1237</v>
      </c>
      <c r="B1238" t="s">
        <v>779</v>
      </c>
      <c r="C1238">
        <v>2023</v>
      </c>
      <c r="D1238" t="s">
        <v>20</v>
      </c>
      <c r="E1238">
        <v>1</v>
      </c>
      <c r="F1238" t="s">
        <v>34</v>
      </c>
      <c r="G1238" t="s">
        <v>22</v>
      </c>
      <c r="H1238">
        <v>12.28</v>
      </c>
      <c r="I1238" t="s">
        <v>38</v>
      </c>
      <c r="J1238">
        <v>1</v>
      </c>
      <c r="K1238">
        <v>250</v>
      </c>
      <c r="L1238">
        <v>83.1</v>
      </c>
      <c r="M1238">
        <v>5.19</v>
      </c>
      <c r="N1238">
        <v>10.29</v>
      </c>
      <c r="O1238">
        <v>13.12</v>
      </c>
      <c r="P1238">
        <v>271.7</v>
      </c>
      <c r="Q1238">
        <v>793</v>
      </c>
      <c r="R1238">
        <v>4</v>
      </c>
      <c r="S1238">
        <v>177</v>
      </c>
    </row>
    <row r="1239" spans="1:19" x14ac:dyDescent="0.3">
      <c r="A1239">
        <v>1238</v>
      </c>
      <c r="B1239" t="s">
        <v>780</v>
      </c>
      <c r="C1239">
        <v>2023</v>
      </c>
      <c r="D1239" t="s">
        <v>20</v>
      </c>
      <c r="E1239">
        <v>1</v>
      </c>
      <c r="F1239" t="s">
        <v>53</v>
      </c>
      <c r="G1239" t="s">
        <v>26</v>
      </c>
      <c r="H1239">
        <v>33.42</v>
      </c>
      <c r="I1239" t="s">
        <v>38</v>
      </c>
      <c r="J1239">
        <v>12</v>
      </c>
      <c r="K1239">
        <v>518</v>
      </c>
      <c r="L1239">
        <v>85.95</v>
      </c>
      <c r="M1239">
        <v>26.7</v>
      </c>
      <c r="N1239">
        <v>8.4</v>
      </c>
      <c r="O1239">
        <v>10.01</v>
      </c>
      <c r="P1239">
        <v>519.97</v>
      </c>
      <c r="Q1239">
        <v>361</v>
      </c>
      <c r="R1239">
        <v>4</v>
      </c>
      <c r="S1239">
        <v>126</v>
      </c>
    </row>
    <row r="1240" spans="1:19" x14ac:dyDescent="0.3">
      <c r="A1240">
        <v>1239</v>
      </c>
      <c r="B1240" t="s">
        <v>781</v>
      </c>
      <c r="C1240">
        <v>2023</v>
      </c>
      <c r="D1240" t="s">
        <v>20</v>
      </c>
      <c r="E1240">
        <v>1</v>
      </c>
      <c r="F1240" t="s">
        <v>29</v>
      </c>
      <c r="G1240" t="s">
        <v>42</v>
      </c>
      <c r="H1240">
        <v>17.850000000000001</v>
      </c>
      <c r="I1240" t="s">
        <v>47</v>
      </c>
      <c r="J1240">
        <v>31</v>
      </c>
      <c r="K1240">
        <v>447</v>
      </c>
      <c r="L1240">
        <v>79.239999999999995</v>
      </c>
      <c r="M1240">
        <v>22.57</v>
      </c>
      <c r="N1240">
        <v>19.47</v>
      </c>
      <c r="O1240">
        <v>10.25</v>
      </c>
      <c r="P1240">
        <v>285.94</v>
      </c>
      <c r="Q1240">
        <v>998</v>
      </c>
      <c r="R1240">
        <v>3</v>
      </c>
      <c r="S1240">
        <v>207</v>
      </c>
    </row>
    <row r="1241" spans="1:19" x14ac:dyDescent="0.3">
      <c r="A1241">
        <v>1240</v>
      </c>
      <c r="B1241" t="s">
        <v>772</v>
      </c>
      <c r="C1241">
        <v>2023</v>
      </c>
      <c r="D1241" t="s">
        <v>20</v>
      </c>
      <c r="E1241">
        <v>1</v>
      </c>
      <c r="F1241" t="s">
        <v>53</v>
      </c>
      <c r="G1241" t="s">
        <v>22</v>
      </c>
      <c r="H1241">
        <v>22.86</v>
      </c>
      <c r="I1241" t="s">
        <v>27</v>
      </c>
      <c r="J1241">
        <v>22</v>
      </c>
      <c r="K1241">
        <v>459</v>
      </c>
      <c r="L1241">
        <v>93.69</v>
      </c>
      <c r="M1241">
        <v>29.13</v>
      </c>
      <c r="N1241">
        <v>12.7</v>
      </c>
      <c r="O1241">
        <v>13.74</v>
      </c>
      <c r="P1241">
        <v>591.07000000000005</v>
      </c>
      <c r="Q1241">
        <v>607</v>
      </c>
      <c r="R1241">
        <v>2</v>
      </c>
      <c r="S1241">
        <v>138</v>
      </c>
    </row>
    <row r="1242" spans="1:19" x14ac:dyDescent="0.3">
      <c r="A1242">
        <v>1241</v>
      </c>
      <c r="B1242" t="s">
        <v>782</v>
      </c>
      <c r="C1242">
        <v>2023</v>
      </c>
      <c r="D1242" t="s">
        <v>20</v>
      </c>
      <c r="E1242">
        <v>1</v>
      </c>
      <c r="F1242" t="s">
        <v>21</v>
      </c>
      <c r="G1242" t="s">
        <v>40</v>
      </c>
      <c r="H1242">
        <v>24.26</v>
      </c>
      <c r="I1242" t="s">
        <v>38</v>
      </c>
      <c r="J1242">
        <v>8</v>
      </c>
      <c r="K1242">
        <v>406</v>
      </c>
      <c r="L1242">
        <v>77.12</v>
      </c>
      <c r="M1242">
        <v>12.26</v>
      </c>
      <c r="N1242">
        <v>21.54</v>
      </c>
      <c r="O1242">
        <v>5.53</v>
      </c>
      <c r="P1242">
        <v>185.76</v>
      </c>
      <c r="Q1242">
        <v>656</v>
      </c>
      <c r="R1242">
        <v>3</v>
      </c>
      <c r="S1242">
        <v>123</v>
      </c>
    </row>
    <row r="1243" spans="1:19" x14ac:dyDescent="0.3">
      <c r="A1243">
        <v>1242</v>
      </c>
      <c r="B1243" t="s">
        <v>783</v>
      </c>
      <c r="C1243">
        <v>2023</v>
      </c>
      <c r="D1243" t="s">
        <v>20</v>
      </c>
      <c r="E1243">
        <v>1</v>
      </c>
      <c r="F1243" t="s">
        <v>62</v>
      </c>
      <c r="G1243" t="s">
        <v>22</v>
      </c>
      <c r="H1243">
        <v>15.91</v>
      </c>
      <c r="I1243" t="s">
        <v>32</v>
      </c>
      <c r="J1243">
        <v>25</v>
      </c>
      <c r="K1243">
        <v>431</v>
      </c>
      <c r="L1243">
        <v>80.069999999999993</v>
      </c>
      <c r="M1243">
        <v>22.68</v>
      </c>
      <c r="N1243">
        <v>14.5</v>
      </c>
      <c r="O1243">
        <v>8.4700000000000006</v>
      </c>
      <c r="P1243">
        <v>488.29</v>
      </c>
      <c r="Q1243">
        <v>751</v>
      </c>
      <c r="R1243">
        <v>1</v>
      </c>
      <c r="S1243">
        <v>93</v>
      </c>
    </row>
    <row r="1244" spans="1:19" x14ac:dyDescent="0.3">
      <c r="A1244">
        <v>1243</v>
      </c>
      <c r="B1244" t="s">
        <v>784</v>
      </c>
      <c r="C1244">
        <v>2023</v>
      </c>
      <c r="D1244" t="s">
        <v>20</v>
      </c>
      <c r="E1244">
        <v>1</v>
      </c>
      <c r="F1244" t="s">
        <v>25</v>
      </c>
      <c r="G1244" t="s">
        <v>22</v>
      </c>
      <c r="H1244">
        <v>37.76</v>
      </c>
      <c r="I1244" t="s">
        <v>23</v>
      </c>
      <c r="J1244">
        <v>37</v>
      </c>
      <c r="K1244">
        <v>309</v>
      </c>
      <c r="L1244">
        <v>78.39</v>
      </c>
      <c r="M1244">
        <v>6.91</v>
      </c>
      <c r="N1244">
        <v>9.82</v>
      </c>
      <c r="O1244">
        <v>11.94</v>
      </c>
      <c r="P1244">
        <v>522.13</v>
      </c>
      <c r="Q1244">
        <v>1011</v>
      </c>
      <c r="R1244">
        <v>4</v>
      </c>
      <c r="S1244">
        <v>157</v>
      </c>
    </row>
    <row r="1245" spans="1:19" x14ac:dyDescent="0.3">
      <c r="A1245">
        <v>1244</v>
      </c>
      <c r="B1245" t="s">
        <v>785</v>
      </c>
      <c r="C1245">
        <v>2023</v>
      </c>
      <c r="D1245" t="s">
        <v>20</v>
      </c>
      <c r="E1245">
        <v>1</v>
      </c>
      <c r="F1245" t="s">
        <v>37</v>
      </c>
      <c r="G1245" t="s">
        <v>40</v>
      </c>
      <c r="H1245">
        <v>48.13</v>
      </c>
      <c r="I1245" t="s">
        <v>27</v>
      </c>
      <c r="J1245">
        <v>25</v>
      </c>
      <c r="K1245">
        <v>233</v>
      </c>
      <c r="L1245">
        <v>87.75</v>
      </c>
      <c r="M1245">
        <v>28.73</v>
      </c>
      <c r="N1245">
        <v>3.66</v>
      </c>
      <c r="O1245">
        <v>13.14</v>
      </c>
      <c r="P1245">
        <v>218.88</v>
      </c>
      <c r="Q1245">
        <v>221</v>
      </c>
      <c r="R1245">
        <v>4</v>
      </c>
      <c r="S1245">
        <v>173</v>
      </c>
    </row>
    <row r="1246" spans="1:19" x14ac:dyDescent="0.3">
      <c r="A1246">
        <v>1245</v>
      </c>
      <c r="B1246" t="s">
        <v>786</v>
      </c>
      <c r="C1246">
        <v>2023</v>
      </c>
      <c r="D1246" t="s">
        <v>20</v>
      </c>
      <c r="E1246">
        <v>1</v>
      </c>
      <c r="F1246" t="s">
        <v>21</v>
      </c>
      <c r="G1246" t="s">
        <v>22</v>
      </c>
      <c r="H1246">
        <v>34.299999999999997</v>
      </c>
      <c r="I1246" t="s">
        <v>23</v>
      </c>
      <c r="J1246">
        <v>35</v>
      </c>
      <c r="K1246">
        <v>288</v>
      </c>
      <c r="L1246">
        <v>76.150000000000006</v>
      </c>
      <c r="M1246">
        <v>14.37</v>
      </c>
      <c r="N1246">
        <v>15.59</v>
      </c>
      <c r="O1246">
        <v>9.2100000000000009</v>
      </c>
      <c r="P1246">
        <v>343.82</v>
      </c>
      <c r="Q1246">
        <v>479</v>
      </c>
      <c r="R1246">
        <v>4</v>
      </c>
      <c r="S1246">
        <v>57</v>
      </c>
    </row>
    <row r="1247" spans="1:19" x14ac:dyDescent="0.3">
      <c r="A1247">
        <v>1246</v>
      </c>
      <c r="B1247" t="s">
        <v>774</v>
      </c>
      <c r="C1247">
        <v>2023</v>
      </c>
      <c r="D1247" t="s">
        <v>20</v>
      </c>
      <c r="E1247">
        <v>1</v>
      </c>
      <c r="F1247" t="s">
        <v>62</v>
      </c>
      <c r="G1247" t="s">
        <v>40</v>
      </c>
      <c r="H1247">
        <v>10.63</v>
      </c>
      <c r="I1247" t="s">
        <v>38</v>
      </c>
      <c r="J1247">
        <v>15</v>
      </c>
      <c r="K1247">
        <v>555</v>
      </c>
      <c r="L1247">
        <v>82.01</v>
      </c>
      <c r="M1247">
        <v>24.22</v>
      </c>
      <c r="N1247">
        <v>10.53</v>
      </c>
      <c r="O1247">
        <v>5.0599999999999996</v>
      </c>
      <c r="P1247">
        <v>127.25</v>
      </c>
      <c r="Q1247">
        <v>491</v>
      </c>
      <c r="R1247">
        <v>5</v>
      </c>
      <c r="S1247">
        <v>50</v>
      </c>
    </row>
    <row r="1248" spans="1:19" x14ac:dyDescent="0.3">
      <c r="A1248">
        <v>1247</v>
      </c>
      <c r="B1248" t="s">
        <v>787</v>
      </c>
      <c r="C1248">
        <v>2023</v>
      </c>
      <c r="D1248" t="s">
        <v>20</v>
      </c>
      <c r="E1248">
        <v>1</v>
      </c>
      <c r="F1248" t="s">
        <v>34</v>
      </c>
      <c r="G1248" t="s">
        <v>22</v>
      </c>
      <c r="H1248">
        <v>16</v>
      </c>
      <c r="I1248" t="s">
        <v>23</v>
      </c>
      <c r="J1248">
        <v>23</v>
      </c>
      <c r="K1248">
        <v>240</v>
      </c>
      <c r="L1248">
        <v>92.57</v>
      </c>
      <c r="M1248">
        <v>21.5</v>
      </c>
      <c r="N1248">
        <v>17.420000000000002</v>
      </c>
      <c r="O1248">
        <v>13.47</v>
      </c>
      <c r="P1248">
        <v>291.07</v>
      </c>
      <c r="Q1248">
        <v>585</v>
      </c>
      <c r="R1248">
        <v>1</v>
      </c>
      <c r="S1248">
        <v>113</v>
      </c>
    </row>
    <row r="1249" spans="1:19" x14ac:dyDescent="0.3">
      <c r="A1249">
        <v>1248</v>
      </c>
      <c r="B1249" t="s">
        <v>772</v>
      </c>
      <c r="C1249">
        <v>2023</v>
      </c>
      <c r="D1249" t="s">
        <v>20</v>
      </c>
      <c r="E1249">
        <v>1</v>
      </c>
      <c r="F1249" t="s">
        <v>37</v>
      </c>
      <c r="G1249" t="s">
        <v>42</v>
      </c>
      <c r="H1249">
        <v>42.38</v>
      </c>
      <c r="I1249" t="s">
        <v>47</v>
      </c>
      <c r="J1249">
        <v>13</v>
      </c>
      <c r="K1249">
        <v>508</v>
      </c>
      <c r="L1249">
        <v>92.76</v>
      </c>
      <c r="M1249">
        <v>8.98</v>
      </c>
      <c r="N1249">
        <v>11.84</v>
      </c>
      <c r="O1249">
        <v>4.3899999999999997</v>
      </c>
      <c r="P1249">
        <v>210.81</v>
      </c>
      <c r="Q1249">
        <v>475</v>
      </c>
      <c r="R1249">
        <v>2</v>
      </c>
      <c r="S1249">
        <v>112</v>
      </c>
    </row>
    <row r="1250" spans="1:19" x14ac:dyDescent="0.3">
      <c r="A1250">
        <v>1249</v>
      </c>
      <c r="B1250" t="s">
        <v>774</v>
      </c>
      <c r="C1250">
        <v>2023</v>
      </c>
      <c r="D1250" t="s">
        <v>20</v>
      </c>
      <c r="E1250">
        <v>1</v>
      </c>
      <c r="F1250" t="s">
        <v>37</v>
      </c>
      <c r="G1250" t="s">
        <v>40</v>
      </c>
      <c r="H1250">
        <v>22.35</v>
      </c>
      <c r="I1250" t="s">
        <v>47</v>
      </c>
      <c r="J1250">
        <v>23</v>
      </c>
      <c r="K1250">
        <v>450</v>
      </c>
      <c r="L1250">
        <v>89.96</v>
      </c>
      <c r="M1250">
        <v>13.44</v>
      </c>
      <c r="N1250">
        <v>5.9</v>
      </c>
      <c r="O1250">
        <v>15.21</v>
      </c>
      <c r="P1250">
        <v>531.27</v>
      </c>
      <c r="Q1250">
        <v>1007</v>
      </c>
      <c r="R1250">
        <v>1</v>
      </c>
      <c r="S1250">
        <v>141</v>
      </c>
    </row>
    <row r="1251" spans="1:19" x14ac:dyDescent="0.3">
      <c r="A1251">
        <v>1250</v>
      </c>
      <c r="B1251" t="s">
        <v>788</v>
      </c>
      <c r="C1251">
        <v>2023</v>
      </c>
      <c r="D1251" t="s">
        <v>20</v>
      </c>
      <c r="E1251">
        <v>1</v>
      </c>
      <c r="F1251" t="s">
        <v>29</v>
      </c>
      <c r="G1251" t="s">
        <v>40</v>
      </c>
      <c r="H1251">
        <v>36.08</v>
      </c>
      <c r="I1251" t="s">
        <v>23</v>
      </c>
      <c r="J1251">
        <v>20</v>
      </c>
      <c r="K1251">
        <v>517</v>
      </c>
      <c r="L1251">
        <v>93.73</v>
      </c>
      <c r="M1251">
        <v>18.55</v>
      </c>
      <c r="N1251">
        <v>15.12</v>
      </c>
      <c r="O1251">
        <v>15.63</v>
      </c>
      <c r="P1251">
        <v>454.03</v>
      </c>
      <c r="Q1251">
        <v>256</v>
      </c>
      <c r="R1251">
        <v>1</v>
      </c>
      <c r="S1251">
        <v>220</v>
      </c>
    </row>
    <row r="1252" spans="1:19" x14ac:dyDescent="0.3">
      <c r="A1252">
        <v>1251</v>
      </c>
      <c r="B1252" t="s">
        <v>787</v>
      </c>
      <c r="C1252">
        <v>2023</v>
      </c>
      <c r="D1252" t="s">
        <v>20</v>
      </c>
      <c r="E1252">
        <v>1</v>
      </c>
      <c r="F1252" t="s">
        <v>53</v>
      </c>
      <c r="G1252" t="s">
        <v>40</v>
      </c>
      <c r="H1252">
        <v>51.79</v>
      </c>
      <c r="I1252" t="s">
        <v>32</v>
      </c>
      <c r="J1252">
        <v>47</v>
      </c>
      <c r="K1252">
        <v>561</v>
      </c>
      <c r="L1252">
        <v>85.44</v>
      </c>
      <c r="M1252">
        <v>11.45</v>
      </c>
      <c r="N1252">
        <v>16.05</v>
      </c>
      <c r="O1252">
        <v>4.67</v>
      </c>
      <c r="P1252">
        <v>368.44</v>
      </c>
      <c r="Q1252">
        <v>192</v>
      </c>
      <c r="R1252">
        <v>3</v>
      </c>
      <c r="S1252">
        <v>203</v>
      </c>
    </row>
    <row r="1253" spans="1:19" x14ac:dyDescent="0.3">
      <c r="A1253">
        <v>1252</v>
      </c>
      <c r="B1253" t="s">
        <v>785</v>
      </c>
      <c r="C1253">
        <v>2023</v>
      </c>
      <c r="D1253" t="s">
        <v>20</v>
      </c>
      <c r="E1253">
        <v>1</v>
      </c>
      <c r="F1253" t="s">
        <v>31</v>
      </c>
      <c r="G1253" t="s">
        <v>40</v>
      </c>
      <c r="H1253">
        <v>40.14</v>
      </c>
      <c r="I1253" t="s">
        <v>47</v>
      </c>
      <c r="J1253">
        <v>22</v>
      </c>
      <c r="K1253">
        <v>210</v>
      </c>
      <c r="L1253">
        <v>76.48</v>
      </c>
      <c r="M1253">
        <v>8.0500000000000007</v>
      </c>
      <c r="N1253">
        <v>3.99</v>
      </c>
      <c r="O1253">
        <v>9.9</v>
      </c>
      <c r="P1253">
        <v>291.27999999999997</v>
      </c>
      <c r="Q1253">
        <v>322</v>
      </c>
      <c r="R1253">
        <v>4</v>
      </c>
      <c r="S1253">
        <v>239</v>
      </c>
    </row>
    <row r="1254" spans="1:19" x14ac:dyDescent="0.3">
      <c r="A1254">
        <v>1253</v>
      </c>
      <c r="B1254" t="s">
        <v>789</v>
      </c>
      <c r="C1254">
        <v>2023</v>
      </c>
      <c r="D1254" t="s">
        <v>20</v>
      </c>
      <c r="E1254">
        <v>1</v>
      </c>
      <c r="F1254" t="s">
        <v>62</v>
      </c>
      <c r="G1254" t="s">
        <v>40</v>
      </c>
      <c r="H1254">
        <v>39.090000000000003</v>
      </c>
      <c r="I1254" t="s">
        <v>23</v>
      </c>
      <c r="J1254">
        <v>10</v>
      </c>
      <c r="K1254">
        <v>267</v>
      </c>
      <c r="L1254">
        <v>80.349999999999994</v>
      </c>
      <c r="M1254">
        <v>13.32</v>
      </c>
      <c r="N1254">
        <v>6.81</v>
      </c>
      <c r="O1254">
        <v>3.2</v>
      </c>
      <c r="P1254">
        <v>195.31</v>
      </c>
      <c r="Q1254">
        <v>151</v>
      </c>
      <c r="R1254">
        <v>1</v>
      </c>
      <c r="S1254">
        <v>171</v>
      </c>
    </row>
    <row r="1255" spans="1:19" x14ac:dyDescent="0.3">
      <c r="A1255">
        <v>1254</v>
      </c>
      <c r="B1255" t="s">
        <v>790</v>
      </c>
      <c r="C1255">
        <v>2023</v>
      </c>
      <c r="D1255" t="s">
        <v>20</v>
      </c>
      <c r="E1255">
        <v>1</v>
      </c>
      <c r="F1255" t="s">
        <v>31</v>
      </c>
      <c r="G1255" t="s">
        <v>26</v>
      </c>
      <c r="H1255">
        <v>44.03</v>
      </c>
      <c r="I1255" t="s">
        <v>27</v>
      </c>
      <c r="J1255">
        <v>16</v>
      </c>
      <c r="K1255">
        <v>537</v>
      </c>
      <c r="L1255">
        <v>85.53</v>
      </c>
      <c r="M1255">
        <v>34.19</v>
      </c>
      <c r="N1255">
        <v>5.3</v>
      </c>
      <c r="O1255">
        <v>10.93</v>
      </c>
      <c r="P1255">
        <v>436.41</v>
      </c>
      <c r="Q1255">
        <v>956</v>
      </c>
      <c r="R1255">
        <v>3</v>
      </c>
      <c r="S1255">
        <v>201</v>
      </c>
    </row>
    <row r="1256" spans="1:19" x14ac:dyDescent="0.3">
      <c r="A1256">
        <v>1255</v>
      </c>
      <c r="B1256" t="s">
        <v>791</v>
      </c>
      <c r="C1256">
        <v>2023</v>
      </c>
      <c r="D1256" t="s">
        <v>20</v>
      </c>
      <c r="E1256">
        <v>1</v>
      </c>
      <c r="F1256" t="s">
        <v>29</v>
      </c>
      <c r="G1256" t="s">
        <v>26</v>
      </c>
      <c r="H1256">
        <v>42.64</v>
      </c>
      <c r="I1256" t="s">
        <v>32</v>
      </c>
      <c r="J1256">
        <v>19</v>
      </c>
      <c r="K1256">
        <v>553</v>
      </c>
      <c r="L1256">
        <v>83.1</v>
      </c>
      <c r="M1256">
        <v>20.52</v>
      </c>
      <c r="N1256">
        <v>5.27</v>
      </c>
      <c r="O1256">
        <v>8.31</v>
      </c>
      <c r="P1256">
        <v>273.45999999999998</v>
      </c>
      <c r="Q1256">
        <v>296</v>
      </c>
      <c r="R1256">
        <v>3</v>
      </c>
      <c r="S1256">
        <v>188</v>
      </c>
    </row>
    <row r="1257" spans="1:19" x14ac:dyDescent="0.3">
      <c r="A1257">
        <v>1256</v>
      </c>
      <c r="B1257" t="s">
        <v>774</v>
      </c>
      <c r="C1257">
        <v>2023</v>
      </c>
      <c r="D1257" t="s">
        <v>20</v>
      </c>
      <c r="E1257">
        <v>1</v>
      </c>
      <c r="F1257" t="s">
        <v>34</v>
      </c>
      <c r="G1257" t="s">
        <v>26</v>
      </c>
      <c r="H1257">
        <v>8.94</v>
      </c>
      <c r="I1257" t="s">
        <v>27</v>
      </c>
      <c r="J1257">
        <v>44</v>
      </c>
      <c r="K1257">
        <v>464</v>
      </c>
      <c r="L1257">
        <v>77.989999999999995</v>
      </c>
      <c r="M1257">
        <v>34.11</v>
      </c>
      <c r="N1257">
        <v>10</v>
      </c>
      <c r="O1257">
        <v>11.23</v>
      </c>
      <c r="P1257">
        <v>599.86</v>
      </c>
      <c r="Q1257">
        <v>261</v>
      </c>
      <c r="R1257">
        <v>3</v>
      </c>
      <c r="S1257">
        <v>238</v>
      </c>
    </row>
    <row r="1258" spans="1:19" x14ac:dyDescent="0.3">
      <c r="A1258">
        <v>1257</v>
      </c>
      <c r="B1258" t="s">
        <v>784</v>
      </c>
      <c r="C1258">
        <v>2023</v>
      </c>
      <c r="D1258" t="s">
        <v>20</v>
      </c>
      <c r="E1258">
        <v>1</v>
      </c>
      <c r="F1258" t="s">
        <v>53</v>
      </c>
      <c r="G1258" t="s">
        <v>35</v>
      </c>
      <c r="H1258">
        <v>42.49</v>
      </c>
      <c r="I1258" t="s">
        <v>32</v>
      </c>
      <c r="J1258">
        <v>14</v>
      </c>
      <c r="K1258">
        <v>561</v>
      </c>
      <c r="L1258">
        <v>79.67</v>
      </c>
      <c r="M1258">
        <v>10.91</v>
      </c>
      <c r="N1258">
        <v>9.9600000000000009</v>
      </c>
      <c r="O1258">
        <v>5.42</v>
      </c>
      <c r="P1258">
        <v>593.07000000000005</v>
      </c>
      <c r="Q1258">
        <v>547</v>
      </c>
      <c r="R1258">
        <v>5</v>
      </c>
      <c r="S1258">
        <v>161</v>
      </c>
    </row>
    <row r="1259" spans="1:19" x14ac:dyDescent="0.3">
      <c r="A1259">
        <v>1258</v>
      </c>
      <c r="B1259" t="s">
        <v>774</v>
      </c>
      <c r="C1259">
        <v>2023</v>
      </c>
      <c r="D1259" t="s">
        <v>20</v>
      </c>
      <c r="E1259">
        <v>1</v>
      </c>
      <c r="F1259" t="s">
        <v>62</v>
      </c>
      <c r="G1259" t="s">
        <v>40</v>
      </c>
      <c r="H1259">
        <v>34.799999999999997</v>
      </c>
      <c r="I1259" t="s">
        <v>23</v>
      </c>
      <c r="J1259">
        <v>3</v>
      </c>
      <c r="K1259">
        <v>116</v>
      </c>
      <c r="L1259">
        <v>84.79</v>
      </c>
      <c r="M1259">
        <v>9.6</v>
      </c>
      <c r="N1259">
        <v>6.46</v>
      </c>
      <c r="O1259">
        <v>4.4000000000000004</v>
      </c>
      <c r="P1259">
        <v>110.78</v>
      </c>
      <c r="Q1259">
        <v>998</v>
      </c>
      <c r="R1259">
        <v>1</v>
      </c>
      <c r="S1259">
        <v>152</v>
      </c>
    </row>
    <row r="1260" spans="1:19" x14ac:dyDescent="0.3">
      <c r="A1260">
        <v>1259</v>
      </c>
      <c r="B1260" t="s">
        <v>792</v>
      </c>
      <c r="C1260">
        <v>2023</v>
      </c>
      <c r="D1260" t="s">
        <v>20</v>
      </c>
      <c r="E1260">
        <v>2</v>
      </c>
      <c r="F1260" t="s">
        <v>29</v>
      </c>
      <c r="G1260" t="s">
        <v>42</v>
      </c>
      <c r="H1260">
        <v>48.06</v>
      </c>
      <c r="I1260" t="s">
        <v>27</v>
      </c>
      <c r="J1260">
        <v>47</v>
      </c>
      <c r="K1260">
        <v>230</v>
      </c>
      <c r="L1260">
        <v>79.41</v>
      </c>
      <c r="M1260">
        <v>34.54</v>
      </c>
      <c r="N1260">
        <v>10.33</v>
      </c>
      <c r="O1260">
        <v>13.06</v>
      </c>
      <c r="P1260">
        <v>569.79999999999995</v>
      </c>
      <c r="Q1260">
        <v>819</v>
      </c>
      <c r="R1260">
        <v>5</v>
      </c>
      <c r="S1260">
        <v>50</v>
      </c>
    </row>
    <row r="1261" spans="1:19" x14ac:dyDescent="0.3">
      <c r="A1261">
        <v>1260</v>
      </c>
      <c r="B1261" t="s">
        <v>793</v>
      </c>
      <c r="C1261">
        <v>2023</v>
      </c>
      <c r="D1261" t="s">
        <v>20</v>
      </c>
      <c r="E1261">
        <v>2</v>
      </c>
      <c r="F1261" t="s">
        <v>37</v>
      </c>
      <c r="G1261" t="s">
        <v>35</v>
      </c>
      <c r="H1261">
        <v>46.53</v>
      </c>
      <c r="I1261" t="s">
        <v>38</v>
      </c>
      <c r="J1261">
        <v>12</v>
      </c>
      <c r="K1261">
        <v>392</v>
      </c>
      <c r="L1261">
        <v>77.2</v>
      </c>
      <c r="M1261">
        <v>6.26</v>
      </c>
      <c r="N1261">
        <v>18.36</v>
      </c>
      <c r="O1261">
        <v>7.57</v>
      </c>
      <c r="P1261">
        <v>302.70999999999998</v>
      </c>
      <c r="Q1261">
        <v>1024</v>
      </c>
      <c r="R1261">
        <v>5</v>
      </c>
      <c r="S1261">
        <v>148</v>
      </c>
    </row>
    <row r="1262" spans="1:19" x14ac:dyDescent="0.3">
      <c r="A1262">
        <v>1261</v>
      </c>
      <c r="B1262" t="s">
        <v>794</v>
      </c>
      <c r="C1262">
        <v>2023</v>
      </c>
      <c r="D1262" t="s">
        <v>20</v>
      </c>
      <c r="E1262">
        <v>2</v>
      </c>
      <c r="F1262" t="s">
        <v>31</v>
      </c>
      <c r="G1262" t="s">
        <v>40</v>
      </c>
      <c r="H1262">
        <v>29.28</v>
      </c>
      <c r="I1262" t="s">
        <v>38</v>
      </c>
      <c r="J1262">
        <v>44</v>
      </c>
      <c r="K1262">
        <v>360</v>
      </c>
      <c r="L1262">
        <v>88.82</v>
      </c>
      <c r="M1262">
        <v>12.62</v>
      </c>
      <c r="N1262">
        <v>11.62</v>
      </c>
      <c r="O1262">
        <v>6.77</v>
      </c>
      <c r="P1262">
        <v>338.76</v>
      </c>
      <c r="Q1262">
        <v>176</v>
      </c>
      <c r="R1262">
        <v>1</v>
      </c>
      <c r="S1262">
        <v>248</v>
      </c>
    </row>
    <row r="1263" spans="1:19" x14ac:dyDescent="0.3">
      <c r="A1263">
        <v>1262</v>
      </c>
      <c r="B1263" t="s">
        <v>794</v>
      </c>
      <c r="C1263">
        <v>2023</v>
      </c>
      <c r="D1263" t="s">
        <v>20</v>
      </c>
      <c r="E1263">
        <v>2</v>
      </c>
      <c r="F1263" t="s">
        <v>62</v>
      </c>
      <c r="G1263" t="s">
        <v>40</v>
      </c>
      <c r="H1263">
        <v>10.19</v>
      </c>
      <c r="I1263" t="s">
        <v>23</v>
      </c>
      <c r="J1263">
        <v>5</v>
      </c>
      <c r="K1263">
        <v>107</v>
      </c>
      <c r="L1263">
        <v>82.15</v>
      </c>
      <c r="M1263">
        <v>26.38</v>
      </c>
      <c r="N1263">
        <v>19.46</v>
      </c>
      <c r="O1263">
        <v>13.19</v>
      </c>
      <c r="P1263">
        <v>344.72</v>
      </c>
      <c r="Q1263">
        <v>147</v>
      </c>
      <c r="R1263">
        <v>1</v>
      </c>
      <c r="S1263">
        <v>97</v>
      </c>
    </row>
    <row r="1264" spans="1:19" x14ac:dyDescent="0.3">
      <c r="A1264">
        <v>1263</v>
      </c>
      <c r="B1264" t="s">
        <v>795</v>
      </c>
      <c r="C1264">
        <v>2023</v>
      </c>
      <c r="D1264" t="s">
        <v>20</v>
      </c>
      <c r="E1264">
        <v>2</v>
      </c>
      <c r="F1264" t="s">
        <v>25</v>
      </c>
      <c r="G1264" t="s">
        <v>40</v>
      </c>
      <c r="H1264">
        <v>15.18</v>
      </c>
      <c r="I1264" t="s">
        <v>47</v>
      </c>
      <c r="J1264">
        <v>21</v>
      </c>
      <c r="K1264">
        <v>235</v>
      </c>
      <c r="L1264">
        <v>77.12</v>
      </c>
      <c r="M1264">
        <v>25.95</v>
      </c>
      <c r="N1264">
        <v>17.329999999999998</v>
      </c>
      <c r="O1264">
        <v>2.41</v>
      </c>
      <c r="P1264">
        <v>548.25</v>
      </c>
      <c r="Q1264">
        <v>905</v>
      </c>
      <c r="R1264">
        <v>3</v>
      </c>
      <c r="S1264">
        <v>111</v>
      </c>
    </row>
    <row r="1265" spans="1:19" x14ac:dyDescent="0.3">
      <c r="A1265">
        <v>1264</v>
      </c>
      <c r="B1265" t="s">
        <v>796</v>
      </c>
      <c r="C1265">
        <v>2023</v>
      </c>
      <c r="D1265" t="s">
        <v>20</v>
      </c>
      <c r="E1265">
        <v>2</v>
      </c>
      <c r="F1265" t="s">
        <v>25</v>
      </c>
      <c r="G1265" t="s">
        <v>26</v>
      </c>
      <c r="H1265">
        <v>31.12</v>
      </c>
      <c r="I1265" t="s">
        <v>27</v>
      </c>
      <c r="J1265">
        <v>47</v>
      </c>
      <c r="K1265">
        <v>596</v>
      </c>
      <c r="L1265">
        <v>80.459999999999994</v>
      </c>
      <c r="M1265">
        <v>16.3</v>
      </c>
      <c r="N1265">
        <v>11.03</v>
      </c>
      <c r="O1265">
        <v>1.3</v>
      </c>
      <c r="P1265">
        <v>223.92</v>
      </c>
      <c r="Q1265">
        <v>358</v>
      </c>
      <c r="R1265">
        <v>2</v>
      </c>
      <c r="S1265">
        <v>148</v>
      </c>
    </row>
    <row r="1266" spans="1:19" x14ac:dyDescent="0.3">
      <c r="A1266">
        <v>1265</v>
      </c>
      <c r="B1266" t="s">
        <v>797</v>
      </c>
      <c r="C1266">
        <v>2023</v>
      </c>
      <c r="D1266" t="s">
        <v>20</v>
      </c>
      <c r="E1266">
        <v>2</v>
      </c>
      <c r="F1266" t="s">
        <v>25</v>
      </c>
      <c r="G1266" t="s">
        <v>35</v>
      </c>
      <c r="H1266">
        <v>14.51</v>
      </c>
      <c r="I1266" t="s">
        <v>38</v>
      </c>
      <c r="J1266">
        <v>3</v>
      </c>
      <c r="K1266">
        <v>126</v>
      </c>
      <c r="L1266">
        <v>85.82</v>
      </c>
      <c r="M1266">
        <v>8.7799999999999994</v>
      </c>
      <c r="N1266">
        <v>18.48</v>
      </c>
      <c r="O1266">
        <v>1.6</v>
      </c>
      <c r="P1266">
        <v>284.69</v>
      </c>
      <c r="Q1266">
        <v>924</v>
      </c>
      <c r="R1266">
        <v>3</v>
      </c>
      <c r="S1266">
        <v>170</v>
      </c>
    </row>
    <row r="1267" spans="1:19" x14ac:dyDescent="0.3">
      <c r="A1267">
        <v>1266</v>
      </c>
      <c r="B1267" t="s">
        <v>798</v>
      </c>
      <c r="C1267">
        <v>2023</v>
      </c>
      <c r="D1267" t="s">
        <v>20</v>
      </c>
      <c r="E1267">
        <v>2</v>
      </c>
      <c r="F1267" t="s">
        <v>25</v>
      </c>
      <c r="G1267" t="s">
        <v>22</v>
      </c>
      <c r="H1267">
        <v>44.27</v>
      </c>
      <c r="I1267" t="s">
        <v>38</v>
      </c>
      <c r="J1267">
        <v>45</v>
      </c>
      <c r="K1267">
        <v>557</v>
      </c>
      <c r="L1267">
        <v>78.11</v>
      </c>
      <c r="M1267">
        <v>22.81</v>
      </c>
      <c r="N1267">
        <v>13.02</v>
      </c>
      <c r="O1267">
        <v>7.26</v>
      </c>
      <c r="P1267">
        <v>392.11</v>
      </c>
      <c r="Q1267">
        <v>198</v>
      </c>
      <c r="R1267">
        <v>1</v>
      </c>
      <c r="S1267">
        <v>231</v>
      </c>
    </row>
    <row r="1268" spans="1:19" x14ac:dyDescent="0.3">
      <c r="A1268">
        <v>1267</v>
      </c>
      <c r="B1268" t="s">
        <v>797</v>
      </c>
      <c r="C1268">
        <v>2023</v>
      </c>
      <c r="D1268" t="s">
        <v>20</v>
      </c>
      <c r="E1268">
        <v>2</v>
      </c>
      <c r="F1268" t="s">
        <v>25</v>
      </c>
      <c r="G1268" t="s">
        <v>22</v>
      </c>
      <c r="H1268">
        <v>39.159999999999997</v>
      </c>
      <c r="I1268" t="s">
        <v>32</v>
      </c>
      <c r="J1268">
        <v>18</v>
      </c>
      <c r="K1268">
        <v>344</v>
      </c>
      <c r="L1268">
        <v>86.53</v>
      </c>
      <c r="M1268">
        <v>17.72</v>
      </c>
      <c r="N1268">
        <v>18</v>
      </c>
      <c r="O1268">
        <v>9.56</v>
      </c>
      <c r="P1268">
        <v>489.59</v>
      </c>
      <c r="Q1268">
        <v>283</v>
      </c>
      <c r="R1268">
        <v>2</v>
      </c>
      <c r="S1268">
        <v>187</v>
      </c>
    </row>
    <row r="1269" spans="1:19" x14ac:dyDescent="0.3">
      <c r="A1269">
        <v>1268</v>
      </c>
      <c r="B1269" t="s">
        <v>799</v>
      </c>
      <c r="C1269">
        <v>2023</v>
      </c>
      <c r="D1269" t="s">
        <v>20</v>
      </c>
      <c r="E1269">
        <v>2</v>
      </c>
      <c r="F1269" t="s">
        <v>37</v>
      </c>
      <c r="G1269" t="s">
        <v>40</v>
      </c>
      <c r="H1269">
        <v>49.41</v>
      </c>
      <c r="I1269" t="s">
        <v>23</v>
      </c>
      <c r="J1269">
        <v>10</v>
      </c>
      <c r="K1269">
        <v>107</v>
      </c>
      <c r="L1269">
        <v>84.92</v>
      </c>
      <c r="M1269">
        <v>34.979999999999997</v>
      </c>
      <c r="N1269">
        <v>17.010000000000002</v>
      </c>
      <c r="O1269">
        <v>2.46</v>
      </c>
      <c r="P1269">
        <v>138.05000000000001</v>
      </c>
      <c r="Q1269">
        <v>200</v>
      </c>
      <c r="R1269">
        <v>5</v>
      </c>
      <c r="S1269">
        <v>204</v>
      </c>
    </row>
    <row r="1270" spans="1:19" x14ac:dyDescent="0.3">
      <c r="A1270">
        <v>1269</v>
      </c>
      <c r="B1270" t="s">
        <v>800</v>
      </c>
      <c r="C1270">
        <v>2023</v>
      </c>
      <c r="D1270" t="s">
        <v>20</v>
      </c>
      <c r="E1270">
        <v>2</v>
      </c>
      <c r="F1270" t="s">
        <v>53</v>
      </c>
      <c r="G1270" t="s">
        <v>35</v>
      </c>
      <c r="H1270">
        <v>50.53</v>
      </c>
      <c r="I1270" t="s">
        <v>47</v>
      </c>
      <c r="J1270">
        <v>33</v>
      </c>
      <c r="K1270">
        <v>123</v>
      </c>
      <c r="L1270">
        <v>75.23</v>
      </c>
      <c r="M1270">
        <v>8.32</v>
      </c>
      <c r="N1270">
        <v>6.42</v>
      </c>
      <c r="O1270">
        <v>14.72</v>
      </c>
      <c r="P1270">
        <v>428.1</v>
      </c>
      <c r="Q1270">
        <v>1053</v>
      </c>
      <c r="R1270">
        <v>1</v>
      </c>
      <c r="S1270">
        <v>227</v>
      </c>
    </row>
    <row r="1271" spans="1:19" x14ac:dyDescent="0.3">
      <c r="A1271">
        <v>1270</v>
      </c>
      <c r="B1271" t="s">
        <v>795</v>
      </c>
      <c r="C1271">
        <v>2023</v>
      </c>
      <c r="D1271" t="s">
        <v>20</v>
      </c>
      <c r="E1271">
        <v>2</v>
      </c>
      <c r="F1271" t="s">
        <v>37</v>
      </c>
      <c r="G1271" t="s">
        <v>22</v>
      </c>
      <c r="H1271">
        <v>53.26</v>
      </c>
      <c r="I1271" t="s">
        <v>27</v>
      </c>
      <c r="J1271">
        <v>46</v>
      </c>
      <c r="K1271">
        <v>245</v>
      </c>
      <c r="L1271">
        <v>89.89</v>
      </c>
      <c r="M1271">
        <v>21.43</v>
      </c>
      <c r="N1271">
        <v>6.51</v>
      </c>
      <c r="O1271">
        <v>6.57</v>
      </c>
      <c r="P1271">
        <v>107.19</v>
      </c>
      <c r="Q1271">
        <v>919</v>
      </c>
      <c r="R1271">
        <v>3</v>
      </c>
      <c r="S1271">
        <v>183</v>
      </c>
    </row>
    <row r="1272" spans="1:19" x14ac:dyDescent="0.3">
      <c r="A1272">
        <v>1271</v>
      </c>
      <c r="B1272" t="s">
        <v>798</v>
      </c>
      <c r="C1272">
        <v>2023</v>
      </c>
      <c r="D1272" t="s">
        <v>20</v>
      </c>
      <c r="E1272">
        <v>2</v>
      </c>
      <c r="F1272" t="s">
        <v>37</v>
      </c>
      <c r="G1272" t="s">
        <v>22</v>
      </c>
      <c r="H1272">
        <v>5.64</v>
      </c>
      <c r="I1272" t="s">
        <v>38</v>
      </c>
      <c r="J1272">
        <v>10</v>
      </c>
      <c r="K1272">
        <v>310</v>
      </c>
      <c r="L1272">
        <v>78.260000000000005</v>
      </c>
      <c r="M1272">
        <v>19.77</v>
      </c>
      <c r="N1272">
        <v>7.47</v>
      </c>
      <c r="O1272">
        <v>10.58</v>
      </c>
      <c r="P1272">
        <v>278.22000000000003</v>
      </c>
      <c r="Q1272">
        <v>736</v>
      </c>
      <c r="R1272">
        <v>5</v>
      </c>
      <c r="S1272">
        <v>193</v>
      </c>
    </row>
    <row r="1273" spans="1:19" x14ac:dyDescent="0.3">
      <c r="A1273">
        <v>1272</v>
      </c>
      <c r="B1273" t="s">
        <v>792</v>
      </c>
      <c r="C1273">
        <v>2023</v>
      </c>
      <c r="D1273" t="s">
        <v>20</v>
      </c>
      <c r="E1273">
        <v>2</v>
      </c>
      <c r="F1273" t="s">
        <v>21</v>
      </c>
      <c r="G1273" t="s">
        <v>22</v>
      </c>
      <c r="H1273">
        <v>37.950000000000003</v>
      </c>
      <c r="I1273" t="s">
        <v>32</v>
      </c>
      <c r="J1273">
        <v>5</v>
      </c>
      <c r="K1273">
        <v>357</v>
      </c>
      <c r="L1273">
        <v>88.07</v>
      </c>
      <c r="M1273">
        <v>9.57</v>
      </c>
      <c r="N1273">
        <v>13.38</v>
      </c>
      <c r="O1273">
        <v>1.62</v>
      </c>
      <c r="P1273">
        <v>437.33</v>
      </c>
      <c r="Q1273">
        <v>880</v>
      </c>
      <c r="R1273">
        <v>5</v>
      </c>
      <c r="S1273">
        <v>57</v>
      </c>
    </row>
    <row r="1274" spans="1:19" x14ac:dyDescent="0.3">
      <c r="A1274">
        <v>1273</v>
      </c>
      <c r="B1274" t="s">
        <v>800</v>
      </c>
      <c r="C1274">
        <v>2023</v>
      </c>
      <c r="D1274" t="s">
        <v>20</v>
      </c>
      <c r="E1274">
        <v>2</v>
      </c>
      <c r="F1274" t="s">
        <v>29</v>
      </c>
      <c r="G1274" t="s">
        <v>42</v>
      </c>
      <c r="H1274">
        <v>5.3</v>
      </c>
      <c r="I1274" t="s">
        <v>38</v>
      </c>
      <c r="J1274">
        <v>17</v>
      </c>
      <c r="K1274">
        <v>512</v>
      </c>
      <c r="L1274">
        <v>87.99</v>
      </c>
      <c r="M1274">
        <v>8.01</v>
      </c>
      <c r="N1274">
        <v>7.39</v>
      </c>
      <c r="O1274">
        <v>15.65</v>
      </c>
      <c r="P1274">
        <v>189.82</v>
      </c>
      <c r="Q1274">
        <v>896</v>
      </c>
      <c r="R1274">
        <v>1</v>
      </c>
      <c r="S1274">
        <v>215</v>
      </c>
    </row>
    <row r="1275" spans="1:19" x14ac:dyDescent="0.3">
      <c r="A1275">
        <v>1274</v>
      </c>
      <c r="B1275" t="s">
        <v>801</v>
      </c>
      <c r="C1275">
        <v>2023</v>
      </c>
      <c r="D1275" t="s">
        <v>20</v>
      </c>
      <c r="E1275">
        <v>2</v>
      </c>
      <c r="F1275" t="s">
        <v>25</v>
      </c>
      <c r="G1275" t="s">
        <v>40</v>
      </c>
      <c r="H1275">
        <v>6.59</v>
      </c>
      <c r="I1275" t="s">
        <v>27</v>
      </c>
      <c r="J1275">
        <v>38</v>
      </c>
      <c r="K1275">
        <v>217</v>
      </c>
      <c r="L1275">
        <v>83.34</v>
      </c>
      <c r="M1275">
        <v>31.62</v>
      </c>
      <c r="N1275">
        <v>16.41</v>
      </c>
      <c r="O1275">
        <v>7.93</v>
      </c>
      <c r="P1275">
        <v>431.94</v>
      </c>
      <c r="Q1275">
        <v>916</v>
      </c>
      <c r="R1275">
        <v>5</v>
      </c>
      <c r="S1275">
        <v>127</v>
      </c>
    </row>
    <row r="1276" spans="1:19" x14ac:dyDescent="0.3">
      <c r="A1276">
        <v>1275</v>
      </c>
      <c r="B1276" t="s">
        <v>802</v>
      </c>
      <c r="C1276">
        <v>2023</v>
      </c>
      <c r="D1276" t="s">
        <v>20</v>
      </c>
      <c r="E1276">
        <v>2</v>
      </c>
      <c r="F1276" t="s">
        <v>31</v>
      </c>
      <c r="G1276" t="s">
        <v>42</v>
      </c>
      <c r="H1276">
        <v>28.91</v>
      </c>
      <c r="I1276" t="s">
        <v>38</v>
      </c>
      <c r="J1276">
        <v>12</v>
      </c>
      <c r="K1276">
        <v>537</v>
      </c>
      <c r="L1276">
        <v>88.09</v>
      </c>
      <c r="M1276">
        <v>21.96</v>
      </c>
      <c r="N1276">
        <v>8.27</v>
      </c>
      <c r="O1276">
        <v>13.45</v>
      </c>
      <c r="P1276">
        <v>223.79</v>
      </c>
      <c r="Q1276">
        <v>652</v>
      </c>
      <c r="R1276">
        <v>5</v>
      </c>
      <c r="S1276">
        <v>209</v>
      </c>
    </row>
    <row r="1277" spans="1:19" x14ac:dyDescent="0.3">
      <c r="A1277">
        <v>1276</v>
      </c>
      <c r="B1277" t="s">
        <v>803</v>
      </c>
      <c r="C1277">
        <v>2023</v>
      </c>
      <c r="D1277" t="s">
        <v>20</v>
      </c>
      <c r="E1277">
        <v>2</v>
      </c>
      <c r="F1277" t="s">
        <v>29</v>
      </c>
      <c r="G1277" t="s">
        <v>42</v>
      </c>
      <c r="H1277">
        <v>16.04</v>
      </c>
      <c r="I1277" t="s">
        <v>47</v>
      </c>
      <c r="J1277">
        <v>22</v>
      </c>
      <c r="K1277">
        <v>252</v>
      </c>
      <c r="L1277">
        <v>91.79</v>
      </c>
      <c r="M1277">
        <v>28.72</v>
      </c>
      <c r="N1277">
        <v>6.1</v>
      </c>
      <c r="O1277">
        <v>9.1</v>
      </c>
      <c r="P1277">
        <v>359.27</v>
      </c>
      <c r="Q1277">
        <v>710</v>
      </c>
      <c r="R1277">
        <v>5</v>
      </c>
      <c r="S1277">
        <v>128</v>
      </c>
    </row>
    <row r="1278" spans="1:19" x14ac:dyDescent="0.3">
      <c r="A1278">
        <v>1277</v>
      </c>
      <c r="B1278" t="s">
        <v>804</v>
      </c>
      <c r="C1278">
        <v>2023</v>
      </c>
      <c r="D1278" t="s">
        <v>20</v>
      </c>
      <c r="E1278">
        <v>2</v>
      </c>
      <c r="F1278" t="s">
        <v>62</v>
      </c>
      <c r="G1278" t="s">
        <v>22</v>
      </c>
      <c r="H1278">
        <v>22.2</v>
      </c>
      <c r="I1278" t="s">
        <v>38</v>
      </c>
      <c r="J1278">
        <v>49</v>
      </c>
      <c r="K1278">
        <v>264</v>
      </c>
      <c r="L1278">
        <v>85.08</v>
      </c>
      <c r="M1278">
        <v>25.1</v>
      </c>
      <c r="N1278">
        <v>6.48</v>
      </c>
      <c r="O1278">
        <v>8.58</v>
      </c>
      <c r="P1278">
        <v>269.39999999999998</v>
      </c>
      <c r="Q1278">
        <v>705</v>
      </c>
      <c r="R1278">
        <v>2</v>
      </c>
      <c r="S1278">
        <v>185</v>
      </c>
    </row>
    <row r="1279" spans="1:19" x14ac:dyDescent="0.3">
      <c r="A1279">
        <v>1278</v>
      </c>
      <c r="B1279" t="s">
        <v>803</v>
      </c>
      <c r="C1279">
        <v>2023</v>
      </c>
      <c r="D1279" t="s">
        <v>20</v>
      </c>
      <c r="E1279">
        <v>2</v>
      </c>
      <c r="F1279" t="s">
        <v>31</v>
      </c>
      <c r="G1279" t="s">
        <v>40</v>
      </c>
      <c r="H1279">
        <v>26.91</v>
      </c>
      <c r="I1279" t="s">
        <v>47</v>
      </c>
      <c r="J1279">
        <v>49</v>
      </c>
      <c r="K1279">
        <v>539</v>
      </c>
      <c r="L1279">
        <v>91.52</v>
      </c>
      <c r="M1279">
        <v>10.08</v>
      </c>
      <c r="N1279">
        <v>6.93</v>
      </c>
      <c r="O1279">
        <v>5.63</v>
      </c>
      <c r="P1279">
        <v>551.79999999999995</v>
      </c>
      <c r="Q1279">
        <v>702</v>
      </c>
      <c r="R1279">
        <v>3</v>
      </c>
      <c r="S1279">
        <v>63</v>
      </c>
    </row>
    <row r="1280" spans="1:19" x14ac:dyDescent="0.3">
      <c r="A1280">
        <v>1279</v>
      </c>
      <c r="B1280" t="s">
        <v>801</v>
      </c>
      <c r="C1280">
        <v>2023</v>
      </c>
      <c r="D1280" t="s">
        <v>20</v>
      </c>
      <c r="E1280">
        <v>2</v>
      </c>
      <c r="F1280" t="s">
        <v>21</v>
      </c>
      <c r="G1280" t="s">
        <v>35</v>
      </c>
      <c r="H1280">
        <v>44.78</v>
      </c>
      <c r="I1280" t="s">
        <v>23</v>
      </c>
      <c r="J1280">
        <v>19</v>
      </c>
      <c r="K1280">
        <v>562</v>
      </c>
      <c r="L1280">
        <v>90.39</v>
      </c>
      <c r="M1280">
        <v>17.7</v>
      </c>
      <c r="N1280">
        <v>8.18</v>
      </c>
      <c r="O1280">
        <v>2.94</v>
      </c>
      <c r="P1280">
        <v>276.08999999999997</v>
      </c>
      <c r="Q1280">
        <v>176</v>
      </c>
      <c r="R1280">
        <v>1</v>
      </c>
      <c r="S1280">
        <v>100</v>
      </c>
    </row>
    <row r="1281" spans="1:19" x14ac:dyDescent="0.3">
      <c r="A1281">
        <v>1280</v>
      </c>
      <c r="B1281" t="s">
        <v>802</v>
      </c>
      <c r="C1281">
        <v>2023</v>
      </c>
      <c r="D1281" t="s">
        <v>20</v>
      </c>
      <c r="E1281">
        <v>2</v>
      </c>
      <c r="F1281" t="s">
        <v>25</v>
      </c>
      <c r="G1281" t="s">
        <v>22</v>
      </c>
      <c r="H1281">
        <v>39.31</v>
      </c>
      <c r="I1281" t="s">
        <v>47</v>
      </c>
      <c r="J1281">
        <v>36</v>
      </c>
      <c r="K1281">
        <v>420</v>
      </c>
      <c r="L1281">
        <v>90.35</v>
      </c>
      <c r="M1281">
        <v>9.44</v>
      </c>
      <c r="N1281">
        <v>16.87</v>
      </c>
      <c r="O1281">
        <v>6.5</v>
      </c>
      <c r="P1281">
        <v>528.66</v>
      </c>
      <c r="Q1281">
        <v>469</v>
      </c>
      <c r="R1281">
        <v>1</v>
      </c>
      <c r="S1281">
        <v>232</v>
      </c>
    </row>
    <row r="1282" spans="1:19" x14ac:dyDescent="0.3">
      <c r="A1282">
        <v>1281</v>
      </c>
      <c r="B1282" t="s">
        <v>805</v>
      </c>
      <c r="C1282">
        <v>2023</v>
      </c>
      <c r="D1282" t="s">
        <v>20</v>
      </c>
      <c r="E1282">
        <v>2</v>
      </c>
      <c r="F1282" t="s">
        <v>53</v>
      </c>
      <c r="G1282" t="s">
        <v>35</v>
      </c>
      <c r="H1282">
        <v>50.09</v>
      </c>
      <c r="I1282" t="s">
        <v>23</v>
      </c>
      <c r="J1282">
        <v>3</v>
      </c>
      <c r="K1282">
        <v>242</v>
      </c>
      <c r="L1282">
        <v>87.55</v>
      </c>
      <c r="M1282">
        <v>11.89</v>
      </c>
      <c r="N1282">
        <v>10.14</v>
      </c>
      <c r="O1282">
        <v>5.45</v>
      </c>
      <c r="P1282">
        <v>546</v>
      </c>
      <c r="Q1282">
        <v>933</v>
      </c>
      <c r="R1282">
        <v>5</v>
      </c>
      <c r="S1282">
        <v>59</v>
      </c>
    </row>
    <row r="1283" spans="1:19" x14ac:dyDescent="0.3">
      <c r="A1283">
        <v>1282</v>
      </c>
      <c r="B1283" t="s">
        <v>806</v>
      </c>
      <c r="C1283">
        <v>2023</v>
      </c>
      <c r="D1283" t="s">
        <v>20</v>
      </c>
      <c r="E1283">
        <v>2</v>
      </c>
      <c r="F1283" t="s">
        <v>31</v>
      </c>
      <c r="G1283" t="s">
        <v>22</v>
      </c>
      <c r="H1283">
        <v>32.96</v>
      </c>
      <c r="I1283" t="s">
        <v>23</v>
      </c>
      <c r="J1283">
        <v>6</v>
      </c>
      <c r="K1283">
        <v>116</v>
      </c>
      <c r="L1283">
        <v>82.61</v>
      </c>
      <c r="M1283">
        <v>23.1</v>
      </c>
      <c r="N1283">
        <v>8.42</v>
      </c>
      <c r="O1283">
        <v>7.14</v>
      </c>
      <c r="P1283">
        <v>219.23</v>
      </c>
      <c r="Q1283">
        <v>805</v>
      </c>
      <c r="R1283">
        <v>2</v>
      </c>
      <c r="S1283">
        <v>171</v>
      </c>
    </row>
    <row r="1284" spans="1:19" x14ac:dyDescent="0.3">
      <c r="A1284">
        <v>1283</v>
      </c>
      <c r="B1284" t="s">
        <v>807</v>
      </c>
      <c r="C1284">
        <v>2023</v>
      </c>
      <c r="D1284" t="s">
        <v>20</v>
      </c>
      <c r="E1284">
        <v>2</v>
      </c>
      <c r="F1284" t="s">
        <v>37</v>
      </c>
      <c r="G1284" t="s">
        <v>26</v>
      </c>
      <c r="H1284">
        <v>34.21</v>
      </c>
      <c r="I1284" t="s">
        <v>38</v>
      </c>
      <c r="J1284">
        <v>6</v>
      </c>
      <c r="K1284">
        <v>478</v>
      </c>
      <c r="L1284">
        <v>77.150000000000006</v>
      </c>
      <c r="M1284">
        <v>16.25</v>
      </c>
      <c r="N1284">
        <v>21.33</v>
      </c>
      <c r="O1284">
        <v>6</v>
      </c>
      <c r="P1284">
        <v>396.87</v>
      </c>
      <c r="Q1284">
        <v>520</v>
      </c>
      <c r="R1284">
        <v>3</v>
      </c>
      <c r="S1284">
        <v>154</v>
      </c>
    </row>
    <row r="1285" spans="1:19" x14ac:dyDescent="0.3">
      <c r="A1285">
        <v>1284</v>
      </c>
      <c r="B1285" t="s">
        <v>808</v>
      </c>
      <c r="C1285">
        <v>2023</v>
      </c>
      <c r="D1285" t="s">
        <v>20</v>
      </c>
      <c r="E1285">
        <v>2</v>
      </c>
      <c r="F1285" t="s">
        <v>37</v>
      </c>
      <c r="G1285" t="s">
        <v>35</v>
      </c>
      <c r="H1285">
        <v>26.87</v>
      </c>
      <c r="I1285" t="s">
        <v>38</v>
      </c>
      <c r="J1285">
        <v>10</v>
      </c>
      <c r="K1285">
        <v>496</v>
      </c>
      <c r="L1285">
        <v>85.51</v>
      </c>
      <c r="M1285">
        <v>19.350000000000001</v>
      </c>
      <c r="N1285">
        <v>21.39</v>
      </c>
      <c r="O1285">
        <v>12.27</v>
      </c>
      <c r="P1285">
        <v>597.96</v>
      </c>
      <c r="Q1285">
        <v>752</v>
      </c>
      <c r="R1285">
        <v>4</v>
      </c>
      <c r="S1285">
        <v>52</v>
      </c>
    </row>
    <row r="1286" spans="1:19" x14ac:dyDescent="0.3">
      <c r="A1286">
        <v>1285</v>
      </c>
      <c r="B1286" t="s">
        <v>809</v>
      </c>
      <c r="C1286">
        <v>2023</v>
      </c>
      <c r="D1286" t="s">
        <v>20</v>
      </c>
      <c r="E1286">
        <v>2</v>
      </c>
      <c r="F1286" t="s">
        <v>37</v>
      </c>
      <c r="G1286" t="s">
        <v>26</v>
      </c>
      <c r="H1286">
        <v>42.43</v>
      </c>
      <c r="I1286" t="s">
        <v>23</v>
      </c>
      <c r="J1286">
        <v>36</v>
      </c>
      <c r="K1286">
        <v>457</v>
      </c>
      <c r="L1286">
        <v>92.93</v>
      </c>
      <c r="M1286">
        <v>13.74</v>
      </c>
      <c r="N1286">
        <v>20.77</v>
      </c>
      <c r="O1286">
        <v>9.16</v>
      </c>
      <c r="P1286">
        <v>256.62</v>
      </c>
      <c r="Q1286">
        <v>225</v>
      </c>
      <c r="R1286">
        <v>5</v>
      </c>
      <c r="S1286">
        <v>69</v>
      </c>
    </row>
    <row r="1287" spans="1:19" x14ac:dyDescent="0.3">
      <c r="A1287">
        <v>1286</v>
      </c>
      <c r="B1287" t="s">
        <v>795</v>
      </c>
      <c r="C1287">
        <v>2023</v>
      </c>
      <c r="D1287" t="s">
        <v>20</v>
      </c>
      <c r="E1287">
        <v>2</v>
      </c>
      <c r="F1287" t="s">
        <v>37</v>
      </c>
      <c r="G1287" t="s">
        <v>42</v>
      </c>
      <c r="H1287">
        <v>17.88</v>
      </c>
      <c r="I1287" t="s">
        <v>47</v>
      </c>
      <c r="J1287">
        <v>45</v>
      </c>
      <c r="K1287">
        <v>570</v>
      </c>
      <c r="L1287">
        <v>88.81</v>
      </c>
      <c r="M1287">
        <v>28.03</v>
      </c>
      <c r="N1287">
        <v>15.45</v>
      </c>
      <c r="O1287">
        <v>6.05</v>
      </c>
      <c r="P1287">
        <v>574.66</v>
      </c>
      <c r="Q1287">
        <v>446</v>
      </c>
      <c r="R1287">
        <v>2</v>
      </c>
      <c r="S1287">
        <v>220</v>
      </c>
    </row>
    <row r="1288" spans="1:19" x14ac:dyDescent="0.3">
      <c r="A1288">
        <v>1287</v>
      </c>
      <c r="B1288" t="s">
        <v>808</v>
      </c>
      <c r="C1288">
        <v>2023</v>
      </c>
      <c r="D1288" t="s">
        <v>20</v>
      </c>
      <c r="E1288">
        <v>2</v>
      </c>
      <c r="F1288" t="s">
        <v>31</v>
      </c>
      <c r="G1288" t="s">
        <v>35</v>
      </c>
      <c r="H1288">
        <v>28.02</v>
      </c>
      <c r="I1288" t="s">
        <v>38</v>
      </c>
      <c r="J1288">
        <v>1</v>
      </c>
      <c r="K1288">
        <v>514</v>
      </c>
      <c r="L1288">
        <v>77.680000000000007</v>
      </c>
      <c r="M1288">
        <v>26.72</v>
      </c>
      <c r="N1288">
        <v>20.83</v>
      </c>
      <c r="O1288">
        <v>12.43</v>
      </c>
      <c r="P1288">
        <v>519.82000000000005</v>
      </c>
      <c r="Q1288">
        <v>433</v>
      </c>
      <c r="R1288">
        <v>4</v>
      </c>
      <c r="S1288">
        <v>214</v>
      </c>
    </row>
    <row r="1289" spans="1:19" x14ac:dyDescent="0.3">
      <c r="A1289">
        <v>1288</v>
      </c>
      <c r="B1289" t="s">
        <v>806</v>
      </c>
      <c r="C1289">
        <v>2023</v>
      </c>
      <c r="D1289" t="s">
        <v>20</v>
      </c>
      <c r="E1289">
        <v>2</v>
      </c>
      <c r="F1289" t="s">
        <v>29</v>
      </c>
      <c r="G1289" t="s">
        <v>35</v>
      </c>
      <c r="H1289">
        <v>14.81</v>
      </c>
      <c r="I1289" t="s">
        <v>27</v>
      </c>
      <c r="J1289">
        <v>48</v>
      </c>
      <c r="K1289">
        <v>554</v>
      </c>
      <c r="L1289">
        <v>79.7</v>
      </c>
      <c r="M1289">
        <v>8.08</v>
      </c>
      <c r="N1289">
        <v>14.15</v>
      </c>
      <c r="O1289">
        <v>6.85</v>
      </c>
      <c r="P1289">
        <v>426.25</v>
      </c>
      <c r="Q1289">
        <v>290</v>
      </c>
      <c r="R1289">
        <v>3</v>
      </c>
      <c r="S1289">
        <v>188</v>
      </c>
    </row>
    <row r="1290" spans="1:19" x14ac:dyDescent="0.3">
      <c r="A1290">
        <v>1289</v>
      </c>
      <c r="B1290" t="s">
        <v>801</v>
      </c>
      <c r="C1290">
        <v>2023</v>
      </c>
      <c r="D1290" t="s">
        <v>20</v>
      </c>
      <c r="E1290">
        <v>2</v>
      </c>
      <c r="F1290" t="s">
        <v>21</v>
      </c>
      <c r="G1290" t="s">
        <v>26</v>
      </c>
      <c r="H1290">
        <v>23.45</v>
      </c>
      <c r="I1290" t="s">
        <v>27</v>
      </c>
      <c r="J1290">
        <v>49</v>
      </c>
      <c r="K1290">
        <v>293</v>
      </c>
      <c r="L1290">
        <v>76.930000000000007</v>
      </c>
      <c r="M1290">
        <v>7.21</v>
      </c>
      <c r="N1290">
        <v>8.0500000000000007</v>
      </c>
      <c r="O1290">
        <v>15.81</v>
      </c>
      <c r="P1290">
        <v>263.05</v>
      </c>
      <c r="Q1290">
        <v>1097</v>
      </c>
      <c r="R1290">
        <v>1</v>
      </c>
      <c r="S1290">
        <v>102</v>
      </c>
    </row>
    <row r="1291" spans="1:19" x14ac:dyDescent="0.3">
      <c r="A1291">
        <v>1290</v>
      </c>
      <c r="B1291" t="s">
        <v>795</v>
      </c>
      <c r="C1291">
        <v>2023</v>
      </c>
      <c r="D1291" t="s">
        <v>20</v>
      </c>
      <c r="E1291">
        <v>2</v>
      </c>
      <c r="F1291" t="s">
        <v>34</v>
      </c>
      <c r="G1291" t="s">
        <v>22</v>
      </c>
      <c r="H1291">
        <v>25.65</v>
      </c>
      <c r="I1291" t="s">
        <v>47</v>
      </c>
      <c r="J1291">
        <v>10</v>
      </c>
      <c r="K1291">
        <v>515</v>
      </c>
      <c r="L1291">
        <v>83.36</v>
      </c>
      <c r="M1291">
        <v>5.79</v>
      </c>
      <c r="N1291">
        <v>19.329999999999998</v>
      </c>
      <c r="O1291">
        <v>7.95</v>
      </c>
      <c r="P1291">
        <v>191.33</v>
      </c>
      <c r="Q1291">
        <v>809</v>
      </c>
      <c r="R1291">
        <v>5</v>
      </c>
      <c r="S1291">
        <v>177</v>
      </c>
    </row>
    <row r="1292" spans="1:19" x14ac:dyDescent="0.3">
      <c r="A1292">
        <v>1291</v>
      </c>
      <c r="B1292" t="s">
        <v>802</v>
      </c>
      <c r="C1292">
        <v>2023</v>
      </c>
      <c r="D1292" t="s">
        <v>20</v>
      </c>
      <c r="E1292">
        <v>2</v>
      </c>
      <c r="F1292" t="s">
        <v>53</v>
      </c>
      <c r="G1292" t="s">
        <v>40</v>
      </c>
      <c r="H1292">
        <v>31.67</v>
      </c>
      <c r="I1292" t="s">
        <v>38</v>
      </c>
      <c r="J1292">
        <v>37</v>
      </c>
      <c r="K1292">
        <v>259</v>
      </c>
      <c r="L1292">
        <v>87.5</v>
      </c>
      <c r="M1292">
        <v>5.17</v>
      </c>
      <c r="N1292">
        <v>6.21</v>
      </c>
      <c r="O1292">
        <v>7.86</v>
      </c>
      <c r="P1292">
        <v>127.55</v>
      </c>
      <c r="Q1292">
        <v>1097</v>
      </c>
      <c r="R1292">
        <v>4</v>
      </c>
      <c r="S1292">
        <v>223</v>
      </c>
    </row>
    <row r="1293" spans="1:19" x14ac:dyDescent="0.3">
      <c r="A1293">
        <v>1292</v>
      </c>
      <c r="B1293" t="s">
        <v>810</v>
      </c>
      <c r="C1293">
        <v>2023</v>
      </c>
      <c r="D1293" t="s">
        <v>20</v>
      </c>
      <c r="E1293">
        <v>2</v>
      </c>
      <c r="F1293" t="s">
        <v>21</v>
      </c>
      <c r="G1293" t="s">
        <v>40</v>
      </c>
      <c r="H1293">
        <v>46.6</v>
      </c>
      <c r="I1293" t="s">
        <v>32</v>
      </c>
      <c r="J1293">
        <v>49</v>
      </c>
      <c r="K1293">
        <v>144</v>
      </c>
      <c r="L1293">
        <v>91.7</v>
      </c>
      <c r="M1293">
        <v>12.64</v>
      </c>
      <c r="N1293">
        <v>18.420000000000002</v>
      </c>
      <c r="O1293">
        <v>10.75</v>
      </c>
      <c r="P1293">
        <v>543.79</v>
      </c>
      <c r="Q1293">
        <v>103</v>
      </c>
      <c r="R1293">
        <v>5</v>
      </c>
      <c r="S1293">
        <v>207</v>
      </c>
    </row>
    <row r="1294" spans="1:19" x14ac:dyDescent="0.3">
      <c r="A1294">
        <v>1293</v>
      </c>
      <c r="B1294" t="s">
        <v>811</v>
      </c>
      <c r="C1294">
        <v>2023</v>
      </c>
      <c r="D1294" t="s">
        <v>20</v>
      </c>
      <c r="E1294">
        <v>3</v>
      </c>
      <c r="F1294" t="s">
        <v>25</v>
      </c>
      <c r="G1294" t="s">
        <v>35</v>
      </c>
      <c r="H1294">
        <v>46.41</v>
      </c>
      <c r="I1294" t="s">
        <v>23</v>
      </c>
      <c r="J1294">
        <v>7</v>
      </c>
      <c r="K1294">
        <v>358</v>
      </c>
      <c r="L1294">
        <v>85.28</v>
      </c>
      <c r="M1294">
        <v>32.799999999999997</v>
      </c>
      <c r="N1294">
        <v>5.24</v>
      </c>
      <c r="O1294">
        <v>13.43</v>
      </c>
      <c r="P1294">
        <v>296.70999999999998</v>
      </c>
      <c r="Q1294">
        <v>329</v>
      </c>
      <c r="R1294">
        <v>5</v>
      </c>
      <c r="S1294">
        <v>82</v>
      </c>
    </row>
    <row r="1295" spans="1:19" x14ac:dyDescent="0.3">
      <c r="A1295">
        <v>1294</v>
      </c>
      <c r="B1295" t="s">
        <v>812</v>
      </c>
      <c r="C1295">
        <v>2023</v>
      </c>
      <c r="D1295" t="s">
        <v>20</v>
      </c>
      <c r="E1295">
        <v>3</v>
      </c>
      <c r="F1295" t="s">
        <v>37</v>
      </c>
      <c r="G1295" t="s">
        <v>42</v>
      </c>
      <c r="H1295">
        <v>29.99</v>
      </c>
      <c r="I1295" t="s">
        <v>38</v>
      </c>
      <c r="J1295">
        <v>23</v>
      </c>
      <c r="K1295">
        <v>206</v>
      </c>
      <c r="L1295">
        <v>82.82</v>
      </c>
      <c r="M1295">
        <v>5.61</v>
      </c>
      <c r="N1295">
        <v>21.95</v>
      </c>
      <c r="O1295">
        <v>15.81</v>
      </c>
      <c r="P1295">
        <v>283.87</v>
      </c>
      <c r="Q1295">
        <v>1028</v>
      </c>
      <c r="R1295">
        <v>2</v>
      </c>
      <c r="S1295">
        <v>127</v>
      </c>
    </row>
    <row r="1296" spans="1:19" x14ac:dyDescent="0.3">
      <c r="A1296">
        <v>1295</v>
      </c>
      <c r="B1296" t="s">
        <v>813</v>
      </c>
      <c r="C1296">
        <v>2023</v>
      </c>
      <c r="D1296" t="s">
        <v>20</v>
      </c>
      <c r="E1296">
        <v>3</v>
      </c>
      <c r="F1296" t="s">
        <v>21</v>
      </c>
      <c r="G1296" t="s">
        <v>42</v>
      </c>
      <c r="H1296">
        <v>9.2100000000000009</v>
      </c>
      <c r="I1296" t="s">
        <v>27</v>
      </c>
      <c r="J1296">
        <v>8</v>
      </c>
      <c r="K1296">
        <v>302</v>
      </c>
      <c r="L1296">
        <v>92.79</v>
      </c>
      <c r="M1296">
        <v>13.03</v>
      </c>
      <c r="N1296">
        <v>14.66</v>
      </c>
      <c r="O1296">
        <v>3.15</v>
      </c>
      <c r="P1296">
        <v>247.14</v>
      </c>
      <c r="Q1296">
        <v>741</v>
      </c>
      <c r="R1296">
        <v>5</v>
      </c>
      <c r="S1296">
        <v>222</v>
      </c>
    </row>
    <row r="1297" spans="1:19" x14ac:dyDescent="0.3">
      <c r="A1297">
        <v>1296</v>
      </c>
      <c r="B1297" t="s">
        <v>814</v>
      </c>
      <c r="C1297">
        <v>2023</v>
      </c>
      <c r="D1297" t="s">
        <v>20</v>
      </c>
      <c r="E1297">
        <v>3</v>
      </c>
      <c r="F1297" t="s">
        <v>53</v>
      </c>
      <c r="G1297" t="s">
        <v>26</v>
      </c>
      <c r="H1297">
        <v>10.48</v>
      </c>
      <c r="I1297" t="s">
        <v>38</v>
      </c>
      <c r="J1297">
        <v>30</v>
      </c>
      <c r="K1297">
        <v>150</v>
      </c>
      <c r="L1297">
        <v>89.92</v>
      </c>
      <c r="M1297">
        <v>11.53</v>
      </c>
      <c r="N1297">
        <v>17.91</v>
      </c>
      <c r="O1297">
        <v>8.75</v>
      </c>
      <c r="P1297">
        <v>238.96</v>
      </c>
      <c r="Q1297">
        <v>819</v>
      </c>
      <c r="R1297">
        <v>1</v>
      </c>
      <c r="S1297">
        <v>78</v>
      </c>
    </row>
    <row r="1298" spans="1:19" x14ac:dyDescent="0.3">
      <c r="A1298">
        <v>1297</v>
      </c>
      <c r="B1298" t="s">
        <v>812</v>
      </c>
      <c r="C1298">
        <v>2023</v>
      </c>
      <c r="D1298" t="s">
        <v>20</v>
      </c>
      <c r="E1298">
        <v>3</v>
      </c>
      <c r="F1298" t="s">
        <v>21</v>
      </c>
      <c r="G1298" t="s">
        <v>40</v>
      </c>
      <c r="H1298">
        <v>15.47</v>
      </c>
      <c r="I1298" t="s">
        <v>32</v>
      </c>
      <c r="J1298">
        <v>46</v>
      </c>
      <c r="K1298">
        <v>405</v>
      </c>
      <c r="L1298">
        <v>93.62</v>
      </c>
      <c r="M1298">
        <v>26.72</v>
      </c>
      <c r="N1298">
        <v>3.76</v>
      </c>
      <c r="O1298">
        <v>11.81</v>
      </c>
      <c r="P1298">
        <v>497.72</v>
      </c>
      <c r="Q1298">
        <v>618</v>
      </c>
      <c r="R1298">
        <v>1</v>
      </c>
      <c r="S1298">
        <v>197</v>
      </c>
    </row>
    <row r="1299" spans="1:19" x14ac:dyDescent="0.3">
      <c r="A1299">
        <v>1298</v>
      </c>
      <c r="B1299" t="s">
        <v>815</v>
      </c>
      <c r="C1299">
        <v>2023</v>
      </c>
      <c r="D1299" t="s">
        <v>20</v>
      </c>
      <c r="E1299">
        <v>3</v>
      </c>
      <c r="F1299" t="s">
        <v>25</v>
      </c>
      <c r="G1299" t="s">
        <v>35</v>
      </c>
      <c r="H1299">
        <v>37.01</v>
      </c>
      <c r="I1299" t="s">
        <v>47</v>
      </c>
      <c r="J1299">
        <v>43</v>
      </c>
      <c r="K1299">
        <v>545</v>
      </c>
      <c r="L1299">
        <v>78.22</v>
      </c>
      <c r="M1299">
        <v>16.34</v>
      </c>
      <c r="N1299">
        <v>19.739999999999998</v>
      </c>
      <c r="O1299">
        <v>8.08</v>
      </c>
      <c r="P1299">
        <v>266.11</v>
      </c>
      <c r="Q1299">
        <v>672</v>
      </c>
      <c r="R1299">
        <v>4</v>
      </c>
      <c r="S1299">
        <v>194</v>
      </c>
    </row>
    <row r="1300" spans="1:19" x14ac:dyDescent="0.3">
      <c r="A1300">
        <v>1299</v>
      </c>
      <c r="B1300" t="s">
        <v>816</v>
      </c>
      <c r="C1300">
        <v>2023</v>
      </c>
      <c r="D1300" t="s">
        <v>20</v>
      </c>
      <c r="E1300">
        <v>3</v>
      </c>
      <c r="F1300" t="s">
        <v>29</v>
      </c>
      <c r="G1300" t="s">
        <v>22</v>
      </c>
      <c r="H1300">
        <v>22.93</v>
      </c>
      <c r="I1300" t="s">
        <v>27</v>
      </c>
      <c r="J1300">
        <v>41</v>
      </c>
      <c r="K1300">
        <v>374</v>
      </c>
      <c r="L1300">
        <v>91.19</v>
      </c>
      <c r="M1300">
        <v>25.83</v>
      </c>
      <c r="N1300">
        <v>19.48</v>
      </c>
      <c r="O1300">
        <v>8.27</v>
      </c>
      <c r="P1300">
        <v>144.52000000000001</v>
      </c>
      <c r="Q1300">
        <v>701</v>
      </c>
      <c r="R1300">
        <v>4</v>
      </c>
      <c r="S1300">
        <v>116</v>
      </c>
    </row>
    <row r="1301" spans="1:19" x14ac:dyDescent="0.3">
      <c r="A1301">
        <v>1300</v>
      </c>
      <c r="B1301" t="s">
        <v>817</v>
      </c>
      <c r="C1301">
        <v>2023</v>
      </c>
      <c r="D1301" t="s">
        <v>20</v>
      </c>
      <c r="E1301">
        <v>3</v>
      </c>
      <c r="F1301" t="s">
        <v>21</v>
      </c>
      <c r="G1301" t="s">
        <v>42</v>
      </c>
      <c r="H1301">
        <v>11.54</v>
      </c>
      <c r="I1301" t="s">
        <v>23</v>
      </c>
      <c r="J1301">
        <v>39</v>
      </c>
      <c r="K1301">
        <v>456</v>
      </c>
      <c r="L1301">
        <v>94.08</v>
      </c>
      <c r="M1301">
        <v>26.9</v>
      </c>
      <c r="N1301">
        <v>4.38</v>
      </c>
      <c r="O1301">
        <v>10.81</v>
      </c>
      <c r="P1301">
        <v>388.67</v>
      </c>
      <c r="Q1301">
        <v>392</v>
      </c>
      <c r="R1301">
        <v>4</v>
      </c>
      <c r="S1301">
        <v>246</v>
      </c>
    </row>
    <row r="1302" spans="1:19" x14ac:dyDescent="0.3">
      <c r="A1302">
        <v>1301</v>
      </c>
      <c r="B1302" t="s">
        <v>818</v>
      </c>
      <c r="C1302">
        <v>2023</v>
      </c>
      <c r="D1302" t="s">
        <v>20</v>
      </c>
      <c r="E1302">
        <v>3</v>
      </c>
      <c r="F1302" t="s">
        <v>29</v>
      </c>
      <c r="G1302" t="s">
        <v>40</v>
      </c>
      <c r="H1302">
        <v>14.25</v>
      </c>
      <c r="I1302" t="s">
        <v>27</v>
      </c>
      <c r="J1302">
        <v>11</v>
      </c>
      <c r="K1302">
        <v>149</v>
      </c>
      <c r="L1302">
        <v>85.8</v>
      </c>
      <c r="M1302">
        <v>14.43</v>
      </c>
      <c r="N1302">
        <v>6.78</v>
      </c>
      <c r="O1302">
        <v>9.57</v>
      </c>
      <c r="P1302">
        <v>368.69</v>
      </c>
      <c r="Q1302">
        <v>710</v>
      </c>
      <c r="R1302">
        <v>5</v>
      </c>
      <c r="S1302">
        <v>212</v>
      </c>
    </row>
    <row r="1303" spans="1:19" x14ac:dyDescent="0.3">
      <c r="A1303">
        <v>1302</v>
      </c>
      <c r="B1303" t="s">
        <v>819</v>
      </c>
      <c r="C1303">
        <v>2023</v>
      </c>
      <c r="D1303" t="s">
        <v>20</v>
      </c>
      <c r="E1303">
        <v>3</v>
      </c>
      <c r="F1303" t="s">
        <v>31</v>
      </c>
      <c r="G1303" t="s">
        <v>40</v>
      </c>
      <c r="H1303">
        <v>33.96</v>
      </c>
      <c r="I1303" t="s">
        <v>38</v>
      </c>
      <c r="J1303">
        <v>2</v>
      </c>
      <c r="K1303">
        <v>571</v>
      </c>
      <c r="L1303">
        <v>86.39</v>
      </c>
      <c r="M1303">
        <v>9.18</v>
      </c>
      <c r="N1303">
        <v>2.35</v>
      </c>
      <c r="O1303">
        <v>9.5</v>
      </c>
      <c r="P1303">
        <v>488.39</v>
      </c>
      <c r="Q1303">
        <v>149</v>
      </c>
      <c r="R1303">
        <v>1</v>
      </c>
      <c r="S1303">
        <v>156</v>
      </c>
    </row>
    <row r="1304" spans="1:19" x14ac:dyDescent="0.3">
      <c r="A1304">
        <v>1303</v>
      </c>
      <c r="B1304" t="s">
        <v>820</v>
      </c>
      <c r="C1304">
        <v>2023</v>
      </c>
      <c r="D1304" t="s">
        <v>20</v>
      </c>
      <c r="E1304">
        <v>3</v>
      </c>
      <c r="F1304" t="s">
        <v>53</v>
      </c>
      <c r="G1304" t="s">
        <v>22</v>
      </c>
      <c r="H1304">
        <v>41.11</v>
      </c>
      <c r="I1304" t="s">
        <v>38</v>
      </c>
      <c r="J1304">
        <v>49</v>
      </c>
      <c r="K1304">
        <v>406</v>
      </c>
      <c r="L1304">
        <v>79.989999999999995</v>
      </c>
      <c r="M1304">
        <v>26.14</v>
      </c>
      <c r="N1304">
        <v>5.15</v>
      </c>
      <c r="O1304">
        <v>11.3</v>
      </c>
      <c r="P1304">
        <v>281.04000000000002</v>
      </c>
      <c r="Q1304">
        <v>558</v>
      </c>
      <c r="R1304">
        <v>5</v>
      </c>
      <c r="S1304">
        <v>66</v>
      </c>
    </row>
    <row r="1305" spans="1:19" x14ac:dyDescent="0.3">
      <c r="A1305">
        <v>1304</v>
      </c>
      <c r="B1305" t="s">
        <v>821</v>
      </c>
      <c r="C1305">
        <v>2023</v>
      </c>
      <c r="D1305" t="s">
        <v>20</v>
      </c>
      <c r="E1305">
        <v>3</v>
      </c>
      <c r="F1305" t="s">
        <v>34</v>
      </c>
      <c r="G1305" t="s">
        <v>40</v>
      </c>
      <c r="H1305">
        <v>24.27</v>
      </c>
      <c r="I1305" t="s">
        <v>32</v>
      </c>
      <c r="J1305">
        <v>32</v>
      </c>
      <c r="K1305">
        <v>232</v>
      </c>
      <c r="L1305">
        <v>86.23</v>
      </c>
      <c r="M1305">
        <v>23.33</v>
      </c>
      <c r="N1305">
        <v>12.89</v>
      </c>
      <c r="O1305">
        <v>12.33</v>
      </c>
      <c r="P1305">
        <v>219.85</v>
      </c>
      <c r="Q1305">
        <v>342</v>
      </c>
      <c r="R1305">
        <v>2</v>
      </c>
      <c r="S1305">
        <v>87</v>
      </c>
    </row>
    <row r="1306" spans="1:19" x14ac:dyDescent="0.3">
      <c r="A1306">
        <v>1305</v>
      </c>
      <c r="B1306" t="s">
        <v>811</v>
      </c>
      <c r="C1306">
        <v>2023</v>
      </c>
      <c r="D1306" t="s">
        <v>20</v>
      </c>
      <c r="E1306">
        <v>3</v>
      </c>
      <c r="F1306" t="s">
        <v>21</v>
      </c>
      <c r="G1306" t="s">
        <v>22</v>
      </c>
      <c r="H1306">
        <v>14.87</v>
      </c>
      <c r="I1306" t="s">
        <v>47</v>
      </c>
      <c r="J1306">
        <v>31</v>
      </c>
      <c r="K1306">
        <v>318</v>
      </c>
      <c r="L1306">
        <v>82.36</v>
      </c>
      <c r="M1306">
        <v>23.5</v>
      </c>
      <c r="N1306">
        <v>19.350000000000001</v>
      </c>
      <c r="O1306">
        <v>8.6999999999999993</v>
      </c>
      <c r="P1306">
        <v>495.86</v>
      </c>
      <c r="Q1306">
        <v>219</v>
      </c>
      <c r="R1306">
        <v>5</v>
      </c>
      <c r="S1306">
        <v>99</v>
      </c>
    </row>
    <row r="1307" spans="1:19" x14ac:dyDescent="0.3">
      <c r="A1307">
        <v>1306</v>
      </c>
      <c r="B1307" t="s">
        <v>822</v>
      </c>
      <c r="C1307">
        <v>2023</v>
      </c>
      <c r="D1307" t="s">
        <v>20</v>
      </c>
      <c r="E1307">
        <v>3</v>
      </c>
      <c r="F1307" t="s">
        <v>21</v>
      </c>
      <c r="G1307" t="s">
        <v>26</v>
      </c>
      <c r="H1307">
        <v>6.27</v>
      </c>
      <c r="I1307" t="s">
        <v>32</v>
      </c>
      <c r="J1307">
        <v>43</v>
      </c>
      <c r="K1307">
        <v>308</v>
      </c>
      <c r="L1307">
        <v>75.790000000000006</v>
      </c>
      <c r="M1307">
        <v>10.54</v>
      </c>
      <c r="N1307">
        <v>6.56</v>
      </c>
      <c r="O1307">
        <v>1.51</v>
      </c>
      <c r="P1307">
        <v>195</v>
      </c>
      <c r="Q1307">
        <v>507</v>
      </c>
      <c r="R1307">
        <v>5</v>
      </c>
      <c r="S1307">
        <v>217</v>
      </c>
    </row>
    <row r="1308" spans="1:19" x14ac:dyDescent="0.3">
      <c r="A1308">
        <v>1307</v>
      </c>
      <c r="B1308" t="s">
        <v>823</v>
      </c>
      <c r="C1308">
        <v>2023</v>
      </c>
      <c r="D1308" t="s">
        <v>20</v>
      </c>
      <c r="E1308">
        <v>3</v>
      </c>
      <c r="F1308" t="s">
        <v>29</v>
      </c>
      <c r="G1308" t="s">
        <v>22</v>
      </c>
      <c r="H1308">
        <v>9.26</v>
      </c>
      <c r="I1308" t="s">
        <v>47</v>
      </c>
      <c r="J1308">
        <v>19</v>
      </c>
      <c r="K1308">
        <v>447</v>
      </c>
      <c r="L1308">
        <v>75.72</v>
      </c>
      <c r="M1308">
        <v>19.73</v>
      </c>
      <c r="N1308">
        <v>14.46</v>
      </c>
      <c r="O1308">
        <v>11.93</v>
      </c>
      <c r="P1308">
        <v>437.52</v>
      </c>
      <c r="Q1308">
        <v>809</v>
      </c>
      <c r="R1308">
        <v>1</v>
      </c>
      <c r="S1308">
        <v>56</v>
      </c>
    </row>
    <row r="1309" spans="1:19" x14ac:dyDescent="0.3">
      <c r="A1309">
        <v>1308</v>
      </c>
      <c r="B1309" t="s">
        <v>824</v>
      </c>
      <c r="C1309">
        <v>2023</v>
      </c>
      <c r="D1309" t="s">
        <v>20</v>
      </c>
      <c r="E1309">
        <v>3</v>
      </c>
      <c r="F1309" t="s">
        <v>29</v>
      </c>
      <c r="G1309" t="s">
        <v>26</v>
      </c>
      <c r="H1309">
        <v>48.08</v>
      </c>
      <c r="I1309" t="s">
        <v>47</v>
      </c>
      <c r="J1309">
        <v>28</v>
      </c>
      <c r="K1309">
        <v>239</v>
      </c>
      <c r="L1309">
        <v>90.54</v>
      </c>
      <c r="M1309">
        <v>8.5</v>
      </c>
      <c r="N1309">
        <v>18.239999999999998</v>
      </c>
      <c r="O1309">
        <v>7.93</v>
      </c>
      <c r="P1309">
        <v>223.24</v>
      </c>
      <c r="Q1309">
        <v>1096</v>
      </c>
      <c r="R1309">
        <v>5</v>
      </c>
      <c r="S1309">
        <v>184</v>
      </c>
    </row>
    <row r="1310" spans="1:19" x14ac:dyDescent="0.3">
      <c r="A1310">
        <v>1309</v>
      </c>
      <c r="B1310" t="s">
        <v>825</v>
      </c>
      <c r="C1310">
        <v>2023</v>
      </c>
      <c r="D1310" t="s">
        <v>20</v>
      </c>
      <c r="E1310">
        <v>3</v>
      </c>
      <c r="F1310" t="s">
        <v>25</v>
      </c>
      <c r="G1310" t="s">
        <v>26</v>
      </c>
      <c r="H1310">
        <v>18.95</v>
      </c>
      <c r="I1310" t="s">
        <v>23</v>
      </c>
      <c r="J1310">
        <v>16</v>
      </c>
      <c r="K1310">
        <v>103</v>
      </c>
      <c r="L1310">
        <v>85.06</v>
      </c>
      <c r="M1310">
        <v>12.25</v>
      </c>
      <c r="N1310">
        <v>18.170000000000002</v>
      </c>
      <c r="O1310">
        <v>6.65</v>
      </c>
      <c r="P1310">
        <v>229.59</v>
      </c>
      <c r="Q1310">
        <v>388</v>
      </c>
      <c r="R1310">
        <v>4</v>
      </c>
      <c r="S1310">
        <v>110</v>
      </c>
    </row>
    <row r="1311" spans="1:19" x14ac:dyDescent="0.3">
      <c r="A1311">
        <v>1310</v>
      </c>
      <c r="B1311" t="s">
        <v>813</v>
      </c>
      <c r="C1311">
        <v>2023</v>
      </c>
      <c r="D1311" t="s">
        <v>20</v>
      </c>
      <c r="E1311">
        <v>3</v>
      </c>
      <c r="F1311" t="s">
        <v>53</v>
      </c>
      <c r="G1311" t="s">
        <v>26</v>
      </c>
      <c r="H1311">
        <v>45.51</v>
      </c>
      <c r="I1311" t="s">
        <v>32</v>
      </c>
      <c r="J1311">
        <v>39</v>
      </c>
      <c r="K1311">
        <v>360</v>
      </c>
      <c r="L1311">
        <v>83.29</v>
      </c>
      <c r="M1311">
        <v>28.43</v>
      </c>
      <c r="N1311">
        <v>13.16</v>
      </c>
      <c r="O1311">
        <v>12.97</v>
      </c>
      <c r="P1311">
        <v>376.83</v>
      </c>
      <c r="Q1311">
        <v>1002</v>
      </c>
      <c r="R1311">
        <v>4</v>
      </c>
      <c r="S1311">
        <v>142</v>
      </c>
    </row>
    <row r="1312" spans="1:19" x14ac:dyDescent="0.3">
      <c r="A1312">
        <v>1311</v>
      </c>
      <c r="B1312" t="s">
        <v>821</v>
      </c>
      <c r="C1312">
        <v>2023</v>
      </c>
      <c r="D1312" t="s">
        <v>20</v>
      </c>
      <c r="E1312">
        <v>3</v>
      </c>
      <c r="F1312" t="s">
        <v>37</v>
      </c>
      <c r="G1312" t="s">
        <v>22</v>
      </c>
      <c r="H1312">
        <v>35.18</v>
      </c>
      <c r="I1312" t="s">
        <v>23</v>
      </c>
      <c r="J1312">
        <v>10</v>
      </c>
      <c r="K1312">
        <v>290</v>
      </c>
      <c r="L1312">
        <v>82.47</v>
      </c>
      <c r="M1312">
        <v>15.97</v>
      </c>
      <c r="N1312">
        <v>10.7</v>
      </c>
      <c r="O1312">
        <v>1.73</v>
      </c>
      <c r="P1312">
        <v>140.82</v>
      </c>
      <c r="Q1312">
        <v>434</v>
      </c>
      <c r="R1312">
        <v>5</v>
      </c>
      <c r="S1312">
        <v>159</v>
      </c>
    </row>
    <row r="1313" spans="1:19" x14ac:dyDescent="0.3">
      <c r="A1313">
        <v>1312</v>
      </c>
      <c r="B1313" t="s">
        <v>826</v>
      </c>
      <c r="C1313">
        <v>2023</v>
      </c>
      <c r="D1313" t="s">
        <v>20</v>
      </c>
      <c r="E1313">
        <v>3</v>
      </c>
      <c r="F1313" t="s">
        <v>31</v>
      </c>
      <c r="G1313" t="s">
        <v>40</v>
      </c>
      <c r="H1313">
        <v>21.68</v>
      </c>
      <c r="I1313" t="s">
        <v>38</v>
      </c>
      <c r="J1313">
        <v>42</v>
      </c>
      <c r="K1313">
        <v>542</v>
      </c>
      <c r="L1313">
        <v>86.23</v>
      </c>
      <c r="M1313">
        <v>23.47</v>
      </c>
      <c r="N1313">
        <v>2.1</v>
      </c>
      <c r="O1313">
        <v>9.18</v>
      </c>
      <c r="P1313">
        <v>479.95</v>
      </c>
      <c r="Q1313">
        <v>932</v>
      </c>
      <c r="R1313">
        <v>4</v>
      </c>
      <c r="S1313">
        <v>87</v>
      </c>
    </row>
    <row r="1314" spans="1:19" x14ac:dyDescent="0.3">
      <c r="A1314">
        <v>1313</v>
      </c>
      <c r="B1314" t="s">
        <v>827</v>
      </c>
      <c r="C1314">
        <v>2023</v>
      </c>
      <c r="D1314" t="s">
        <v>20</v>
      </c>
      <c r="E1314">
        <v>3</v>
      </c>
      <c r="F1314" t="s">
        <v>37</v>
      </c>
      <c r="G1314" t="s">
        <v>35</v>
      </c>
      <c r="H1314">
        <v>20.22</v>
      </c>
      <c r="I1314" t="s">
        <v>47</v>
      </c>
      <c r="J1314">
        <v>43</v>
      </c>
      <c r="K1314">
        <v>113</v>
      </c>
      <c r="L1314">
        <v>93.3</v>
      </c>
      <c r="M1314">
        <v>26.23</v>
      </c>
      <c r="N1314">
        <v>15.06</v>
      </c>
      <c r="O1314">
        <v>12.08</v>
      </c>
      <c r="P1314">
        <v>257.32</v>
      </c>
      <c r="Q1314">
        <v>970</v>
      </c>
      <c r="R1314">
        <v>2</v>
      </c>
      <c r="S1314">
        <v>192</v>
      </c>
    </row>
    <row r="1315" spans="1:19" x14ac:dyDescent="0.3">
      <c r="A1315">
        <v>1314</v>
      </c>
      <c r="B1315" t="s">
        <v>817</v>
      </c>
      <c r="C1315">
        <v>2023</v>
      </c>
      <c r="D1315" t="s">
        <v>20</v>
      </c>
      <c r="E1315">
        <v>3</v>
      </c>
      <c r="F1315" t="s">
        <v>21</v>
      </c>
      <c r="G1315" t="s">
        <v>35</v>
      </c>
      <c r="H1315">
        <v>54.69</v>
      </c>
      <c r="I1315" t="s">
        <v>23</v>
      </c>
      <c r="J1315">
        <v>10</v>
      </c>
      <c r="K1315">
        <v>512</v>
      </c>
      <c r="L1315">
        <v>76.72</v>
      </c>
      <c r="M1315">
        <v>28.77</v>
      </c>
      <c r="N1315">
        <v>15.79</v>
      </c>
      <c r="O1315">
        <v>13.2</v>
      </c>
      <c r="P1315">
        <v>462.35</v>
      </c>
      <c r="Q1315">
        <v>781</v>
      </c>
      <c r="R1315">
        <v>4</v>
      </c>
      <c r="S1315">
        <v>186</v>
      </c>
    </row>
    <row r="1316" spans="1:19" x14ac:dyDescent="0.3">
      <c r="A1316">
        <v>1315</v>
      </c>
      <c r="B1316" t="s">
        <v>817</v>
      </c>
      <c r="C1316">
        <v>2023</v>
      </c>
      <c r="D1316" t="s">
        <v>20</v>
      </c>
      <c r="E1316">
        <v>3</v>
      </c>
      <c r="F1316" t="s">
        <v>21</v>
      </c>
      <c r="G1316" t="s">
        <v>26</v>
      </c>
      <c r="H1316">
        <v>5.17</v>
      </c>
      <c r="I1316" t="s">
        <v>32</v>
      </c>
      <c r="J1316">
        <v>23</v>
      </c>
      <c r="K1316">
        <v>296</v>
      </c>
      <c r="L1316">
        <v>79.45</v>
      </c>
      <c r="M1316">
        <v>18.23</v>
      </c>
      <c r="N1316">
        <v>20.29</v>
      </c>
      <c r="O1316">
        <v>6.82</v>
      </c>
      <c r="P1316">
        <v>249.28</v>
      </c>
      <c r="Q1316">
        <v>737</v>
      </c>
      <c r="R1316">
        <v>2</v>
      </c>
      <c r="S1316">
        <v>190</v>
      </c>
    </row>
    <row r="1317" spans="1:19" x14ac:dyDescent="0.3">
      <c r="A1317">
        <v>1316</v>
      </c>
      <c r="B1317" t="s">
        <v>828</v>
      </c>
      <c r="C1317">
        <v>2023</v>
      </c>
      <c r="D1317" t="s">
        <v>20</v>
      </c>
      <c r="E1317">
        <v>3</v>
      </c>
      <c r="F1317" t="s">
        <v>53</v>
      </c>
      <c r="G1317" t="s">
        <v>35</v>
      </c>
      <c r="H1317">
        <v>12.24</v>
      </c>
      <c r="I1317" t="s">
        <v>47</v>
      </c>
      <c r="J1317">
        <v>6</v>
      </c>
      <c r="K1317">
        <v>224</v>
      </c>
      <c r="L1317">
        <v>79.48</v>
      </c>
      <c r="M1317">
        <v>12.02</v>
      </c>
      <c r="N1317">
        <v>4.96</v>
      </c>
      <c r="O1317">
        <v>1.32</v>
      </c>
      <c r="P1317">
        <v>368.59</v>
      </c>
      <c r="Q1317">
        <v>529</v>
      </c>
      <c r="R1317">
        <v>3</v>
      </c>
      <c r="S1317">
        <v>120</v>
      </c>
    </row>
    <row r="1318" spans="1:19" x14ac:dyDescent="0.3">
      <c r="A1318">
        <v>1317</v>
      </c>
      <c r="B1318" t="s">
        <v>829</v>
      </c>
      <c r="C1318">
        <v>2023</v>
      </c>
      <c r="D1318" t="s">
        <v>20</v>
      </c>
      <c r="E1318">
        <v>3</v>
      </c>
      <c r="F1318" t="s">
        <v>29</v>
      </c>
      <c r="G1318" t="s">
        <v>22</v>
      </c>
      <c r="H1318">
        <v>46.31</v>
      </c>
      <c r="I1318" t="s">
        <v>47</v>
      </c>
      <c r="J1318">
        <v>44</v>
      </c>
      <c r="K1318">
        <v>567</v>
      </c>
      <c r="L1318">
        <v>77.78</v>
      </c>
      <c r="M1318">
        <v>15.6</v>
      </c>
      <c r="N1318">
        <v>2.34</v>
      </c>
      <c r="O1318">
        <v>15.02</v>
      </c>
      <c r="P1318">
        <v>484.67</v>
      </c>
      <c r="Q1318">
        <v>987</v>
      </c>
      <c r="R1318">
        <v>5</v>
      </c>
      <c r="S1318">
        <v>134</v>
      </c>
    </row>
    <row r="1319" spans="1:19" x14ac:dyDescent="0.3">
      <c r="A1319">
        <v>1318</v>
      </c>
      <c r="B1319" t="s">
        <v>812</v>
      </c>
      <c r="C1319">
        <v>2023</v>
      </c>
      <c r="D1319" t="s">
        <v>20</v>
      </c>
      <c r="E1319">
        <v>3</v>
      </c>
      <c r="F1319" t="s">
        <v>53</v>
      </c>
      <c r="G1319" t="s">
        <v>42</v>
      </c>
      <c r="H1319">
        <v>50.84</v>
      </c>
      <c r="I1319" t="s">
        <v>32</v>
      </c>
      <c r="J1319">
        <v>34</v>
      </c>
      <c r="K1319">
        <v>506</v>
      </c>
      <c r="L1319">
        <v>81.36</v>
      </c>
      <c r="M1319">
        <v>5.87</v>
      </c>
      <c r="N1319">
        <v>10.08</v>
      </c>
      <c r="O1319">
        <v>3.65</v>
      </c>
      <c r="P1319">
        <v>350.48</v>
      </c>
      <c r="Q1319">
        <v>747</v>
      </c>
      <c r="R1319">
        <v>4</v>
      </c>
      <c r="S1319">
        <v>243</v>
      </c>
    </row>
    <row r="1320" spans="1:19" x14ac:dyDescent="0.3">
      <c r="A1320">
        <v>1319</v>
      </c>
      <c r="B1320" t="s">
        <v>830</v>
      </c>
      <c r="C1320">
        <v>2023</v>
      </c>
      <c r="D1320" t="s">
        <v>20</v>
      </c>
      <c r="E1320">
        <v>3</v>
      </c>
      <c r="F1320" t="s">
        <v>53</v>
      </c>
      <c r="G1320" t="s">
        <v>35</v>
      </c>
      <c r="H1320">
        <v>6</v>
      </c>
      <c r="I1320" t="s">
        <v>32</v>
      </c>
      <c r="J1320">
        <v>30</v>
      </c>
      <c r="K1320">
        <v>223</v>
      </c>
      <c r="L1320">
        <v>83.39</v>
      </c>
      <c r="M1320">
        <v>10.63</v>
      </c>
      <c r="N1320">
        <v>18.03</v>
      </c>
      <c r="O1320">
        <v>2.93</v>
      </c>
      <c r="P1320">
        <v>519.79</v>
      </c>
      <c r="Q1320">
        <v>805</v>
      </c>
      <c r="R1320">
        <v>1</v>
      </c>
      <c r="S1320">
        <v>83</v>
      </c>
    </row>
    <row r="1321" spans="1:19" x14ac:dyDescent="0.3">
      <c r="A1321">
        <v>1320</v>
      </c>
      <c r="B1321" t="s">
        <v>831</v>
      </c>
      <c r="C1321">
        <v>2023</v>
      </c>
      <c r="D1321" t="s">
        <v>20</v>
      </c>
      <c r="E1321">
        <v>3</v>
      </c>
      <c r="F1321" t="s">
        <v>53</v>
      </c>
      <c r="G1321" t="s">
        <v>42</v>
      </c>
      <c r="H1321">
        <v>54.35</v>
      </c>
      <c r="I1321" t="s">
        <v>38</v>
      </c>
      <c r="J1321">
        <v>28</v>
      </c>
      <c r="K1321">
        <v>259</v>
      </c>
      <c r="L1321">
        <v>78.400000000000006</v>
      </c>
      <c r="M1321">
        <v>34.72</v>
      </c>
      <c r="N1321">
        <v>8.84</v>
      </c>
      <c r="O1321">
        <v>1.37</v>
      </c>
      <c r="P1321">
        <v>223.73</v>
      </c>
      <c r="Q1321">
        <v>382</v>
      </c>
      <c r="R1321">
        <v>1</v>
      </c>
      <c r="S1321">
        <v>71</v>
      </c>
    </row>
    <row r="1322" spans="1:19" x14ac:dyDescent="0.3">
      <c r="A1322">
        <v>1321</v>
      </c>
      <c r="B1322" t="s">
        <v>821</v>
      </c>
      <c r="C1322">
        <v>2023</v>
      </c>
      <c r="D1322" t="s">
        <v>20</v>
      </c>
      <c r="E1322">
        <v>3</v>
      </c>
      <c r="F1322" t="s">
        <v>25</v>
      </c>
      <c r="G1322" t="s">
        <v>26</v>
      </c>
      <c r="H1322">
        <v>29.19</v>
      </c>
      <c r="I1322" t="s">
        <v>32</v>
      </c>
      <c r="J1322">
        <v>3</v>
      </c>
      <c r="K1322">
        <v>169</v>
      </c>
      <c r="L1322">
        <v>93.11</v>
      </c>
      <c r="M1322">
        <v>5.3</v>
      </c>
      <c r="N1322">
        <v>6.84</v>
      </c>
      <c r="O1322">
        <v>13.03</v>
      </c>
      <c r="P1322">
        <v>360.49</v>
      </c>
      <c r="Q1322">
        <v>181</v>
      </c>
      <c r="R1322">
        <v>4</v>
      </c>
      <c r="S1322">
        <v>120</v>
      </c>
    </row>
    <row r="1323" spans="1:19" x14ac:dyDescent="0.3">
      <c r="A1323">
        <v>1322</v>
      </c>
      <c r="B1323" t="s">
        <v>832</v>
      </c>
      <c r="C1323">
        <v>2023</v>
      </c>
      <c r="D1323" t="s">
        <v>20</v>
      </c>
      <c r="E1323">
        <v>3</v>
      </c>
      <c r="F1323" t="s">
        <v>31</v>
      </c>
      <c r="G1323" t="s">
        <v>42</v>
      </c>
      <c r="H1323">
        <v>38.799999999999997</v>
      </c>
      <c r="I1323" t="s">
        <v>27</v>
      </c>
      <c r="J1323">
        <v>29</v>
      </c>
      <c r="K1323">
        <v>314</v>
      </c>
      <c r="L1323">
        <v>78</v>
      </c>
      <c r="M1323">
        <v>26.18</v>
      </c>
      <c r="N1323">
        <v>19.7</v>
      </c>
      <c r="O1323">
        <v>6.89</v>
      </c>
      <c r="P1323">
        <v>429.22</v>
      </c>
      <c r="Q1323">
        <v>186</v>
      </c>
      <c r="R1323">
        <v>4</v>
      </c>
      <c r="S1323">
        <v>106</v>
      </c>
    </row>
    <row r="1324" spans="1:19" x14ac:dyDescent="0.3">
      <c r="A1324">
        <v>1323</v>
      </c>
      <c r="B1324" t="s">
        <v>833</v>
      </c>
      <c r="C1324">
        <v>2023</v>
      </c>
      <c r="D1324" t="s">
        <v>20</v>
      </c>
      <c r="E1324">
        <v>3</v>
      </c>
      <c r="F1324" t="s">
        <v>31</v>
      </c>
      <c r="G1324" t="s">
        <v>26</v>
      </c>
      <c r="H1324">
        <v>13.61</v>
      </c>
      <c r="I1324" t="s">
        <v>23</v>
      </c>
      <c r="J1324">
        <v>42</v>
      </c>
      <c r="K1324">
        <v>200</v>
      </c>
      <c r="L1324">
        <v>87.39</v>
      </c>
      <c r="M1324">
        <v>13.53</v>
      </c>
      <c r="N1324">
        <v>13.59</v>
      </c>
      <c r="O1324">
        <v>6.5</v>
      </c>
      <c r="P1324">
        <v>275.3</v>
      </c>
      <c r="Q1324">
        <v>303</v>
      </c>
      <c r="R1324">
        <v>2</v>
      </c>
      <c r="S1324">
        <v>51</v>
      </c>
    </row>
    <row r="1325" spans="1:19" x14ac:dyDescent="0.3">
      <c r="A1325">
        <v>1324</v>
      </c>
      <c r="B1325" t="s">
        <v>834</v>
      </c>
      <c r="C1325">
        <v>2023</v>
      </c>
      <c r="D1325" t="s">
        <v>20</v>
      </c>
      <c r="E1325">
        <v>3</v>
      </c>
      <c r="F1325" t="s">
        <v>31</v>
      </c>
      <c r="G1325" t="s">
        <v>26</v>
      </c>
      <c r="H1325">
        <v>31.56</v>
      </c>
      <c r="I1325" t="s">
        <v>27</v>
      </c>
      <c r="J1325">
        <v>30</v>
      </c>
      <c r="K1325">
        <v>503</v>
      </c>
      <c r="L1325">
        <v>90.18</v>
      </c>
      <c r="M1325">
        <v>5.0599999999999996</v>
      </c>
      <c r="N1325">
        <v>19.48</v>
      </c>
      <c r="O1325">
        <v>7.34</v>
      </c>
      <c r="P1325">
        <v>550.92999999999995</v>
      </c>
      <c r="Q1325">
        <v>432</v>
      </c>
      <c r="R1325">
        <v>1</v>
      </c>
      <c r="S1325">
        <v>95</v>
      </c>
    </row>
    <row r="1326" spans="1:19" x14ac:dyDescent="0.3">
      <c r="A1326">
        <v>1325</v>
      </c>
      <c r="B1326" t="s">
        <v>825</v>
      </c>
      <c r="C1326">
        <v>2023</v>
      </c>
      <c r="D1326" t="s">
        <v>20</v>
      </c>
      <c r="E1326">
        <v>3</v>
      </c>
      <c r="F1326" t="s">
        <v>62</v>
      </c>
      <c r="G1326" t="s">
        <v>42</v>
      </c>
      <c r="H1326">
        <v>31.9</v>
      </c>
      <c r="I1326" t="s">
        <v>47</v>
      </c>
      <c r="J1326">
        <v>50</v>
      </c>
      <c r="K1326">
        <v>421</v>
      </c>
      <c r="L1326">
        <v>93.26</v>
      </c>
      <c r="M1326">
        <v>15.26</v>
      </c>
      <c r="N1326">
        <v>19.04</v>
      </c>
      <c r="O1326">
        <v>15.96</v>
      </c>
      <c r="P1326">
        <v>272.83999999999997</v>
      </c>
      <c r="Q1326">
        <v>464</v>
      </c>
      <c r="R1326">
        <v>3</v>
      </c>
      <c r="S1326">
        <v>117</v>
      </c>
    </row>
    <row r="1327" spans="1:19" x14ac:dyDescent="0.3">
      <c r="A1327">
        <v>1326</v>
      </c>
      <c r="B1327" t="s">
        <v>818</v>
      </c>
      <c r="C1327">
        <v>2023</v>
      </c>
      <c r="D1327" t="s">
        <v>20</v>
      </c>
      <c r="E1327">
        <v>3</v>
      </c>
      <c r="F1327" t="s">
        <v>29</v>
      </c>
      <c r="G1327" t="s">
        <v>22</v>
      </c>
      <c r="H1327">
        <v>24.4</v>
      </c>
      <c r="I1327" t="s">
        <v>38</v>
      </c>
      <c r="J1327">
        <v>7</v>
      </c>
      <c r="K1327">
        <v>515</v>
      </c>
      <c r="L1327">
        <v>80.72</v>
      </c>
      <c r="M1327">
        <v>21.28</v>
      </c>
      <c r="N1327">
        <v>19.010000000000002</v>
      </c>
      <c r="O1327">
        <v>5.48</v>
      </c>
      <c r="P1327">
        <v>164.3</v>
      </c>
      <c r="Q1327">
        <v>419</v>
      </c>
      <c r="R1327">
        <v>4</v>
      </c>
      <c r="S1327">
        <v>151</v>
      </c>
    </row>
    <row r="1328" spans="1:19" x14ac:dyDescent="0.3">
      <c r="A1328">
        <v>1327</v>
      </c>
      <c r="B1328" t="s">
        <v>835</v>
      </c>
      <c r="C1328">
        <v>2023</v>
      </c>
      <c r="D1328" t="s">
        <v>96</v>
      </c>
      <c r="E1328">
        <v>4</v>
      </c>
      <c r="F1328" t="s">
        <v>37</v>
      </c>
      <c r="G1328" t="s">
        <v>22</v>
      </c>
      <c r="H1328">
        <v>10.74</v>
      </c>
      <c r="I1328" t="s">
        <v>47</v>
      </c>
      <c r="J1328">
        <v>9</v>
      </c>
      <c r="K1328">
        <v>182</v>
      </c>
      <c r="L1328">
        <v>84.53</v>
      </c>
      <c r="M1328">
        <v>26.03</v>
      </c>
      <c r="N1328">
        <v>20.97</v>
      </c>
      <c r="O1328">
        <v>4.1900000000000004</v>
      </c>
      <c r="P1328">
        <v>142</v>
      </c>
      <c r="Q1328">
        <v>213</v>
      </c>
      <c r="R1328">
        <v>2</v>
      </c>
      <c r="S1328">
        <v>213</v>
      </c>
    </row>
    <row r="1329" spans="1:19" x14ac:dyDescent="0.3">
      <c r="A1329">
        <v>1328</v>
      </c>
      <c r="B1329" t="s">
        <v>836</v>
      </c>
      <c r="C1329">
        <v>2023</v>
      </c>
      <c r="D1329" t="s">
        <v>96</v>
      </c>
      <c r="E1329">
        <v>4</v>
      </c>
      <c r="F1329" t="s">
        <v>25</v>
      </c>
      <c r="G1329" t="s">
        <v>35</v>
      </c>
      <c r="H1329">
        <v>35.15</v>
      </c>
      <c r="I1329" t="s">
        <v>23</v>
      </c>
      <c r="J1329">
        <v>41</v>
      </c>
      <c r="K1329">
        <v>593</v>
      </c>
      <c r="L1329">
        <v>85.33</v>
      </c>
      <c r="M1329">
        <v>9.39</v>
      </c>
      <c r="N1329">
        <v>5.57</v>
      </c>
      <c r="O1329">
        <v>11.24</v>
      </c>
      <c r="P1329">
        <v>317</v>
      </c>
      <c r="Q1329">
        <v>964</v>
      </c>
      <c r="R1329">
        <v>2</v>
      </c>
      <c r="S1329">
        <v>206</v>
      </c>
    </row>
    <row r="1330" spans="1:19" x14ac:dyDescent="0.3">
      <c r="A1330">
        <v>1329</v>
      </c>
      <c r="B1330" t="s">
        <v>837</v>
      </c>
      <c r="C1330">
        <v>2023</v>
      </c>
      <c r="D1330" t="s">
        <v>96</v>
      </c>
      <c r="E1330">
        <v>4</v>
      </c>
      <c r="F1330" t="s">
        <v>25</v>
      </c>
      <c r="G1330" t="s">
        <v>35</v>
      </c>
      <c r="H1330">
        <v>14.05</v>
      </c>
      <c r="I1330" t="s">
        <v>47</v>
      </c>
      <c r="J1330">
        <v>39</v>
      </c>
      <c r="K1330">
        <v>126</v>
      </c>
      <c r="L1330">
        <v>79.959999999999994</v>
      </c>
      <c r="M1330">
        <v>11.92</v>
      </c>
      <c r="N1330">
        <v>11.24</v>
      </c>
      <c r="O1330">
        <v>15.58</v>
      </c>
      <c r="P1330">
        <v>464.36</v>
      </c>
      <c r="Q1330">
        <v>300</v>
      </c>
      <c r="R1330">
        <v>4</v>
      </c>
      <c r="S1330">
        <v>89</v>
      </c>
    </row>
    <row r="1331" spans="1:19" x14ac:dyDescent="0.3">
      <c r="A1331">
        <v>1330</v>
      </c>
      <c r="B1331" t="s">
        <v>838</v>
      </c>
      <c r="C1331">
        <v>2023</v>
      </c>
      <c r="D1331" t="s">
        <v>96</v>
      </c>
      <c r="E1331">
        <v>4</v>
      </c>
      <c r="F1331" t="s">
        <v>34</v>
      </c>
      <c r="G1331" t="s">
        <v>42</v>
      </c>
      <c r="H1331">
        <v>30.88</v>
      </c>
      <c r="I1331" t="s">
        <v>38</v>
      </c>
      <c r="J1331">
        <v>3</v>
      </c>
      <c r="K1331">
        <v>241</v>
      </c>
      <c r="L1331">
        <v>92.96</v>
      </c>
      <c r="M1331">
        <v>33.049999999999997</v>
      </c>
      <c r="N1331">
        <v>7.58</v>
      </c>
      <c r="O1331">
        <v>6.32</v>
      </c>
      <c r="P1331">
        <v>166.15</v>
      </c>
      <c r="Q1331">
        <v>855</v>
      </c>
      <c r="R1331">
        <v>4</v>
      </c>
      <c r="S1331">
        <v>133</v>
      </c>
    </row>
    <row r="1332" spans="1:19" x14ac:dyDescent="0.3">
      <c r="A1332">
        <v>1331</v>
      </c>
      <c r="B1332" t="s">
        <v>839</v>
      </c>
      <c r="C1332">
        <v>2023</v>
      </c>
      <c r="D1332" t="s">
        <v>96</v>
      </c>
      <c r="E1332">
        <v>4</v>
      </c>
      <c r="F1332" t="s">
        <v>37</v>
      </c>
      <c r="G1332" t="s">
        <v>22</v>
      </c>
      <c r="H1332">
        <v>20.78</v>
      </c>
      <c r="I1332" t="s">
        <v>27</v>
      </c>
      <c r="J1332">
        <v>1</v>
      </c>
      <c r="K1332">
        <v>383</v>
      </c>
      <c r="L1332">
        <v>80.349999999999994</v>
      </c>
      <c r="M1332">
        <v>16.09</v>
      </c>
      <c r="N1332">
        <v>20.49</v>
      </c>
      <c r="O1332">
        <v>15.71</v>
      </c>
      <c r="P1332">
        <v>209.23</v>
      </c>
      <c r="Q1332">
        <v>448</v>
      </c>
      <c r="R1332">
        <v>3</v>
      </c>
      <c r="S1332">
        <v>242</v>
      </c>
    </row>
    <row r="1333" spans="1:19" x14ac:dyDescent="0.3">
      <c r="A1333">
        <v>1332</v>
      </c>
      <c r="B1333" t="s">
        <v>840</v>
      </c>
      <c r="C1333">
        <v>2023</v>
      </c>
      <c r="D1333" t="s">
        <v>96</v>
      </c>
      <c r="E1333">
        <v>4</v>
      </c>
      <c r="F1333" t="s">
        <v>25</v>
      </c>
      <c r="G1333" t="s">
        <v>26</v>
      </c>
      <c r="H1333">
        <v>26.99</v>
      </c>
      <c r="I1333" t="s">
        <v>38</v>
      </c>
      <c r="J1333">
        <v>47</v>
      </c>
      <c r="K1333">
        <v>243</v>
      </c>
      <c r="L1333">
        <v>92.16</v>
      </c>
      <c r="M1333">
        <v>34.950000000000003</v>
      </c>
      <c r="N1333">
        <v>5.0199999999999996</v>
      </c>
      <c r="O1333">
        <v>6.68</v>
      </c>
      <c r="P1333">
        <v>132.88</v>
      </c>
      <c r="Q1333">
        <v>576</v>
      </c>
      <c r="R1333">
        <v>3</v>
      </c>
      <c r="S1333">
        <v>134</v>
      </c>
    </row>
    <row r="1334" spans="1:19" x14ac:dyDescent="0.3">
      <c r="A1334">
        <v>1333</v>
      </c>
      <c r="B1334" t="s">
        <v>840</v>
      </c>
      <c r="C1334">
        <v>2023</v>
      </c>
      <c r="D1334" t="s">
        <v>96</v>
      </c>
      <c r="E1334">
        <v>4</v>
      </c>
      <c r="F1334" t="s">
        <v>62</v>
      </c>
      <c r="G1334" t="s">
        <v>35</v>
      </c>
      <c r="H1334">
        <v>50.05</v>
      </c>
      <c r="I1334" t="s">
        <v>23</v>
      </c>
      <c r="J1334">
        <v>15</v>
      </c>
      <c r="K1334">
        <v>233</v>
      </c>
      <c r="L1334">
        <v>94.46</v>
      </c>
      <c r="M1334">
        <v>9.26</v>
      </c>
      <c r="N1334">
        <v>19.309999999999999</v>
      </c>
      <c r="O1334">
        <v>2.04</v>
      </c>
      <c r="P1334">
        <v>579.36</v>
      </c>
      <c r="Q1334">
        <v>1087</v>
      </c>
      <c r="R1334">
        <v>1</v>
      </c>
      <c r="S1334">
        <v>106</v>
      </c>
    </row>
    <row r="1335" spans="1:19" x14ac:dyDescent="0.3">
      <c r="A1335">
        <v>1334</v>
      </c>
      <c r="B1335" t="s">
        <v>841</v>
      </c>
      <c r="C1335">
        <v>2023</v>
      </c>
      <c r="D1335" t="s">
        <v>96</v>
      </c>
      <c r="E1335">
        <v>4</v>
      </c>
      <c r="F1335" t="s">
        <v>62</v>
      </c>
      <c r="G1335" t="s">
        <v>35</v>
      </c>
      <c r="H1335">
        <v>11.6</v>
      </c>
      <c r="I1335" t="s">
        <v>38</v>
      </c>
      <c r="J1335">
        <v>30</v>
      </c>
      <c r="K1335">
        <v>215</v>
      </c>
      <c r="L1335">
        <v>86.86</v>
      </c>
      <c r="M1335">
        <v>33.51</v>
      </c>
      <c r="N1335">
        <v>16.32</v>
      </c>
      <c r="O1335">
        <v>4.59</v>
      </c>
      <c r="P1335">
        <v>479.76</v>
      </c>
      <c r="Q1335">
        <v>330</v>
      </c>
      <c r="R1335">
        <v>2</v>
      </c>
      <c r="S1335">
        <v>221</v>
      </c>
    </row>
    <row r="1336" spans="1:19" x14ac:dyDescent="0.3">
      <c r="A1336">
        <v>1335</v>
      </c>
      <c r="B1336" t="s">
        <v>842</v>
      </c>
      <c r="C1336">
        <v>2023</v>
      </c>
      <c r="D1336" t="s">
        <v>96</v>
      </c>
      <c r="E1336">
        <v>4</v>
      </c>
      <c r="F1336" t="s">
        <v>29</v>
      </c>
      <c r="G1336" t="s">
        <v>26</v>
      </c>
      <c r="H1336">
        <v>40.619999999999997</v>
      </c>
      <c r="I1336" t="s">
        <v>32</v>
      </c>
      <c r="J1336">
        <v>18</v>
      </c>
      <c r="K1336">
        <v>286</v>
      </c>
      <c r="L1336">
        <v>88.1</v>
      </c>
      <c r="M1336">
        <v>16.13</v>
      </c>
      <c r="N1336">
        <v>5.35</v>
      </c>
      <c r="O1336">
        <v>10.4</v>
      </c>
      <c r="P1336">
        <v>504.94</v>
      </c>
      <c r="Q1336">
        <v>386</v>
      </c>
      <c r="R1336">
        <v>4</v>
      </c>
      <c r="S1336">
        <v>100</v>
      </c>
    </row>
    <row r="1337" spans="1:19" x14ac:dyDescent="0.3">
      <c r="A1337">
        <v>1336</v>
      </c>
      <c r="B1337" t="s">
        <v>843</v>
      </c>
      <c r="C1337">
        <v>2023</v>
      </c>
      <c r="D1337" t="s">
        <v>96</v>
      </c>
      <c r="E1337">
        <v>4</v>
      </c>
      <c r="F1337" t="s">
        <v>31</v>
      </c>
      <c r="G1337" t="s">
        <v>42</v>
      </c>
      <c r="H1337">
        <v>42.01</v>
      </c>
      <c r="I1337" t="s">
        <v>27</v>
      </c>
      <c r="J1337">
        <v>34</v>
      </c>
      <c r="K1337">
        <v>298</v>
      </c>
      <c r="L1337">
        <v>79.680000000000007</v>
      </c>
      <c r="M1337">
        <v>25.07</v>
      </c>
      <c r="N1337">
        <v>11.16</v>
      </c>
      <c r="O1337">
        <v>1.9</v>
      </c>
      <c r="P1337">
        <v>216.64</v>
      </c>
      <c r="Q1337">
        <v>775</v>
      </c>
      <c r="R1337">
        <v>5</v>
      </c>
      <c r="S1337">
        <v>94</v>
      </c>
    </row>
    <row r="1338" spans="1:19" x14ac:dyDescent="0.3">
      <c r="A1338">
        <v>1337</v>
      </c>
      <c r="B1338" t="s">
        <v>837</v>
      </c>
      <c r="C1338">
        <v>2023</v>
      </c>
      <c r="D1338" t="s">
        <v>96</v>
      </c>
      <c r="E1338">
        <v>4</v>
      </c>
      <c r="F1338" t="s">
        <v>25</v>
      </c>
      <c r="G1338" t="s">
        <v>26</v>
      </c>
      <c r="H1338">
        <v>48.36</v>
      </c>
      <c r="I1338" t="s">
        <v>47</v>
      </c>
      <c r="J1338">
        <v>34</v>
      </c>
      <c r="K1338">
        <v>110</v>
      </c>
      <c r="L1338">
        <v>88.16</v>
      </c>
      <c r="M1338">
        <v>24.51</v>
      </c>
      <c r="N1338">
        <v>3.09</v>
      </c>
      <c r="O1338">
        <v>12.44</v>
      </c>
      <c r="P1338">
        <v>509.51</v>
      </c>
      <c r="Q1338">
        <v>249</v>
      </c>
      <c r="R1338">
        <v>2</v>
      </c>
      <c r="S1338">
        <v>98</v>
      </c>
    </row>
    <row r="1339" spans="1:19" x14ac:dyDescent="0.3">
      <c r="A1339">
        <v>1338</v>
      </c>
      <c r="B1339" t="s">
        <v>842</v>
      </c>
      <c r="C1339">
        <v>2023</v>
      </c>
      <c r="D1339" t="s">
        <v>96</v>
      </c>
      <c r="E1339">
        <v>4</v>
      </c>
      <c r="F1339" t="s">
        <v>21</v>
      </c>
      <c r="G1339" t="s">
        <v>22</v>
      </c>
      <c r="H1339">
        <v>38.909999999999997</v>
      </c>
      <c r="I1339" t="s">
        <v>27</v>
      </c>
      <c r="J1339">
        <v>15</v>
      </c>
      <c r="K1339">
        <v>594</v>
      </c>
      <c r="L1339">
        <v>86.92</v>
      </c>
      <c r="M1339">
        <v>24.52</v>
      </c>
      <c r="N1339">
        <v>11.97</v>
      </c>
      <c r="O1339">
        <v>2.31</v>
      </c>
      <c r="P1339">
        <v>584.11</v>
      </c>
      <c r="Q1339">
        <v>531</v>
      </c>
      <c r="R1339">
        <v>2</v>
      </c>
      <c r="S1339">
        <v>214</v>
      </c>
    </row>
    <row r="1340" spans="1:19" x14ac:dyDescent="0.3">
      <c r="A1340">
        <v>1339</v>
      </c>
      <c r="B1340" t="s">
        <v>839</v>
      </c>
      <c r="C1340">
        <v>2023</v>
      </c>
      <c r="D1340" t="s">
        <v>96</v>
      </c>
      <c r="E1340">
        <v>4</v>
      </c>
      <c r="F1340" t="s">
        <v>37</v>
      </c>
      <c r="G1340" t="s">
        <v>35</v>
      </c>
      <c r="H1340">
        <v>13.46</v>
      </c>
      <c r="I1340" t="s">
        <v>32</v>
      </c>
      <c r="J1340">
        <v>36</v>
      </c>
      <c r="K1340">
        <v>340</v>
      </c>
      <c r="L1340">
        <v>75.69</v>
      </c>
      <c r="M1340">
        <v>33.869999999999997</v>
      </c>
      <c r="N1340">
        <v>2.87</v>
      </c>
      <c r="O1340">
        <v>3.35</v>
      </c>
      <c r="P1340">
        <v>476.04</v>
      </c>
      <c r="Q1340">
        <v>264</v>
      </c>
      <c r="R1340">
        <v>1</v>
      </c>
      <c r="S1340">
        <v>181</v>
      </c>
    </row>
    <row r="1341" spans="1:19" x14ac:dyDescent="0.3">
      <c r="A1341">
        <v>1340</v>
      </c>
      <c r="B1341" t="s">
        <v>840</v>
      </c>
      <c r="C1341">
        <v>2023</v>
      </c>
      <c r="D1341" t="s">
        <v>96</v>
      </c>
      <c r="E1341">
        <v>4</v>
      </c>
      <c r="F1341" t="s">
        <v>62</v>
      </c>
      <c r="G1341" t="s">
        <v>22</v>
      </c>
      <c r="H1341">
        <v>49.26</v>
      </c>
      <c r="I1341" t="s">
        <v>38</v>
      </c>
      <c r="J1341">
        <v>34</v>
      </c>
      <c r="K1341">
        <v>298</v>
      </c>
      <c r="L1341">
        <v>79.89</v>
      </c>
      <c r="M1341">
        <v>19.34</v>
      </c>
      <c r="N1341">
        <v>21.88</v>
      </c>
      <c r="O1341">
        <v>12.73</v>
      </c>
      <c r="P1341">
        <v>455.43</v>
      </c>
      <c r="Q1341">
        <v>699</v>
      </c>
      <c r="R1341">
        <v>5</v>
      </c>
      <c r="S1341">
        <v>116</v>
      </c>
    </row>
    <row r="1342" spans="1:19" x14ac:dyDescent="0.3">
      <c r="A1342">
        <v>1341</v>
      </c>
      <c r="B1342" t="s">
        <v>844</v>
      </c>
      <c r="C1342">
        <v>2023</v>
      </c>
      <c r="D1342" t="s">
        <v>96</v>
      </c>
      <c r="E1342">
        <v>4</v>
      </c>
      <c r="F1342" t="s">
        <v>34</v>
      </c>
      <c r="G1342" t="s">
        <v>22</v>
      </c>
      <c r="H1342">
        <v>13.41</v>
      </c>
      <c r="I1342" t="s">
        <v>47</v>
      </c>
      <c r="J1342">
        <v>3</v>
      </c>
      <c r="K1342">
        <v>583</v>
      </c>
      <c r="L1342">
        <v>77.09</v>
      </c>
      <c r="M1342">
        <v>16.760000000000002</v>
      </c>
      <c r="N1342">
        <v>6.93</v>
      </c>
      <c r="O1342">
        <v>1.61</v>
      </c>
      <c r="P1342">
        <v>160.53</v>
      </c>
      <c r="Q1342">
        <v>578</v>
      </c>
      <c r="R1342">
        <v>5</v>
      </c>
      <c r="S1342">
        <v>69</v>
      </c>
    </row>
    <row r="1343" spans="1:19" x14ac:dyDescent="0.3">
      <c r="A1343">
        <v>1342</v>
      </c>
      <c r="B1343" t="s">
        <v>845</v>
      </c>
      <c r="C1343">
        <v>2023</v>
      </c>
      <c r="D1343" t="s">
        <v>96</v>
      </c>
      <c r="E1343">
        <v>4</v>
      </c>
      <c r="F1343" t="s">
        <v>37</v>
      </c>
      <c r="G1343" t="s">
        <v>42</v>
      </c>
      <c r="H1343">
        <v>18.75</v>
      </c>
      <c r="I1343" t="s">
        <v>23</v>
      </c>
      <c r="J1343">
        <v>37</v>
      </c>
      <c r="K1343">
        <v>571</v>
      </c>
      <c r="L1343">
        <v>79.56</v>
      </c>
      <c r="M1343">
        <v>14.96</v>
      </c>
      <c r="N1343">
        <v>8.99</v>
      </c>
      <c r="O1343">
        <v>14.63</v>
      </c>
      <c r="P1343">
        <v>225.62</v>
      </c>
      <c r="Q1343">
        <v>110</v>
      </c>
      <c r="R1343">
        <v>3</v>
      </c>
      <c r="S1343">
        <v>201</v>
      </c>
    </row>
    <row r="1344" spans="1:19" x14ac:dyDescent="0.3">
      <c r="A1344">
        <v>1343</v>
      </c>
      <c r="B1344" t="s">
        <v>845</v>
      </c>
      <c r="C1344">
        <v>2023</v>
      </c>
      <c r="D1344" t="s">
        <v>96</v>
      </c>
      <c r="E1344">
        <v>4</v>
      </c>
      <c r="F1344" t="s">
        <v>62</v>
      </c>
      <c r="G1344" t="s">
        <v>40</v>
      </c>
      <c r="H1344">
        <v>27.77</v>
      </c>
      <c r="I1344" t="s">
        <v>32</v>
      </c>
      <c r="J1344">
        <v>36</v>
      </c>
      <c r="K1344">
        <v>407</v>
      </c>
      <c r="L1344">
        <v>78.989999999999995</v>
      </c>
      <c r="M1344">
        <v>17.940000000000001</v>
      </c>
      <c r="N1344">
        <v>13.23</v>
      </c>
      <c r="O1344">
        <v>12.94</v>
      </c>
      <c r="P1344">
        <v>528.92999999999995</v>
      </c>
      <c r="Q1344">
        <v>100</v>
      </c>
      <c r="R1344">
        <v>4</v>
      </c>
      <c r="S1344">
        <v>200</v>
      </c>
    </row>
    <row r="1345" spans="1:19" x14ac:dyDescent="0.3">
      <c r="A1345">
        <v>1344</v>
      </c>
      <c r="B1345" t="s">
        <v>846</v>
      </c>
      <c r="C1345">
        <v>2023</v>
      </c>
      <c r="D1345" t="s">
        <v>96</v>
      </c>
      <c r="E1345">
        <v>4</v>
      </c>
      <c r="F1345" t="s">
        <v>31</v>
      </c>
      <c r="G1345" t="s">
        <v>22</v>
      </c>
      <c r="H1345">
        <v>5.53</v>
      </c>
      <c r="I1345" t="s">
        <v>38</v>
      </c>
      <c r="J1345">
        <v>1</v>
      </c>
      <c r="K1345">
        <v>569</v>
      </c>
      <c r="L1345">
        <v>92.38</v>
      </c>
      <c r="M1345">
        <v>19.68</v>
      </c>
      <c r="N1345">
        <v>20.11</v>
      </c>
      <c r="O1345">
        <v>6</v>
      </c>
      <c r="P1345">
        <v>300.83</v>
      </c>
      <c r="Q1345">
        <v>419</v>
      </c>
      <c r="R1345">
        <v>1</v>
      </c>
      <c r="S1345">
        <v>224</v>
      </c>
    </row>
    <row r="1346" spans="1:19" x14ac:dyDescent="0.3">
      <c r="A1346">
        <v>1345</v>
      </c>
      <c r="B1346" t="s">
        <v>847</v>
      </c>
      <c r="C1346">
        <v>2023</v>
      </c>
      <c r="D1346" t="s">
        <v>96</v>
      </c>
      <c r="E1346">
        <v>4</v>
      </c>
      <c r="F1346" t="s">
        <v>21</v>
      </c>
      <c r="G1346" t="s">
        <v>40</v>
      </c>
      <c r="H1346">
        <v>21.16</v>
      </c>
      <c r="I1346" t="s">
        <v>38</v>
      </c>
      <c r="J1346">
        <v>47</v>
      </c>
      <c r="K1346">
        <v>116</v>
      </c>
      <c r="L1346">
        <v>75.61</v>
      </c>
      <c r="M1346">
        <v>9.24</v>
      </c>
      <c r="N1346">
        <v>2.48</v>
      </c>
      <c r="O1346">
        <v>7.18</v>
      </c>
      <c r="P1346">
        <v>380.41</v>
      </c>
      <c r="Q1346">
        <v>696</v>
      </c>
      <c r="R1346">
        <v>5</v>
      </c>
      <c r="S1346">
        <v>59</v>
      </c>
    </row>
    <row r="1347" spans="1:19" x14ac:dyDescent="0.3">
      <c r="A1347">
        <v>1346</v>
      </c>
      <c r="B1347" t="s">
        <v>837</v>
      </c>
      <c r="C1347">
        <v>2023</v>
      </c>
      <c r="D1347" t="s">
        <v>96</v>
      </c>
      <c r="E1347">
        <v>4</v>
      </c>
      <c r="F1347" t="s">
        <v>31</v>
      </c>
      <c r="G1347" t="s">
        <v>40</v>
      </c>
      <c r="H1347">
        <v>20.29</v>
      </c>
      <c r="I1347" t="s">
        <v>32</v>
      </c>
      <c r="J1347">
        <v>4</v>
      </c>
      <c r="K1347">
        <v>162</v>
      </c>
      <c r="L1347">
        <v>90.08</v>
      </c>
      <c r="M1347">
        <v>6.03</v>
      </c>
      <c r="N1347">
        <v>2.0099999999999998</v>
      </c>
      <c r="O1347">
        <v>9.7899999999999991</v>
      </c>
      <c r="P1347">
        <v>289.49</v>
      </c>
      <c r="Q1347">
        <v>253</v>
      </c>
      <c r="R1347">
        <v>2</v>
      </c>
      <c r="S1347">
        <v>56</v>
      </c>
    </row>
    <row r="1348" spans="1:19" x14ac:dyDescent="0.3">
      <c r="A1348">
        <v>1347</v>
      </c>
      <c r="B1348" t="s">
        <v>848</v>
      </c>
      <c r="C1348">
        <v>2023</v>
      </c>
      <c r="D1348" t="s">
        <v>96</v>
      </c>
      <c r="E1348">
        <v>4</v>
      </c>
      <c r="F1348" t="s">
        <v>25</v>
      </c>
      <c r="G1348" t="s">
        <v>42</v>
      </c>
      <c r="H1348">
        <v>52.92</v>
      </c>
      <c r="I1348" t="s">
        <v>27</v>
      </c>
      <c r="J1348">
        <v>46</v>
      </c>
      <c r="K1348">
        <v>132</v>
      </c>
      <c r="L1348">
        <v>89.05</v>
      </c>
      <c r="M1348">
        <v>18.96</v>
      </c>
      <c r="N1348">
        <v>10.18</v>
      </c>
      <c r="O1348">
        <v>7.74</v>
      </c>
      <c r="P1348">
        <v>551.07000000000005</v>
      </c>
      <c r="Q1348">
        <v>346</v>
      </c>
      <c r="R1348">
        <v>4</v>
      </c>
      <c r="S1348">
        <v>147</v>
      </c>
    </row>
    <row r="1349" spans="1:19" x14ac:dyDescent="0.3">
      <c r="A1349">
        <v>1348</v>
      </c>
      <c r="B1349" t="s">
        <v>844</v>
      </c>
      <c r="C1349">
        <v>2023</v>
      </c>
      <c r="D1349" t="s">
        <v>96</v>
      </c>
      <c r="E1349">
        <v>4</v>
      </c>
      <c r="F1349" t="s">
        <v>34</v>
      </c>
      <c r="G1349" t="s">
        <v>22</v>
      </c>
      <c r="H1349">
        <v>10.37</v>
      </c>
      <c r="I1349" t="s">
        <v>23</v>
      </c>
      <c r="J1349">
        <v>49</v>
      </c>
      <c r="K1349">
        <v>375</v>
      </c>
      <c r="L1349">
        <v>90.7</v>
      </c>
      <c r="M1349">
        <v>19.53</v>
      </c>
      <c r="N1349">
        <v>11.65</v>
      </c>
      <c r="O1349">
        <v>1.74</v>
      </c>
      <c r="P1349">
        <v>230.36</v>
      </c>
      <c r="Q1349">
        <v>812</v>
      </c>
      <c r="R1349">
        <v>3</v>
      </c>
      <c r="S1349">
        <v>136</v>
      </c>
    </row>
    <row r="1350" spans="1:19" x14ac:dyDescent="0.3">
      <c r="A1350">
        <v>1349</v>
      </c>
      <c r="B1350" t="s">
        <v>849</v>
      </c>
      <c r="C1350">
        <v>2023</v>
      </c>
      <c r="D1350" t="s">
        <v>96</v>
      </c>
      <c r="E1350">
        <v>4</v>
      </c>
      <c r="F1350" t="s">
        <v>37</v>
      </c>
      <c r="G1350" t="s">
        <v>42</v>
      </c>
      <c r="H1350">
        <v>8.26</v>
      </c>
      <c r="I1350" t="s">
        <v>32</v>
      </c>
      <c r="J1350">
        <v>22</v>
      </c>
      <c r="K1350">
        <v>130</v>
      </c>
      <c r="L1350">
        <v>82.91</v>
      </c>
      <c r="M1350">
        <v>15.84</v>
      </c>
      <c r="N1350">
        <v>6.3</v>
      </c>
      <c r="O1350">
        <v>5.7</v>
      </c>
      <c r="P1350">
        <v>428.55</v>
      </c>
      <c r="Q1350">
        <v>844</v>
      </c>
      <c r="R1350">
        <v>1</v>
      </c>
      <c r="S1350">
        <v>82</v>
      </c>
    </row>
    <row r="1351" spans="1:19" x14ac:dyDescent="0.3">
      <c r="A1351">
        <v>1350</v>
      </c>
      <c r="B1351" t="s">
        <v>842</v>
      </c>
      <c r="C1351">
        <v>2023</v>
      </c>
      <c r="D1351" t="s">
        <v>96</v>
      </c>
      <c r="E1351">
        <v>4</v>
      </c>
      <c r="F1351" t="s">
        <v>53</v>
      </c>
      <c r="G1351" t="s">
        <v>22</v>
      </c>
      <c r="H1351">
        <v>26.7</v>
      </c>
      <c r="I1351" t="s">
        <v>47</v>
      </c>
      <c r="J1351">
        <v>9</v>
      </c>
      <c r="K1351">
        <v>265</v>
      </c>
      <c r="L1351">
        <v>87.29</v>
      </c>
      <c r="M1351">
        <v>27.99</v>
      </c>
      <c r="N1351">
        <v>13.78</v>
      </c>
      <c r="O1351">
        <v>1.53</v>
      </c>
      <c r="P1351">
        <v>401.63</v>
      </c>
      <c r="Q1351">
        <v>826</v>
      </c>
      <c r="R1351">
        <v>1</v>
      </c>
      <c r="S1351">
        <v>235</v>
      </c>
    </row>
    <row r="1352" spans="1:19" x14ac:dyDescent="0.3">
      <c r="A1352">
        <v>1351</v>
      </c>
      <c r="B1352" t="s">
        <v>850</v>
      </c>
      <c r="C1352">
        <v>2023</v>
      </c>
      <c r="D1352" t="s">
        <v>96</v>
      </c>
      <c r="E1352">
        <v>4</v>
      </c>
      <c r="F1352" t="s">
        <v>62</v>
      </c>
      <c r="G1352" t="s">
        <v>35</v>
      </c>
      <c r="H1352">
        <v>25.35</v>
      </c>
      <c r="I1352" t="s">
        <v>47</v>
      </c>
      <c r="J1352">
        <v>15</v>
      </c>
      <c r="K1352">
        <v>506</v>
      </c>
      <c r="L1352">
        <v>75.39</v>
      </c>
      <c r="M1352">
        <v>19.649999999999999</v>
      </c>
      <c r="N1352">
        <v>21.66</v>
      </c>
      <c r="O1352">
        <v>2.64</v>
      </c>
      <c r="P1352">
        <v>493.02</v>
      </c>
      <c r="Q1352">
        <v>593</v>
      </c>
      <c r="R1352">
        <v>4</v>
      </c>
      <c r="S1352">
        <v>64</v>
      </c>
    </row>
    <row r="1353" spans="1:19" x14ac:dyDescent="0.3">
      <c r="A1353">
        <v>1352</v>
      </c>
      <c r="B1353" t="s">
        <v>839</v>
      </c>
      <c r="C1353">
        <v>2023</v>
      </c>
      <c r="D1353" t="s">
        <v>96</v>
      </c>
      <c r="E1353">
        <v>4</v>
      </c>
      <c r="F1353" t="s">
        <v>25</v>
      </c>
      <c r="G1353" t="s">
        <v>40</v>
      </c>
      <c r="H1353">
        <v>42.67</v>
      </c>
      <c r="I1353" t="s">
        <v>38</v>
      </c>
      <c r="J1353">
        <v>25</v>
      </c>
      <c r="K1353">
        <v>179</v>
      </c>
      <c r="L1353">
        <v>91.57</v>
      </c>
      <c r="M1353">
        <v>19.809999999999999</v>
      </c>
      <c r="N1353">
        <v>18.190000000000001</v>
      </c>
      <c r="O1353">
        <v>13.5</v>
      </c>
      <c r="P1353">
        <v>267.45</v>
      </c>
      <c r="Q1353">
        <v>836</v>
      </c>
      <c r="R1353">
        <v>4</v>
      </c>
      <c r="S1353">
        <v>234</v>
      </c>
    </row>
    <row r="1354" spans="1:19" x14ac:dyDescent="0.3">
      <c r="A1354">
        <v>1353</v>
      </c>
      <c r="B1354" t="s">
        <v>840</v>
      </c>
      <c r="C1354">
        <v>2023</v>
      </c>
      <c r="D1354" t="s">
        <v>96</v>
      </c>
      <c r="E1354">
        <v>4</v>
      </c>
      <c r="F1354" t="s">
        <v>62</v>
      </c>
      <c r="G1354" t="s">
        <v>35</v>
      </c>
      <c r="H1354">
        <v>24.32</v>
      </c>
      <c r="I1354" t="s">
        <v>23</v>
      </c>
      <c r="J1354">
        <v>34</v>
      </c>
      <c r="K1354">
        <v>486</v>
      </c>
      <c r="L1354">
        <v>87.29</v>
      </c>
      <c r="M1354">
        <v>31.24</v>
      </c>
      <c r="N1354">
        <v>20.22</v>
      </c>
      <c r="O1354">
        <v>8.36</v>
      </c>
      <c r="P1354">
        <v>394.01</v>
      </c>
      <c r="Q1354">
        <v>460</v>
      </c>
      <c r="R1354">
        <v>3</v>
      </c>
      <c r="S1354">
        <v>122</v>
      </c>
    </row>
    <row r="1355" spans="1:19" x14ac:dyDescent="0.3">
      <c r="A1355">
        <v>1354</v>
      </c>
      <c r="B1355" t="s">
        <v>839</v>
      </c>
      <c r="C1355">
        <v>2023</v>
      </c>
      <c r="D1355" t="s">
        <v>96</v>
      </c>
      <c r="E1355">
        <v>4</v>
      </c>
      <c r="F1355" t="s">
        <v>62</v>
      </c>
      <c r="G1355" t="s">
        <v>22</v>
      </c>
      <c r="H1355">
        <v>18.649999999999999</v>
      </c>
      <c r="I1355" t="s">
        <v>27</v>
      </c>
      <c r="J1355">
        <v>44</v>
      </c>
      <c r="K1355">
        <v>296</v>
      </c>
      <c r="L1355">
        <v>85.19</v>
      </c>
      <c r="M1355">
        <v>34.76</v>
      </c>
      <c r="N1355">
        <v>17.010000000000002</v>
      </c>
      <c r="O1355">
        <v>1.08</v>
      </c>
      <c r="P1355">
        <v>133.57</v>
      </c>
      <c r="Q1355">
        <v>423</v>
      </c>
      <c r="R1355">
        <v>3</v>
      </c>
      <c r="S1355">
        <v>63</v>
      </c>
    </row>
    <row r="1356" spans="1:19" x14ac:dyDescent="0.3">
      <c r="A1356">
        <v>1355</v>
      </c>
      <c r="B1356" t="s">
        <v>843</v>
      </c>
      <c r="C1356">
        <v>2023</v>
      </c>
      <c r="D1356" t="s">
        <v>96</v>
      </c>
      <c r="E1356">
        <v>4</v>
      </c>
      <c r="F1356" t="s">
        <v>25</v>
      </c>
      <c r="G1356" t="s">
        <v>42</v>
      </c>
      <c r="H1356">
        <v>27.18</v>
      </c>
      <c r="I1356" t="s">
        <v>27</v>
      </c>
      <c r="J1356">
        <v>21</v>
      </c>
      <c r="K1356">
        <v>552</v>
      </c>
      <c r="L1356">
        <v>88.98</v>
      </c>
      <c r="M1356">
        <v>11.88</v>
      </c>
      <c r="N1356">
        <v>9.67</v>
      </c>
      <c r="O1356">
        <v>4.95</v>
      </c>
      <c r="P1356">
        <v>572.28</v>
      </c>
      <c r="Q1356">
        <v>123</v>
      </c>
      <c r="R1356">
        <v>4</v>
      </c>
      <c r="S1356">
        <v>207</v>
      </c>
    </row>
    <row r="1357" spans="1:19" x14ac:dyDescent="0.3">
      <c r="A1357">
        <v>1356</v>
      </c>
      <c r="B1357" t="s">
        <v>850</v>
      </c>
      <c r="C1357">
        <v>2023</v>
      </c>
      <c r="D1357" t="s">
        <v>96</v>
      </c>
      <c r="E1357">
        <v>4</v>
      </c>
      <c r="F1357" t="s">
        <v>21</v>
      </c>
      <c r="G1357" t="s">
        <v>40</v>
      </c>
      <c r="H1357">
        <v>44.27</v>
      </c>
      <c r="I1357" t="s">
        <v>47</v>
      </c>
      <c r="J1357">
        <v>22</v>
      </c>
      <c r="K1357">
        <v>498</v>
      </c>
      <c r="L1357">
        <v>92.36</v>
      </c>
      <c r="M1357">
        <v>23.72</v>
      </c>
      <c r="N1357">
        <v>17.739999999999998</v>
      </c>
      <c r="O1357">
        <v>2.44</v>
      </c>
      <c r="P1357">
        <v>137.9</v>
      </c>
      <c r="Q1357">
        <v>1044</v>
      </c>
      <c r="R1357">
        <v>1</v>
      </c>
      <c r="S1357">
        <v>63</v>
      </c>
    </row>
    <row r="1358" spans="1:19" x14ac:dyDescent="0.3">
      <c r="A1358">
        <v>1357</v>
      </c>
      <c r="B1358" t="s">
        <v>835</v>
      </c>
      <c r="C1358">
        <v>2023</v>
      </c>
      <c r="D1358" t="s">
        <v>96</v>
      </c>
      <c r="E1358">
        <v>4</v>
      </c>
      <c r="F1358" t="s">
        <v>62</v>
      </c>
      <c r="G1358" t="s">
        <v>22</v>
      </c>
      <c r="H1358">
        <v>51.66</v>
      </c>
      <c r="I1358" t="s">
        <v>23</v>
      </c>
      <c r="J1358">
        <v>5</v>
      </c>
      <c r="K1358">
        <v>326</v>
      </c>
      <c r="L1358">
        <v>93.55</v>
      </c>
      <c r="M1358">
        <v>29.63</v>
      </c>
      <c r="N1358">
        <v>18.27</v>
      </c>
      <c r="O1358">
        <v>10.88</v>
      </c>
      <c r="P1358">
        <v>538.55999999999995</v>
      </c>
      <c r="Q1358">
        <v>415</v>
      </c>
      <c r="R1358">
        <v>2</v>
      </c>
      <c r="S1358">
        <v>213</v>
      </c>
    </row>
    <row r="1359" spans="1:19" x14ac:dyDescent="0.3">
      <c r="A1359">
        <v>1358</v>
      </c>
      <c r="B1359" t="s">
        <v>843</v>
      </c>
      <c r="C1359">
        <v>2023</v>
      </c>
      <c r="D1359" t="s">
        <v>96</v>
      </c>
      <c r="E1359">
        <v>4</v>
      </c>
      <c r="F1359" t="s">
        <v>25</v>
      </c>
      <c r="G1359" t="s">
        <v>22</v>
      </c>
      <c r="H1359">
        <v>17.62</v>
      </c>
      <c r="I1359" t="s">
        <v>38</v>
      </c>
      <c r="J1359">
        <v>10</v>
      </c>
      <c r="K1359">
        <v>468</v>
      </c>
      <c r="L1359">
        <v>89.28</v>
      </c>
      <c r="M1359">
        <v>23.21</v>
      </c>
      <c r="N1359">
        <v>17.239999999999998</v>
      </c>
      <c r="O1359">
        <v>15.41</v>
      </c>
      <c r="P1359">
        <v>493.6</v>
      </c>
      <c r="Q1359">
        <v>741</v>
      </c>
      <c r="R1359">
        <v>4</v>
      </c>
      <c r="S1359">
        <v>93</v>
      </c>
    </row>
    <row r="1360" spans="1:19" x14ac:dyDescent="0.3">
      <c r="A1360">
        <v>1359</v>
      </c>
      <c r="B1360" t="s">
        <v>851</v>
      </c>
      <c r="C1360">
        <v>2023</v>
      </c>
      <c r="D1360" t="s">
        <v>96</v>
      </c>
      <c r="E1360">
        <v>4</v>
      </c>
      <c r="F1360" t="s">
        <v>62</v>
      </c>
      <c r="G1360" t="s">
        <v>40</v>
      </c>
      <c r="H1360">
        <v>31.04</v>
      </c>
      <c r="I1360" t="s">
        <v>27</v>
      </c>
      <c r="J1360">
        <v>24</v>
      </c>
      <c r="K1360">
        <v>408</v>
      </c>
      <c r="L1360">
        <v>81.25</v>
      </c>
      <c r="M1360">
        <v>23.61</v>
      </c>
      <c r="N1360">
        <v>4.3600000000000003</v>
      </c>
      <c r="O1360">
        <v>13.47</v>
      </c>
      <c r="P1360">
        <v>563.79999999999995</v>
      </c>
      <c r="Q1360">
        <v>544</v>
      </c>
      <c r="R1360">
        <v>4</v>
      </c>
      <c r="S1360">
        <v>202</v>
      </c>
    </row>
    <row r="1361" spans="1:19" x14ac:dyDescent="0.3">
      <c r="A1361">
        <v>1360</v>
      </c>
      <c r="B1361" t="s">
        <v>852</v>
      </c>
      <c r="C1361">
        <v>2023</v>
      </c>
      <c r="D1361" t="s">
        <v>96</v>
      </c>
      <c r="E1361">
        <v>4</v>
      </c>
      <c r="F1361" t="s">
        <v>62</v>
      </c>
      <c r="G1361" t="s">
        <v>22</v>
      </c>
      <c r="H1361">
        <v>18.03</v>
      </c>
      <c r="I1361" t="s">
        <v>32</v>
      </c>
      <c r="J1361">
        <v>3</v>
      </c>
      <c r="K1361">
        <v>358</v>
      </c>
      <c r="L1361">
        <v>76.28</v>
      </c>
      <c r="M1361">
        <v>21.5</v>
      </c>
      <c r="N1361">
        <v>3.09</v>
      </c>
      <c r="O1361">
        <v>10.06</v>
      </c>
      <c r="P1361">
        <v>527.97</v>
      </c>
      <c r="Q1361">
        <v>123</v>
      </c>
      <c r="R1361">
        <v>4</v>
      </c>
      <c r="S1361">
        <v>232</v>
      </c>
    </row>
    <row r="1362" spans="1:19" x14ac:dyDescent="0.3">
      <c r="A1362">
        <v>1361</v>
      </c>
      <c r="B1362" t="s">
        <v>853</v>
      </c>
      <c r="C1362">
        <v>2023</v>
      </c>
      <c r="D1362" t="s">
        <v>96</v>
      </c>
      <c r="E1362">
        <v>5</v>
      </c>
      <c r="F1362" t="s">
        <v>29</v>
      </c>
      <c r="G1362" t="s">
        <v>26</v>
      </c>
      <c r="H1362">
        <v>39.200000000000003</v>
      </c>
      <c r="I1362" t="s">
        <v>23</v>
      </c>
      <c r="J1362">
        <v>37</v>
      </c>
      <c r="K1362">
        <v>596</v>
      </c>
      <c r="L1362">
        <v>86.51</v>
      </c>
      <c r="M1362">
        <v>9.67</v>
      </c>
      <c r="N1362">
        <v>15.29</v>
      </c>
      <c r="O1362">
        <v>6.99</v>
      </c>
      <c r="P1362">
        <v>559.61</v>
      </c>
      <c r="Q1362">
        <v>509</v>
      </c>
      <c r="R1362">
        <v>3</v>
      </c>
      <c r="S1362">
        <v>96</v>
      </c>
    </row>
    <row r="1363" spans="1:19" x14ac:dyDescent="0.3">
      <c r="A1363">
        <v>1362</v>
      </c>
      <c r="B1363" t="s">
        <v>854</v>
      </c>
      <c r="C1363">
        <v>2023</v>
      </c>
      <c r="D1363" t="s">
        <v>96</v>
      </c>
      <c r="E1363">
        <v>5</v>
      </c>
      <c r="F1363" t="s">
        <v>29</v>
      </c>
      <c r="G1363" t="s">
        <v>22</v>
      </c>
      <c r="H1363">
        <v>8.6199999999999992</v>
      </c>
      <c r="I1363" t="s">
        <v>47</v>
      </c>
      <c r="J1363">
        <v>42</v>
      </c>
      <c r="K1363">
        <v>121</v>
      </c>
      <c r="L1363">
        <v>92.68</v>
      </c>
      <c r="M1363">
        <v>21.5</v>
      </c>
      <c r="N1363">
        <v>14.83</v>
      </c>
      <c r="O1363">
        <v>12</v>
      </c>
      <c r="P1363">
        <v>493.88</v>
      </c>
      <c r="Q1363">
        <v>349</v>
      </c>
      <c r="R1363">
        <v>3</v>
      </c>
      <c r="S1363">
        <v>106</v>
      </c>
    </row>
    <row r="1364" spans="1:19" x14ac:dyDescent="0.3">
      <c r="A1364">
        <v>1363</v>
      </c>
      <c r="B1364" t="s">
        <v>855</v>
      </c>
      <c r="C1364">
        <v>2023</v>
      </c>
      <c r="D1364" t="s">
        <v>96</v>
      </c>
      <c r="E1364">
        <v>5</v>
      </c>
      <c r="F1364" t="s">
        <v>31</v>
      </c>
      <c r="G1364" t="s">
        <v>35</v>
      </c>
      <c r="H1364">
        <v>38.450000000000003</v>
      </c>
      <c r="I1364" t="s">
        <v>23</v>
      </c>
      <c r="J1364">
        <v>44</v>
      </c>
      <c r="K1364">
        <v>465</v>
      </c>
      <c r="L1364">
        <v>83.23</v>
      </c>
      <c r="M1364">
        <v>12.44</v>
      </c>
      <c r="N1364">
        <v>12.17</v>
      </c>
      <c r="O1364">
        <v>8.84</v>
      </c>
      <c r="P1364">
        <v>509.26</v>
      </c>
      <c r="Q1364">
        <v>358</v>
      </c>
      <c r="R1364">
        <v>3</v>
      </c>
      <c r="S1364">
        <v>137</v>
      </c>
    </row>
    <row r="1365" spans="1:19" x14ac:dyDescent="0.3">
      <c r="A1365">
        <v>1364</v>
      </c>
      <c r="B1365" t="s">
        <v>856</v>
      </c>
      <c r="C1365">
        <v>2023</v>
      </c>
      <c r="D1365" t="s">
        <v>96</v>
      </c>
      <c r="E1365">
        <v>5</v>
      </c>
      <c r="F1365" t="s">
        <v>31</v>
      </c>
      <c r="G1365" t="s">
        <v>35</v>
      </c>
      <c r="H1365">
        <v>12.01</v>
      </c>
      <c r="I1365" t="s">
        <v>38</v>
      </c>
      <c r="J1365">
        <v>44</v>
      </c>
      <c r="K1365">
        <v>339</v>
      </c>
      <c r="L1365">
        <v>77.3</v>
      </c>
      <c r="M1365">
        <v>21.19</v>
      </c>
      <c r="N1365">
        <v>11.14</v>
      </c>
      <c r="O1365">
        <v>3.35</v>
      </c>
      <c r="P1365">
        <v>455.63</v>
      </c>
      <c r="Q1365">
        <v>281</v>
      </c>
      <c r="R1365">
        <v>2</v>
      </c>
      <c r="S1365">
        <v>111</v>
      </c>
    </row>
    <row r="1366" spans="1:19" x14ac:dyDescent="0.3">
      <c r="A1366">
        <v>1365</v>
      </c>
      <c r="B1366" t="s">
        <v>857</v>
      </c>
      <c r="C1366">
        <v>2023</v>
      </c>
      <c r="D1366" t="s">
        <v>96</v>
      </c>
      <c r="E1366">
        <v>5</v>
      </c>
      <c r="F1366" t="s">
        <v>34</v>
      </c>
      <c r="G1366" t="s">
        <v>35</v>
      </c>
      <c r="H1366">
        <v>7.65</v>
      </c>
      <c r="I1366" t="s">
        <v>27</v>
      </c>
      <c r="J1366">
        <v>35</v>
      </c>
      <c r="K1366">
        <v>509</v>
      </c>
      <c r="L1366">
        <v>84.87</v>
      </c>
      <c r="M1366">
        <v>11.85</v>
      </c>
      <c r="N1366">
        <v>8.64</v>
      </c>
      <c r="O1366">
        <v>8.19</v>
      </c>
      <c r="P1366">
        <v>517.17999999999995</v>
      </c>
      <c r="Q1366">
        <v>726</v>
      </c>
      <c r="R1366">
        <v>3</v>
      </c>
      <c r="S1366">
        <v>140</v>
      </c>
    </row>
    <row r="1367" spans="1:19" x14ac:dyDescent="0.3">
      <c r="A1367">
        <v>1366</v>
      </c>
      <c r="B1367" t="s">
        <v>856</v>
      </c>
      <c r="C1367">
        <v>2023</v>
      </c>
      <c r="D1367" t="s">
        <v>96</v>
      </c>
      <c r="E1367">
        <v>5</v>
      </c>
      <c r="F1367" t="s">
        <v>37</v>
      </c>
      <c r="G1367" t="s">
        <v>40</v>
      </c>
      <c r="H1367">
        <v>11.22</v>
      </c>
      <c r="I1367" t="s">
        <v>38</v>
      </c>
      <c r="J1367">
        <v>20</v>
      </c>
      <c r="K1367">
        <v>283</v>
      </c>
      <c r="L1367">
        <v>92.88</v>
      </c>
      <c r="M1367">
        <v>26.5</v>
      </c>
      <c r="N1367">
        <v>3.81</v>
      </c>
      <c r="O1367">
        <v>6.62</v>
      </c>
      <c r="P1367">
        <v>126.92</v>
      </c>
      <c r="Q1367">
        <v>591</v>
      </c>
      <c r="R1367">
        <v>3</v>
      </c>
      <c r="S1367">
        <v>191</v>
      </c>
    </row>
    <row r="1368" spans="1:19" x14ac:dyDescent="0.3">
      <c r="A1368">
        <v>1367</v>
      </c>
      <c r="B1368" t="s">
        <v>855</v>
      </c>
      <c r="C1368">
        <v>2023</v>
      </c>
      <c r="D1368" t="s">
        <v>96</v>
      </c>
      <c r="E1368">
        <v>5</v>
      </c>
      <c r="F1368" t="s">
        <v>34</v>
      </c>
      <c r="G1368" t="s">
        <v>42</v>
      </c>
      <c r="H1368">
        <v>36.840000000000003</v>
      </c>
      <c r="I1368" t="s">
        <v>27</v>
      </c>
      <c r="J1368">
        <v>41</v>
      </c>
      <c r="K1368">
        <v>595</v>
      </c>
      <c r="L1368">
        <v>86.9</v>
      </c>
      <c r="M1368">
        <v>28.12</v>
      </c>
      <c r="N1368">
        <v>7.02</v>
      </c>
      <c r="O1368">
        <v>7.9</v>
      </c>
      <c r="P1368">
        <v>125.3</v>
      </c>
      <c r="Q1368">
        <v>840</v>
      </c>
      <c r="R1368">
        <v>5</v>
      </c>
      <c r="S1368">
        <v>121</v>
      </c>
    </row>
    <row r="1369" spans="1:19" x14ac:dyDescent="0.3">
      <c r="A1369">
        <v>1368</v>
      </c>
      <c r="B1369" t="s">
        <v>858</v>
      </c>
      <c r="C1369">
        <v>2023</v>
      </c>
      <c r="D1369" t="s">
        <v>96</v>
      </c>
      <c r="E1369">
        <v>5</v>
      </c>
      <c r="F1369" t="s">
        <v>31</v>
      </c>
      <c r="G1369" t="s">
        <v>42</v>
      </c>
      <c r="H1369">
        <v>39.04</v>
      </c>
      <c r="I1369" t="s">
        <v>32</v>
      </c>
      <c r="J1369">
        <v>35</v>
      </c>
      <c r="K1369">
        <v>259</v>
      </c>
      <c r="L1369">
        <v>75.83</v>
      </c>
      <c r="M1369">
        <v>24.96</v>
      </c>
      <c r="N1369">
        <v>6.19</v>
      </c>
      <c r="O1369">
        <v>9.7100000000000009</v>
      </c>
      <c r="P1369">
        <v>284.10000000000002</v>
      </c>
      <c r="Q1369">
        <v>382</v>
      </c>
      <c r="R1369">
        <v>3</v>
      </c>
      <c r="S1369">
        <v>222</v>
      </c>
    </row>
    <row r="1370" spans="1:19" x14ac:dyDescent="0.3">
      <c r="A1370">
        <v>1369</v>
      </c>
      <c r="B1370" t="s">
        <v>859</v>
      </c>
      <c r="C1370">
        <v>2023</v>
      </c>
      <c r="D1370" t="s">
        <v>96</v>
      </c>
      <c r="E1370">
        <v>5</v>
      </c>
      <c r="F1370" t="s">
        <v>34</v>
      </c>
      <c r="G1370" t="s">
        <v>35</v>
      </c>
      <c r="H1370">
        <v>22.18</v>
      </c>
      <c r="I1370" t="s">
        <v>32</v>
      </c>
      <c r="J1370">
        <v>26</v>
      </c>
      <c r="K1370">
        <v>222</v>
      </c>
      <c r="L1370">
        <v>93.24</v>
      </c>
      <c r="M1370">
        <v>22.92</v>
      </c>
      <c r="N1370">
        <v>12.11</v>
      </c>
      <c r="O1370">
        <v>10.63</v>
      </c>
      <c r="P1370">
        <v>565.95000000000005</v>
      </c>
      <c r="Q1370">
        <v>276</v>
      </c>
      <c r="R1370">
        <v>2</v>
      </c>
      <c r="S1370">
        <v>217</v>
      </c>
    </row>
    <row r="1371" spans="1:19" x14ac:dyDescent="0.3">
      <c r="A1371">
        <v>1370</v>
      </c>
      <c r="B1371" t="s">
        <v>860</v>
      </c>
      <c r="C1371">
        <v>2023</v>
      </c>
      <c r="D1371" t="s">
        <v>96</v>
      </c>
      <c r="E1371">
        <v>5</v>
      </c>
      <c r="F1371" t="s">
        <v>31</v>
      </c>
      <c r="G1371" t="s">
        <v>35</v>
      </c>
      <c r="H1371">
        <v>17.91</v>
      </c>
      <c r="I1371" t="s">
        <v>27</v>
      </c>
      <c r="J1371">
        <v>39</v>
      </c>
      <c r="K1371">
        <v>513</v>
      </c>
      <c r="L1371">
        <v>89.64</v>
      </c>
      <c r="M1371">
        <v>17.03</v>
      </c>
      <c r="N1371">
        <v>2.4300000000000002</v>
      </c>
      <c r="O1371">
        <v>7.06</v>
      </c>
      <c r="P1371">
        <v>312.61</v>
      </c>
      <c r="Q1371">
        <v>682</v>
      </c>
      <c r="R1371">
        <v>1</v>
      </c>
      <c r="S1371">
        <v>94</v>
      </c>
    </row>
    <row r="1372" spans="1:19" x14ac:dyDescent="0.3">
      <c r="A1372">
        <v>1371</v>
      </c>
      <c r="B1372" t="s">
        <v>861</v>
      </c>
      <c r="C1372">
        <v>2023</v>
      </c>
      <c r="D1372" t="s">
        <v>96</v>
      </c>
      <c r="E1372">
        <v>5</v>
      </c>
      <c r="F1372" t="s">
        <v>62</v>
      </c>
      <c r="G1372" t="s">
        <v>35</v>
      </c>
      <c r="H1372">
        <v>34.18</v>
      </c>
      <c r="I1372" t="s">
        <v>47</v>
      </c>
      <c r="J1372">
        <v>29</v>
      </c>
      <c r="K1372">
        <v>180</v>
      </c>
      <c r="L1372">
        <v>86.71</v>
      </c>
      <c r="M1372">
        <v>19.77</v>
      </c>
      <c r="N1372">
        <v>10.31</v>
      </c>
      <c r="O1372">
        <v>5.23</v>
      </c>
      <c r="P1372">
        <v>355.55</v>
      </c>
      <c r="Q1372">
        <v>395</v>
      </c>
      <c r="R1372">
        <v>2</v>
      </c>
      <c r="S1372">
        <v>87</v>
      </c>
    </row>
    <row r="1373" spans="1:19" x14ac:dyDescent="0.3">
      <c r="A1373">
        <v>1372</v>
      </c>
      <c r="B1373" t="s">
        <v>862</v>
      </c>
      <c r="C1373">
        <v>2023</v>
      </c>
      <c r="D1373" t="s">
        <v>96</v>
      </c>
      <c r="E1373">
        <v>5</v>
      </c>
      <c r="F1373" t="s">
        <v>62</v>
      </c>
      <c r="G1373" t="s">
        <v>35</v>
      </c>
      <c r="H1373">
        <v>31.79</v>
      </c>
      <c r="I1373" t="s">
        <v>23</v>
      </c>
      <c r="J1373">
        <v>16</v>
      </c>
      <c r="K1373">
        <v>219</v>
      </c>
      <c r="L1373">
        <v>83.47</v>
      </c>
      <c r="M1373">
        <v>26.44</v>
      </c>
      <c r="N1373">
        <v>15.95</v>
      </c>
      <c r="O1373">
        <v>13.48</v>
      </c>
      <c r="P1373">
        <v>390.49</v>
      </c>
      <c r="Q1373">
        <v>830</v>
      </c>
      <c r="R1373">
        <v>5</v>
      </c>
      <c r="S1373">
        <v>193</v>
      </c>
    </row>
    <row r="1374" spans="1:19" x14ac:dyDescent="0.3">
      <c r="A1374">
        <v>1373</v>
      </c>
      <c r="B1374" t="s">
        <v>863</v>
      </c>
      <c r="C1374">
        <v>2023</v>
      </c>
      <c r="D1374" t="s">
        <v>96</v>
      </c>
      <c r="E1374">
        <v>5</v>
      </c>
      <c r="F1374" t="s">
        <v>37</v>
      </c>
      <c r="G1374" t="s">
        <v>40</v>
      </c>
      <c r="H1374">
        <v>43.14</v>
      </c>
      <c r="I1374" t="s">
        <v>38</v>
      </c>
      <c r="J1374">
        <v>11</v>
      </c>
      <c r="K1374">
        <v>323</v>
      </c>
      <c r="L1374">
        <v>90.26</v>
      </c>
      <c r="M1374">
        <v>7.13</v>
      </c>
      <c r="N1374">
        <v>17.25</v>
      </c>
      <c r="O1374">
        <v>10.23</v>
      </c>
      <c r="P1374">
        <v>107.45</v>
      </c>
      <c r="Q1374">
        <v>221</v>
      </c>
      <c r="R1374">
        <v>2</v>
      </c>
      <c r="S1374">
        <v>98</v>
      </c>
    </row>
    <row r="1375" spans="1:19" x14ac:dyDescent="0.3">
      <c r="A1375">
        <v>1374</v>
      </c>
      <c r="B1375" t="s">
        <v>864</v>
      </c>
      <c r="C1375">
        <v>2023</v>
      </c>
      <c r="D1375" t="s">
        <v>96</v>
      </c>
      <c r="E1375">
        <v>5</v>
      </c>
      <c r="F1375" t="s">
        <v>62</v>
      </c>
      <c r="G1375" t="s">
        <v>42</v>
      </c>
      <c r="H1375">
        <v>24.58</v>
      </c>
      <c r="I1375" t="s">
        <v>27</v>
      </c>
      <c r="J1375">
        <v>4</v>
      </c>
      <c r="K1375">
        <v>402</v>
      </c>
      <c r="L1375">
        <v>86.87</v>
      </c>
      <c r="M1375">
        <v>32.479999999999997</v>
      </c>
      <c r="N1375">
        <v>9.25</v>
      </c>
      <c r="O1375">
        <v>2.93</v>
      </c>
      <c r="P1375">
        <v>120.14</v>
      </c>
      <c r="Q1375">
        <v>325</v>
      </c>
      <c r="R1375">
        <v>2</v>
      </c>
      <c r="S1375">
        <v>92</v>
      </c>
    </row>
    <row r="1376" spans="1:19" x14ac:dyDescent="0.3">
      <c r="A1376">
        <v>1375</v>
      </c>
      <c r="B1376" t="s">
        <v>863</v>
      </c>
      <c r="C1376">
        <v>2023</v>
      </c>
      <c r="D1376" t="s">
        <v>96</v>
      </c>
      <c r="E1376">
        <v>5</v>
      </c>
      <c r="F1376" t="s">
        <v>25</v>
      </c>
      <c r="G1376" t="s">
        <v>22</v>
      </c>
      <c r="H1376">
        <v>25.45</v>
      </c>
      <c r="I1376" t="s">
        <v>27</v>
      </c>
      <c r="J1376">
        <v>47</v>
      </c>
      <c r="K1376">
        <v>567</v>
      </c>
      <c r="L1376">
        <v>85.88</v>
      </c>
      <c r="M1376">
        <v>34.130000000000003</v>
      </c>
      <c r="N1376">
        <v>10.18</v>
      </c>
      <c r="O1376">
        <v>8.1999999999999993</v>
      </c>
      <c r="P1376">
        <v>339.85</v>
      </c>
      <c r="Q1376">
        <v>259</v>
      </c>
      <c r="R1376">
        <v>5</v>
      </c>
      <c r="S1376">
        <v>68</v>
      </c>
    </row>
    <row r="1377" spans="1:19" x14ac:dyDescent="0.3">
      <c r="A1377">
        <v>1376</v>
      </c>
      <c r="B1377" t="s">
        <v>865</v>
      </c>
      <c r="C1377">
        <v>2023</v>
      </c>
      <c r="D1377" t="s">
        <v>96</v>
      </c>
      <c r="E1377">
        <v>5</v>
      </c>
      <c r="F1377" t="s">
        <v>53</v>
      </c>
      <c r="G1377" t="s">
        <v>26</v>
      </c>
      <c r="H1377">
        <v>5.93</v>
      </c>
      <c r="I1377" t="s">
        <v>32</v>
      </c>
      <c r="J1377">
        <v>28</v>
      </c>
      <c r="K1377">
        <v>522</v>
      </c>
      <c r="L1377">
        <v>82.79</v>
      </c>
      <c r="M1377">
        <v>9.31</v>
      </c>
      <c r="N1377">
        <v>5.44</v>
      </c>
      <c r="O1377">
        <v>3.8</v>
      </c>
      <c r="P1377">
        <v>189.23</v>
      </c>
      <c r="Q1377">
        <v>855</v>
      </c>
      <c r="R1377">
        <v>3</v>
      </c>
      <c r="S1377">
        <v>57</v>
      </c>
    </row>
    <row r="1378" spans="1:19" x14ac:dyDescent="0.3">
      <c r="A1378">
        <v>1377</v>
      </c>
      <c r="B1378" t="s">
        <v>866</v>
      </c>
      <c r="C1378">
        <v>2023</v>
      </c>
      <c r="D1378" t="s">
        <v>96</v>
      </c>
      <c r="E1378">
        <v>5</v>
      </c>
      <c r="F1378" t="s">
        <v>53</v>
      </c>
      <c r="G1378" t="s">
        <v>35</v>
      </c>
      <c r="H1378">
        <v>17.170000000000002</v>
      </c>
      <c r="I1378" t="s">
        <v>27</v>
      </c>
      <c r="J1378">
        <v>5</v>
      </c>
      <c r="K1378">
        <v>455</v>
      </c>
      <c r="L1378">
        <v>90.48</v>
      </c>
      <c r="M1378">
        <v>31.02</v>
      </c>
      <c r="N1378">
        <v>12.31</v>
      </c>
      <c r="O1378">
        <v>9.2799999999999994</v>
      </c>
      <c r="P1378">
        <v>485.42</v>
      </c>
      <c r="Q1378">
        <v>338</v>
      </c>
      <c r="R1378">
        <v>3</v>
      </c>
      <c r="S1378">
        <v>129</v>
      </c>
    </row>
    <row r="1379" spans="1:19" x14ac:dyDescent="0.3">
      <c r="A1379">
        <v>1378</v>
      </c>
      <c r="B1379" t="s">
        <v>857</v>
      </c>
      <c r="C1379">
        <v>2023</v>
      </c>
      <c r="D1379" t="s">
        <v>96</v>
      </c>
      <c r="E1379">
        <v>5</v>
      </c>
      <c r="F1379" t="s">
        <v>34</v>
      </c>
      <c r="G1379" t="s">
        <v>22</v>
      </c>
      <c r="H1379">
        <v>7.75</v>
      </c>
      <c r="I1379" t="s">
        <v>27</v>
      </c>
      <c r="J1379">
        <v>41</v>
      </c>
      <c r="K1379">
        <v>330</v>
      </c>
      <c r="L1379">
        <v>79.489999999999995</v>
      </c>
      <c r="M1379">
        <v>21.4</v>
      </c>
      <c r="N1379">
        <v>4.3099999999999996</v>
      </c>
      <c r="O1379">
        <v>6.75</v>
      </c>
      <c r="P1379">
        <v>205.87</v>
      </c>
      <c r="Q1379">
        <v>328</v>
      </c>
      <c r="R1379">
        <v>1</v>
      </c>
      <c r="S1379">
        <v>116</v>
      </c>
    </row>
    <row r="1380" spans="1:19" x14ac:dyDescent="0.3">
      <c r="A1380">
        <v>1379</v>
      </c>
      <c r="B1380" t="s">
        <v>867</v>
      </c>
      <c r="C1380">
        <v>2023</v>
      </c>
      <c r="D1380" t="s">
        <v>96</v>
      </c>
      <c r="E1380">
        <v>5</v>
      </c>
      <c r="F1380" t="s">
        <v>25</v>
      </c>
      <c r="G1380" t="s">
        <v>40</v>
      </c>
      <c r="H1380">
        <v>21.27</v>
      </c>
      <c r="I1380" t="s">
        <v>38</v>
      </c>
      <c r="J1380">
        <v>9</v>
      </c>
      <c r="K1380">
        <v>446</v>
      </c>
      <c r="L1380">
        <v>89.09</v>
      </c>
      <c r="M1380">
        <v>20.86</v>
      </c>
      <c r="N1380">
        <v>16.440000000000001</v>
      </c>
      <c r="O1380">
        <v>3.93</v>
      </c>
      <c r="P1380">
        <v>323.02</v>
      </c>
      <c r="Q1380">
        <v>180</v>
      </c>
      <c r="R1380">
        <v>5</v>
      </c>
      <c r="S1380">
        <v>232</v>
      </c>
    </row>
    <row r="1381" spans="1:19" x14ac:dyDescent="0.3">
      <c r="A1381">
        <v>1380</v>
      </c>
      <c r="B1381" t="s">
        <v>855</v>
      </c>
      <c r="C1381">
        <v>2023</v>
      </c>
      <c r="D1381" t="s">
        <v>96</v>
      </c>
      <c r="E1381">
        <v>5</v>
      </c>
      <c r="F1381" t="s">
        <v>29</v>
      </c>
      <c r="G1381" t="s">
        <v>42</v>
      </c>
      <c r="H1381">
        <v>47.88</v>
      </c>
      <c r="I1381" t="s">
        <v>38</v>
      </c>
      <c r="J1381">
        <v>28</v>
      </c>
      <c r="K1381">
        <v>320</v>
      </c>
      <c r="L1381">
        <v>84.79</v>
      </c>
      <c r="M1381">
        <v>22.64</v>
      </c>
      <c r="N1381">
        <v>14.97</v>
      </c>
      <c r="O1381">
        <v>4</v>
      </c>
      <c r="P1381">
        <v>167.75</v>
      </c>
      <c r="Q1381">
        <v>655</v>
      </c>
      <c r="R1381">
        <v>2</v>
      </c>
      <c r="S1381">
        <v>248</v>
      </c>
    </row>
    <row r="1382" spans="1:19" x14ac:dyDescent="0.3">
      <c r="A1382">
        <v>1381</v>
      </c>
      <c r="B1382" t="s">
        <v>862</v>
      </c>
      <c r="C1382">
        <v>2023</v>
      </c>
      <c r="D1382" t="s">
        <v>96</v>
      </c>
      <c r="E1382">
        <v>5</v>
      </c>
      <c r="F1382" t="s">
        <v>25</v>
      </c>
      <c r="G1382" t="s">
        <v>42</v>
      </c>
      <c r="H1382">
        <v>30.82</v>
      </c>
      <c r="I1382" t="s">
        <v>38</v>
      </c>
      <c r="J1382">
        <v>50</v>
      </c>
      <c r="K1382">
        <v>488</v>
      </c>
      <c r="L1382">
        <v>91.97</v>
      </c>
      <c r="M1382">
        <v>24.36</v>
      </c>
      <c r="N1382">
        <v>21.27</v>
      </c>
      <c r="O1382">
        <v>14.06</v>
      </c>
      <c r="P1382">
        <v>252.97</v>
      </c>
      <c r="Q1382">
        <v>807</v>
      </c>
      <c r="R1382">
        <v>1</v>
      </c>
      <c r="S1382">
        <v>233</v>
      </c>
    </row>
    <row r="1383" spans="1:19" x14ac:dyDescent="0.3">
      <c r="A1383">
        <v>1382</v>
      </c>
      <c r="B1383" t="s">
        <v>868</v>
      </c>
      <c r="C1383">
        <v>2023</v>
      </c>
      <c r="D1383" t="s">
        <v>96</v>
      </c>
      <c r="E1383">
        <v>5</v>
      </c>
      <c r="F1383" t="s">
        <v>29</v>
      </c>
      <c r="G1383" t="s">
        <v>40</v>
      </c>
      <c r="H1383">
        <v>15.93</v>
      </c>
      <c r="I1383" t="s">
        <v>47</v>
      </c>
      <c r="J1383">
        <v>21</v>
      </c>
      <c r="K1383">
        <v>133</v>
      </c>
      <c r="L1383">
        <v>79.48</v>
      </c>
      <c r="M1383">
        <v>14.79</v>
      </c>
      <c r="N1383">
        <v>18.309999999999999</v>
      </c>
      <c r="O1383">
        <v>10.42</v>
      </c>
      <c r="P1383">
        <v>198.99</v>
      </c>
      <c r="Q1383">
        <v>443</v>
      </c>
      <c r="R1383">
        <v>1</v>
      </c>
      <c r="S1383">
        <v>161</v>
      </c>
    </row>
    <row r="1384" spans="1:19" x14ac:dyDescent="0.3">
      <c r="A1384">
        <v>1383</v>
      </c>
      <c r="B1384" t="s">
        <v>860</v>
      </c>
      <c r="C1384">
        <v>2023</v>
      </c>
      <c r="D1384" t="s">
        <v>96</v>
      </c>
      <c r="E1384">
        <v>5</v>
      </c>
      <c r="F1384" t="s">
        <v>34</v>
      </c>
      <c r="G1384" t="s">
        <v>22</v>
      </c>
      <c r="H1384">
        <v>32</v>
      </c>
      <c r="I1384" t="s">
        <v>23</v>
      </c>
      <c r="J1384">
        <v>22</v>
      </c>
      <c r="K1384">
        <v>301</v>
      </c>
      <c r="L1384">
        <v>89.73</v>
      </c>
      <c r="M1384">
        <v>8.08</v>
      </c>
      <c r="N1384">
        <v>4.3899999999999997</v>
      </c>
      <c r="O1384">
        <v>2.19</v>
      </c>
      <c r="P1384">
        <v>174.81</v>
      </c>
      <c r="Q1384">
        <v>935</v>
      </c>
      <c r="R1384">
        <v>5</v>
      </c>
      <c r="S1384">
        <v>227</v>
      </c>
    </row>
    <row r="1385" spans="1:19" x14ac:dyDescent="0.3">
      <c r="A1385">
        <v>1384</v>
      </c>
      <c r="B1385" t="s">
        <v>858</v>
      </c>
      <c r="C1385">
        <v>2023</v>
      </c>
      <c r="D1385" t="s">
        <v>96</v>
      </c>
      <c r="E1385">
        <v>5</v>
      </c>
      <c r="F1385" t="s">
        <v>62</v>
      </c>
      <c r="G1385" t="s">
        <v>40</v>
      </c>
      <c r="H1385">
        <v>21.21</v>
      </c>
      <c r="I1385" t="s">
        <v>47</v>
      </c>
      <c r="J1385">
        <v>36</v>
      </c>
      <c r="K1385">
        <v>156</v>
      </c>
      <c r="L1385">
        <v>78.930000000000007</v>
      </c>
      <c r="M1385">
        <v>34.07</v>
      </c>
      <c r="N1385">
        <v>4.5199999999999996</v>
      </c>
      <c r="O1385">
        <v>10.37</v>
      </c>
      <c r="P1385">
        <v>339.17</v>
      </c>
      <c r="Q1385">
        <v>662</v>
      </c>
      <c r="R1385">
        <v>5</v>
      </c>
      <c r="S1385">
        <v>182</v>
      </c>
    </row>
    <row r="1386" spans="1:19" x14ac:dyDescent="0.3">
      <c r="A1386">
        <v>1385</v>
      </c>
      <c r="B1386" t="s">
        <v>869</v>
      </c>
      <c r="C1386">
        <v>2023</v>
      </c>
      <c r="D1386" t="s">
        <v>96</v>
      </c>
      <c r="E1386">
        <v>5</v>
      </c>
      <c r="F1386" t="s">
        <v>53</v>
      </c>
      <c r="G1386" t="s">
        <v>35</v>
      </c>
      <c r="H1386">
        <v>29.7</v>
      </c>
      <c r="I1386" t="s">
        <v>32</v>
      </c>
      <c r="J1386">
        <v>6</v>
      </c>
      <c r="K1386">
        <v>337</v>
      </c>
      <c r="L1386">
        <v>83.58</v>
      </c>
      <c r="M1386">
        <v>32.03</v>
      </c>
      <c r="N1386">
        <v>21.03</v>
      </c>
      <c r="O1386">
        <v>14.4</v>
      </c>
      <c r="P1386">
        <v>454.53</v>
      </c>
      <c r="Q1386">
        <v>659</v>
      </c>
      <c r="R1386">
        <v>2</v>
      </c>
      <c r="S1386">
        <v>126</v>
      </c>
    </row>
    <row r="1387" spans="1:19" x14ac:dyDescent="0.3">
      <c r="A1387">
        <v>1386</v>
      </c>
      <c r="B1387" t="s">
        <v>870</v>
      </c>
      <c r="C1387">
        <v>2023</v>
      </c>
      <c r="D1387" t="s">
        <v>96</v>
      </c>
      <c r="E1387">
        <v>5</v>
      </c>
      <c r="F1387" t="s">
        <v>62</v>
      </c>
      <c r="G1387" t="s">
        <v>42</v>
      </c>
      <c r="H1387">
        <v>39.75</v>
      </c>
      <c r="I1387" t="s">
        <v>47</v>
      </c>
      <c r="J1387">
        <v>34</v>
      </c>
      <c r="K1387">
        <v>464</v>
      </c>
      <c r="L1387">
        <v>77</v>
      </c>
      <c r="M1387">
        <v>7.03</v>
      </c>
      <c r="N1387">
        <v>4.5199999999999996</v>
      </c>
      <c r="O1387">
        <v>14.77</v>
      </c>
      <c r="P1387">
        <v>582.96</v>
      </c>
      <c r="Q1387">
        <v>665</v>
      </c>
      <c r="R1387">
        <v>2</v>
      </c>
      <c r="S1387">
        <v>89</v>
      </c>
    </row>
    <row r="1388" spans="1:19" x14ac:dyDescent="0.3">
      <c r="A1388">
        <v>1387</v>
      </c>
      <c r="B1388" t="s">
        <v>869</v>
      </c>
      <c r="C1388">
        <v>2023</v>
      </c>
      <c r="D1388" t="s">
        <v>96</v>
      </c>
      <c r="E1388">
        <v>5</v>
      </c>
      <c r="F1388" t="s">
        <v>25</v>
      </c>
      <c r="G1388" t="s">
        <v>42</v>
      </c>
      <c r="H1388">
        <v>19.78</v>
      </c>
      <c r="I1388" t="s">
        <v>47</v>
      </c>
      <c r="J1388">
        <v>49</v>
      </c>
      <c r="K1388">
        <v>209</v>
      </c>
      <c r="L1388">
        <v>89.67</v>
      </c>
      <c r="M1388">
        <v>15.32</v>
      </c>
      <c r="N1388">
        <v>5.64</v>
      </c>
      <c r="O1388">
        <v>7.62</v>
      </c>
      <c r="P1388">
        <v>323.89</v>
      </c>
      <c r="Q1388">
        <v>113</v>
      </c>
      <c r="R1388">
        <v>5</v>
      </c>
      <c r="S1388">
        <v>200</v>
      </c>
    </row>
    <row r="1389" spans="1:19" x14ac:dyDescent="0.3">
      <c r="A1389">
        <v>1388</v>
      </c>
      <c r="B1389" t="s">
        <v>859</v>
      </c>
      <c r="C1389">
        <v>2023</v>
      </c>
      <c r="D1389" t="s">
        <v>96</v>
      </c>
      <c r="E1389">
        <v>5</v>
      </c>
      <c r="F1389" t="s">
        <v>25</v>
      </c>
      <c r="G1389" t="s">
        <v>35</v>
      </c>
      <c r="H1389">
        <v>17.95</v>
      </c>
      <c r="I1389" t="s">
        <v>32</v>
      </c>
      <c r="J1389">
        <v>33</v>
      </c>
      <c r="K1389">
        <v>197</v>
      </c>
      <c r="L1389">
        <v>91.01</v>
      </c>
      <c r="M1389">
        <v>7.14</v>
      </c>
      <c r="N1389">
        <v>3.19</v>
      </c>
      <c r="O1389">
        <v>10.4</v>
      </c>
      <c r="P1389">
        <v>408.27</v>
      </c>
      <c r="Q1389">
        <v>941</v>
      </c>
      <c r="R1389">
        <v>2</v>
      </c>
      <c r="S1389">
        <v>159</v>
      </c>
    </row>
    <row r="1390" spans="1:19" x14ac:dyDescent="0.3">
      <c r="A1390">
        <v>1389</v>
      </c>
      <c r="B1390" t="s">
        <v>858</v>
      </c>
      <c r="C1390">
        <v>2023</v>
      </c>
      <c r="D1390" t="s">
        <v>96</v>
      </c>
      <c r="E1390">
        <v>5</v>
      </c>
      <c r="F1390" t="s">
        <v>34</v>
      </c>
      <c r="G1390" t="s">
        <v>22</v>
      </c>
      <c r="H1390">
        <v>27.39</v>
      </c>
      <c r="I1390" t="s">
        <v>23</v>
      </c>
      <c r="J1390">
        <v>17</v>
      </c>
      <c r="K1390">
        <v>211</v>
      </c>
      <c r="L1390">
        <v>92.33</v>
      </c>
      <c r="M1390">
        <v>20.82</v>
      </c>
      <c r="N1390">
        <v>21.47</v>
      </c>
      <c r="O1390">
        <v>8.94</v>
      </c>
      <c r="P1390">
        <v>431.82</v>
      </c>
      <c r="Q1390">
        <v>404</v>
      </c>
      <c r="R1390">
        <v>5</v>
      </c>
      <c r="S1390">
        <v>155</v>
      </c>
    </row>
    <row r="1391" spans="1:19" x14ac:dyDescent="0.3">
      <c r="A1391">
        <v>1390</v>
      </c>
      <c r="B1391" t="s">
        <v>858</v>
      </c>
      <c r="C1391">
        <v>2023</v>
      </c>
      <c r="D1391" t="s">
        <v>96</v>
      </c>
      <c r="E1391">
        <v>5</v>
      </c>
      <c r="F1391" t="s">
        <v>53</v>
      </c>
      <c r="G1391" t="s">
        <v>40</v>
      </c>
      <c r="H1391">
        <v>20.68</v>
      </c>
      <c r="I1391" t="s">
        <v>47</v>
      </c>
      <c r="J1391">
        <v>34</v>
      </c>
      <c r="K1391">
        <v>522</v>
      </c>
      <c r="L1391">
        <v>89.93</v>
      </c>
      <c r="M1391">
        <v>17.46</v>
      </c>
      <c r="N1391">
        <v>13.09</v>
      </c>
      <c r="O1391">
        <v>4.22</v>
      </c>
      <c r="P1391">
        <v>475.42</v>
      </c>
      <c r="Q1391">
        <v>814</v>
      </c>
      <c r="R1391">
        <v>3</v>
      </c>
      <c r="S1391">
        <v>176</v>
      </c>
    </row>
    <row r="1392" spans="1:19" x14ac:dyDescent="0.3">
      <c r="A1392">
        <v>1391</v>
      </c>
      <c r="B1392" t="s">
        <v>862</v>
      </c>
      <c r="C1392">
        <v>2023</v>
      </c>
      <c r="D1392" t="s">
        <v>96</v>
      </c>
      <c r="E1392">
        <v>5</v>
      </c>
      <c r="F1392" t="s">
        <v>62</v>
      </c>
      <c r="G1392" t="s">
        <v>26</v>
      </c>
      <c r="H1392">
        <v>40.869999999999997</v>
      </c>
      <c r="I1392" t="s">
        <v>23</v>
      </c>
      <c r="J1392">
        <v>31</v>
      </c>
      <c r="K1392">
        <v>536</v>
      </c>
      <c r="L1392">
        <v>83.66</v>
      </c>
      <c r="M1392">
        <v>21.28</v>
      </c>
      <c r="N1392">
        <v>17.329999999999998</v>
      </c>
      <c r="O1392">
        <v>1.88</v>
      </c>
      <c r="P1392">
        <v>345.27</v>
      </c>
      <c r="Q1392">
        <v>727</v>
      </c>
      <c r="R1392">
        <v>2</v>
      </c>
      <c r="S1392">
        <v>65</v>
      </c>
    </row>
    <row r="1393" spans="1:19" x14ac:dyDescent="0.3">
      <c r="A1393">
        <v>1392</v>
      </c>
      <c r="B1393" t="s">
        <v>856</v>
      </c>
      <c r="C1393">
        <v>2023</v>
      </c>
      <c r="D1393" t="s">
        <v>96</v>
      </c>
      <c r="E1393">
        <v>5</v>
      </c>
      <c r="F1393" t="s">
        <v>21</v>
      </c>
      <c r="G1393" t="s">
        <v>35</v>
      </c>
      <c r="H1393">
        <v>5.74</v>
      </c>
      <c r="I1393" t="s">
        <v>47</v>
      </c>
      <c r="J1393">
        <v>33</v>
      </c>
      <c r="K1393">
        <v>495</v>
      </c>
      <c r="L1393">
        <v>77.33</v>
      </c>
      <c r="M1393">
        <v>16.66</v>
      </c>
      <c r="N1393">
        <v>4.5</v>
      </c>
      <c r="O1393">
        <v>7.27</v>
      </c>
      <c r="P1393">
        <v>577.38</v>
      </c>
      <c r="Q1393">
        <v>514</v>
      </c>
      <c r="R1393">
        <v>3</v>
      </c>
      <c r="S1393">
        <v>82</v>
      </c>
    </row>
    <row r="1394" spans="1:19" x14ac:dyDescent="0.3">
      <c r="A1394">
        <v>1393</v>
      </c>
      <c r="B1394" t="s">
        <v>855</v>
      </c>
      <c r="C1394">
        <v>2023</v>
      </c>
      <c r="D1394" t="s">
        <v>96</v>
      </c>
      <c r="E1394">
        <v>5</v>
      </c>
      <c r="F1394" t="s">
        <v>34</v>
      </c>
      <c r="G1394" t="s">
        <v>26</v>
      </c>
      <c r="H1394">
        <v>52.2</v>
      </c>
      <c r="I1394" t="s">
        <v>47</v>
      </c>
      <c r="J1394">
        <v>25</v>
      </c>
      <c r="K1394">
        <v>330</v>
      </c>
      <c r="L1394">
        <v>82.81</v>
      </c>
      <c r="M1394">
        <v>34.78</v>
      </c>
      <c r="N1394">
        <v>16.95</v>
      </c>
      <c r="O1394">
        <v>7.83</v>
      </c>
      <c r="P1394">
        <v>212.16</v>
      </c>
      <c r="Q1394">
        <v>384</v>
      </c>
      <c r="R1394">
        <v>5</v>
      </c>
      <c r="S1394">
        <v>56</v>
      </c>
    </row>
    <row r="1395" spans="1:19" x14ac:dyDescent="0.3">
      <c r="A1395">
        <v>1394</v>
      </c>
      <c r="B1395" t="s">
        <v>870</v>
      </c>
      <c r="C1395">
        <v>2023</v>
      </c>
      <c r="D1395" t="s">
        <v>96</v>
      </c>
      <c r="E1395">
        <v>5</v>
      </c>
      <c r="F1395" t="s">
        <v>21</v>
      </c>
      <c r="G1395" t="s">
        <v>42</v>
      </c>
      <c r="H1395">
        <v>16.22</v>
      </c>
      <c r="I1395" t="s">
        <v>38</v>
      </c>
      <c r="J1395">
        <v>25</v>
      </c>
      <c r="K1395">
        <v>381</v>
      </c>
      <c r="L1395">
        <v>80.91</v>
      </c>
      <c r="M1395">
        <v>21.25</v>
      </c>
      <c r="N1395">
        <v>9.7899999999999991</v>
      </c>
      <c r="O1395">
        <v>10.86</v>
      </c>
      <c r="P1395">
        <v>539.39</v>
      </c>
      <c r="Q1395">
        <v>576</v>
      </c>
      <c r="R1395">
        <v>5</v>
      </c>
      <c r="S1395">
        <v>109</v>
      </c>
    </row>
    <row r="1396" spans="1:19" x14ac:dyDescent="0.3">
      <c r="A1396">
        <v>1395</v>
      </c>
      <c r="B1396" t="s">
        <v>871</v>
      </c>
      <c r="C1396">
        <v>2023</v>
      </c>
      <c r="D1396" t="s">
        <v>96</v>
      </c>
      <c r="E1396">
        <v>6</v>
      </c>
      <c r="F1396" t="s">
        <v>37</v>
      </c>
      <c r="G1396" t="s">
        <v>22</v>
      </c>
      <c r="H1396">
        <v>11.71</v>
      </c>
      <c r="I1396" t="s">
        <v>27</v>
      </c>
      <c r="J1396">
        <v>45</v>
      </c>
      <c r="K1396">
        <v>579</v>
      </c>
      <c r="L1396">
        <v>80.61</v>
      </c>
      <c r="M1396">
        <v>10.56</v>
      </c>
      <c r="N1396">
        <v>21.97</v>
      </c>
      <c r="O1396">
        <v>12.15</v>
      </c>
      <c r="P1396">
        <v>230.93</v>
      </c>
      <c r="Q1396">
        <v>664</v>
      </c>
      <c r="R1396">
        <v>2</v>
      </c>
      <c r="S1396">
        <v>76</v>
      </c>
    </row>
    <row r="1397" spans="1:19" x14ac:dyDescent="0.3">
      <c r="A1397">
        <v>1396</v>
      </c>
      <c r="B1397" t="s">
        <v>872</v>
      </c>
      <c r="C1397">
        <v>2023</v>
      </c>
      <c r="D1397" t="s">
        <v>96</v>
      </c>
      <c r="E1397">
        <v>6</v>
      </c>
      <c r="F1397" t="s">
        <v>29</v>
      </c>
      <c r="G1397" t="s">
        <v>35</v>
      </c>
      <c r="H1397">
        <v>53.24</v>
      </c>
      <c r="I1397" t="s">
        <v>47</v>
      </c>
      <c r="J1397">
        <v>31</v>
      </c>
      <c r="K1397">
        <v>592</v>
      </c>
      <c r="L1397">
        <v>76.47</v>
      </c>
      <c r="M1397">
        <v>34.700000000000003</v>
      </c>
      <c r="N1397">
        <v>18.04</v>
      </c>
      <c r="O1397">
        <v>9.18</v>
      </c>
      <c r="P1397">
        <v>204.99</v>
      </c>
      <c r="Q1397">
        <v>445</v>
      </c>
      <c r="R1397">
        <v>5</v>
      </c>
      <c r="S1397">
        <v>221</v>
      </c>
    </row>
    <row r="1398" spans="1:19" x14ac:dyDescent="0.3">
      <c r="A1398">
        <v>1397</v>
      </c>
      <c r="B1398" t="s">
        <v>873</v>
      </c>
      <c r="C1398">
        <v>2023</v>
      </c>
      <c r="D1398" t="s">
        <v>96</v>
      </c>
      <c r="E1398">
        <v>6</v>
      </c>
      <c r="F1398" t="s">
        <v>21</v>
      </c>
      <c r="G1398" t="s">
        <v>40</v>
      </c>
      <c r="H1398">
        <v>44.92</v>
      </c>
      <c r="I1398" t="s">
        <v>38</v>
      </c>
      <c r="J1398">
        <v>10</v>
      </c>
      <c r="K1398">
        <v>174</v>
      </c>
      <c r="L1398">
        <v>90.71</v>
      </c>
      <c r="M1398">
        <v>5.29</v>
      </c>
      <c r="N1398">
        <v>11.39</v>
      </c>
      <c r="O1398">
        <v>12.73</v>
      </c>
      <c r="P1398">
        <v>110.86</v>
      </c>
      <c r="Q1398">
        <v>699</v>
      </c>
      <c r="R1398">
        <v>2</v>
      </c>
      <c r="S1398">
        <v>71</v>
      </c>
    </row>
    <row r="1399" spans="1:19" x14ac:dyDescent="0.3">
      <c r="A1399">
        <v>1398</v>
      </c>
      <c r="B1399" t="s">
        <v>874</v>
      </c>
      <c r="C1399">
        <v>2023</v>
      </c>
      <c r="D1399" t="s">
        <v>96</v>
      </c>
      <c r="E1399">
        <v>6</v>
      </c>
      <c r="F1399" t="s">
        <v>31</v>
      </c>
      <c r="G1399" t="s">
        <v>26</v>
      </c>
      <c r="H1399">
        <v>7.94</v>
      </c>
      <c r="I1399" t="s">
        <v>32</v>
      </c>
      <c r="J1399">
        <v>15</v>
      </c>
      <c r="K1399">
        <v>332</v>
      </c>
      <c r="L1399">
        <v>81.680000000000007</v>
      </c>
      <c r="M1399">
        <v>15.09</v>
      </c>
      <c r="N1399">
        <v>16.38</v>
      </c>
      <c r="O1399">
        <v>6.95</v>
      </c>
      <c r="P1399">
        <v>321.41000000000003</v>
      </c>
      <c r="Q1399">
        <v>898</v>
      </c>
      <c r="R1399">
        <v>5</v>
      </c>
      <c r="S1399">
        <v>227</v>
      </c>
    </row>
    <row r="1400" spans="1:19" x14ac:dyDescent="0.3">
      <c r="A1400">
        <v>1399</v>
      </c>
      <c r="B1400" t="s">
        <v>875</v>
      </c>
      <c r="C1400">
        <v>2023</v>
      </c>
      <c r="D1400" t="s">
        <v>96</v>
      </c>
      <c r="E1400">
        <v>6</v>
      </c>
      <c r="F1400" t="s">
        <v>37</v>
      </c>
      <c r="G1400" t="s">
        <v>40</v>
      </c>
      <c r="H1400">
        <v>47.71</v>
      </c>
      <c r="I1400" t="s">
        <v>32</v>
      </c>
      <c r="J1400">
        <v>12</v>
      </c>
      <c r="K1400">
        <v>577</v>
      </c>
      <c r="L1400">
        <v>86.14</v>
      </c>
      <c r="M1400">
        <v>17.39</v>
      </c>
      <c r="N1400">
        <v>13.43</v>
      </c>
      <c r="O1400">
        <v>12.4</v>
      </c>
      <c r="P1400">
        <v>170.5</v>
      </c>
      <c r="Q1400">
        <v>443</v>
      </c>
      <c r="R1400">
        <v>2</v>
      </c>
      <c r="S1400">
        <v>191</v>
      </c>
    </row>
    <row r="1401" spans="1:19" x14ac:dyDescent="0.3">
      <c r="A1401">
        <v>1400</v>
      </c>
      <c r="B1401" t="s">
        <v>876</v>
      </c>
      <c r="C1401">
        <v>2023</v>
      </c>
      <c r="D1401" t="s">
        <v>96</v>
      </c>
      <c r="E1401">
        <v>6</v>
      </c>
      <c r="F1401" t="s">
        <v>34</v>
      </c>
      <c r="G1401" t="s">
        <v>42</v>
      </c>
      <c r="H1401">
        <v>28.55</v>
      </c>
      <c r="I1401" t="s">
        <v>47</v>
      </c>
      <c r="J1401">
        <v>27</v>
      </c>
      <c r="K1401">
        <v>241</v>
      </c>
      <c r="L1401">
        <v>87.89</v>
      </c>
      <c r="M1401">
        <v>21.23</v>
      </c>
      <c r="N1401">
        <v>19.43</v>
      </c>
      <c r="O1401">
        <v>4.21</v>
      </c>
      <c r="P1401">
        <v>459.5</v>
      </c>
      <c r="Q1401">
        <v>455</v>
      </c>
      <c r="R1401">
        <v>5</v>
      </c>
      <c r="S1401">
        <v>205</v>
      </c>
    </row>
    <row r="1402" spans="1:19" x14ac:dyDescent="0.3">
      <c r="A1402">
        <v>1401</v>
      </c>
      <c r="B1402" t="s">
        <v>877</v>
      </c>
      <c r="C1402">
        <v>2023</v>
      </c>
      <c r="D1402" t="s">
        <v>96</v>
      </c>
      <c r="E1402">
        <v>6</v>
      </c>
      <c r="F1402" t="s">
        <v>37</v>
      </c>
      <c r="G1402" t="s">
        <v>35</v>
      </c>
      <c r="H1402">
        <v>35.520000000000003</v>
      </c>
      <c r="I1402" t="s">
        <v>23</v>
      </c>
      <c r="J1402">
        <v>39</v>
      </c>
      <c r="K1402">
        <v>470</v>
      </c>
      <c r="L1402">
        <v>78.98</v>
      </c>
      <c r="M1402">
        <v>17.2</v>
      </c>
      <c r="N1402">
        <v>2.35</v>
      </c>
      <c r="O1402">
        <v>6.16</v>
      </c>
      <c r="P1402">
        <v>441.67</v>
      </c>
      <c r="Q1402">
        <v>983</v>
      </c>
      <c r="R1402">
        <v>2</v>
      </c>
      <c r="S1402">
        <v>149</v>
      </c>
    </row>
    <row r="1403" spans="1:19" x14ac:dyDescent="0.3">
      <c r="A1403">
        <v>1402</v>
      </c>
      <c r="B1403" t="s">
        <v>876</v>
      </c>
      <c r="C1403">
        <v>2023</v>
      </c>
      <c r="D1403" t="s">
        <v>96</v>
      </c>
      <c r="E1403">
        <v>6</v>
      </c>
      <c r="F1403" t="s">
        <v>21</v>
      </c>
      <c r="G1403" t="s">
        <v>42</v>
      </c>
      <c r="H1403">
        <v>16.91</v>
      </c>
      <c r="I1403" t="s">
        <v>32</v>
      </c>
      <c r="J1403">
        <v>49</v>
      </c>
      <c r="K1403">
        <v>162</v>
      </c>
      <c r="L1403">
        <v>81.2</v>
      </c>
      <c r="M1403">
        <v>33.82</v>
      </c>
      <c r="N1403">
        <v>4.9000000000000004</v>
      </c>
      <c r="O1403">
        <v>7.25</v>
      </c>
      <c r="P1403">
        <v>288.41000000000003</v>
      </c>
      <c r="Q1403">
        <v>561</v>
      </c>
      <c r="R1403">
        <v>3</v>
      </c>
      <c r="S1403">
        <v>241</v>
      </c>
    </row>
    <row r="1404" spans="1:19" x14ac:dyDescent="0.3">
      <c r="A1404">
        <v>1403</v>
      </c>
      <c r="B1404" t="s">
        <v>878</v>
      </c>
      <c r="C1404">
        <v>2023</v>
      </c>
      <c r="D1404" t="s">
        <v>96</v>
      </c>
      <c r="E1404">
        <v>6</v>
      </c>
      <c r="F1404" t="s">
        <v>31</v>
      </c>
      <c r="G1404" t="s">
        <v>22</v>
      </c>
      <c r="H1404">
        <v>45.1</v>
      </c>
      <c r="I1404" t="s">
        <v>47</v>
      </c>
      <c r="J1404">
        <v>22</v>
      </c>
      <c r="K1404">
        <v>427</v>
      </c>
      <c r="L1404">
        <v>89.7</v>
      </c>
      <c r="M1404">
        <v>17.079999999999998</v>
      </c>
      <c r="N1404">
        <v>5.7</v>
      </c>
      <c r="O1404">
        <v>7.83</v>
      </c>
      <c r="P1404">
        <v>165.9</v>
      </c>
      <c r="Q1404">
        <v>700</v>
      </c>
      <c r="R1404">
        <v>2</v>
      </c>
      <c r="S1404">
        <v>242</v>
      </c>
    </row>
    <row r="1405" spans="1:19" x14ac:dyDescent="0.3">
      <c r="A1405">
        <v>1404</v>
      </c>
      <c r="B1405" t="s">
        <v>879</v>
      </c>
      <c r="C1405">
        <v>2023</v>
      </c>
      <c r="D1405" t="s">
        <v>96</v>
      </c>
      <c r="E1405">
        <v>6</v>
      </c>
      <c r="F1405" t="s">
        <v>53</v>
      </c>
      <c r="G1405" t="s">
        <v>22</v>
      </c>
      <c r="H1405">
        <v>28.5</v>
      </c>
      <c r="I1405" t="s">
        <v>23</v>
      </c>
      <c r="J1405">
        <v>50</v>
      </c>
      <c r="K1405">
        <v>382</v>
      </c>
      <c r="L1405">
        <v>81.400000000000006</v>
      </c>
      <c r="M1405">
        <v>33.86</v>
      </c>
      <c r="N1405">
        <v>21.51</v>
      </c>
      <c r="O1405">
        <v>11.32</v>
      </c>
      <c r="P1405">
        <v>233.8</v>
      </c>
      <c r="Q1405">
        <v>991</v>
      </c>
      <c r="R1405">
        <v>4</v>
      </c>
      <c r="S1405">
        <v>117</v>
      </c>
    </row>
    <row r="1406" spans="1:19" x14ac:dyDescent="0.3">
      <c r="A1406">
        <v>1405</v>
      </c>
      <c r="B1406" t="s">
        <v>880</v>
      </c>
      <c r="C1406">
        <v>2023</v>
      </c>
      <c r="D1406" t="s">
        <v>96</v>
      </c>
      <c r="E1406">
        <v>6</v>
      </c>
      <c r="F1406" t="s">
        <v>25</v>
      </c>
      <c r="G1406" t="s">
        <v>22</v>
      </c>
      <c r="H1406">
        <v>48.87</v>
      </c>
      <c r="I1406" t="s">
        <v>23</v>
      </c>
      <c r="J1406">
        <v>43</v>
      </c>
      <c r="K1406">
        <v>342</v>
      </c>
      <c r="L1406">
        <v>82.54</v>
      </c>
      <c r="M1406">
        <v>7.99</v>
      </c>
      <c r="N1406">
        <v>12.81</v>
      </c>
      <c r="O1406">
        <v>13.21</v>
      </c>
      <c r="P1406">
        <v>159.43</v>
      </c>
      <c r="Q1406">
        <v>944</v>
      </c>
      <c r="R1406">
        <v>5</v>
      </c>
      <c r="S1406">
        <v>183</v>
      </c>
    </row>
    <row r="1407" spans="1:19" x14ac:dyDescent="0.3">
      <c r="A1407">
        <v>1406</v>
      </c>
      <c r="B1407" t="s">
        <v>874</v>
      </c>
      <c r="C1407">
        <v>2023</v>
      </c>
      <c r="D1407" t="s">
        <v>96</v>
      </c>
      <c r="E1407">
        <v>6</v>
      </c>
      <c r="F1407" t="s">
        <v>21</v>
      </c>
      <c r="G1407" t="s">
        <v>42</v>
      </c>
      <c r="H1407">
        <v>24.9</v>
      </c>
      <c r="I1407" t="s">
        <v>38</v>
      </c>
      <c r="J1407">
        <v>49</v>
      </c>
      <c r="K1407">
        <v>299</v>
      </c>
      <c r="L1407">
        <v>78.25</v>
      </c>
      <c r="M1407">
        <v>27.23</v>
      </c>
      <c r="N1407">
        <v>12.8</v>
      </c>
      <c r="O1407">
        <v>5.7</v>
      </c>
      <c r="P1407">
        <v>465.97</v>
      </c>
      <c r="Q1407">
        <v>957</v>
      </c>
      <c r="R1407">
        <v>3</v>
      </c>
      <c r="S1407">
        <v>218</v>
      </c>
    </row>
    <row r="1408" spans="1:19" x14ac:dyDescent="0.3">
      <c r="A1408">
        <v>1407</v>
      </c>
      <c r="B1408" t="s">
        <v>881</v>
      </c>
      <c r="C1408">
        <v>2023</v>
      </c>
      <c r="D1408" t="s">
        <v>96</v>
      </c>
      <c r="E1408">
        <v>6</v>
      </c>
      <c r="F1408" t="s">
        <v>29</v>
      </c>
      <c r="G1408" t="s">
        <v>22</v>
      </c>
      <c r="H1408">
        <v>16.91</v>
      </c>
      <c r="I1408" t="s">
        <v>32</v>
      </c>
      <c r="J1408">
        <v>35</v>
      </c>
      <c r="K1408">
        <v>130</v>
      </c>
      <c r="L1408">
        <v>79.92</v>
      </c>
      <c r="M1408">
        <v>13.8</v>
      </c>
      <c r="N1408">
        <v>12.76</v>
      </c>
      <c r="O1408">
        <v>4.59</v>
      </c>
      <c r="P1408">
        <v>536.6</v>
      </c>
      <c r="Q1408">
        <v>1092</v>
      </c>
      <c r="R1408">
        <v>4</v>
      </c>
      <c r="S1408">
        <v>101</v>
      </c>
    </row>
    <row r="1409" spans="1:19" x14ac:dyDescent="0.3">
      <c r="A1409">
        <v>1408</v>
      </c>
      <c r="B1409" t="s">
        <v>872</v>
      </c>
      <c r="C1409">
        <v>2023</v>
      </c>
      <c r="D1409" t="s">
        <v>96</v>
      </c>
      <c r="E1409">
        <v>6</v>
      </c>
      <c r="F1409" t="s">
        <v>29</v>
      </c>
      <c r="G1409" t="s">
        <v>40</v>
      </c>
      <c r="H1409">
        <v>15.57</v>
      </c>
      <c r="I1409" t="s">
        <v>23</v>
      </c>
      <c r="J1409">
        <v>26</v>
      </c>
      <c r="K1409">
        <v>130</v>
      </c>
      <c r="L1409">
        <v>88.01</v>
      </c>
      <c r="M1409">
        <v>7.11</v>
      </c>
      <c r="N1409">
        <v>10.63</v>
      </c>
      <c r="O1409">
        <v>6.8</v>
      </c>
      <c r="P1409">
        <v>501.69</v>
      </c>
      <c r="Q1409">
        <v>876</v>
      </c>
      <c r="R1409">
        <v>2</v>
      </c>
      <c r="S1409">
        <v>57</v>
      </c>
    </row>
    <row r="1410" spans="1:19" x14ac:dyDescent="0.3">
      <c r="A1410">
        <v>1409</v>
      </c>
      <c r="B1410" t="s">
        <v>882</v>
      </c>
      <c r="C1410">
        <v>2023</v>
      </c>
      <c r="D1410" t="s">
        <v>96</v>
      </c>
      <c r="E1410">
        <v>6</v>
      </c>
      <c r="F1410" t="s">
        <v>21</v>
      </c>
      <c r="G1410" t="s">
        <v>26</v>
      </c>
      <c r="H1410">
        <v>35.47</v>
      </c>
      <c r="I1410" t="s">
        <v>32</v>
      </c>
      <c r="J1410">
        <v>19</v>
      </c>
      <c r="K1410">
        <v>278</v>
      </c>
      <c r="L1410">
        <v>77.040000000000006</v>
      </c>
      <c r="M1410">
        <v>19.760000000000002</v>
      </c>
      <c r="N1410">
        <v>10.78</v>
      </c>
      <c r="O1410">
        <v>4.38</v>
      </c>
      <c r="P1410">
        <v>229.75</v>
      </c>
      <c r="Q1410">
        <v>314</v>
      </c>
      <c r="R1410">
        <v>5</v>
      </c>
      <c r="S1410">
        <v>218</v>
      </c>
    </row>
    <row r="1411" spans="1:19" x14ac:dyDescent="0.3">
      <c r="A1411">
        <v>1410</v>
      </c>
      <c r="B1411" t="s">
        <v>883</v>
      </c>
      <c r="C1411">
        <v>2023</v>
      </c>
      <c r="D1411" t="s">
        <v>96</v>
      </c>
      <c r="E1411">
        <v>6</v>
      </c>
      <c r="F1411" t="s">
        <v>37</v>
      </c>
      <c r="G1411" t="s">
        <v>42</v>
      </c>
      <c r="H1411">
        <v>8.9700000000000006</v>
      </c>
      <c r="I1411" t="s">
        <v>27</v>
      </c>
      <c r="J1411">
        <v>40</v>
      </c>
      <c r="K1411">
        <v>421</v>
      </c>
      <c r="L1411">
        <v>94.62</v>
      </c>
      <c r="M1411">
        <v>17.25</v>
      </c>
      <c r="N1411">
        <v>17.5</v>
      </c>
      <c r="O1411">
        <v>4.5599999999999996</v>
      </c>
      <c r="P1411">
        <v>513.92999999999995</v>
      </c>
      <c r="Q1411">
        <v>151</v>
      </c>
      <c r="R1411">
        <v>2</v>
      </c>
      <c r="S1411">
        <v>133</v>
      </c>
    </row>
    <row r="1412" spans="1:19" x14ac:dyDescent="0.3">
      <c r="A1412">
        <v>1411</v>
      </c>
      <c r="B1412" t="s">
        <v>884</v>
      </c>
      <c r="C1412">
        <v>2023</v>
      </c>
      <c r="D1412" t="s">
        <v>96</v>
      </c>
      <c r="E1412">
        <v>6</v>
      </c>
      <c r="F1412" t="s">
        <v>31</v>
      </c>
      <c r="G1412" t="s">
        <v>35</v>
      </c>
      <c r="H1412">
        <v>14.35</v>
      </c>
      <c r="I1412" t="s">
        <v>27</v>
      </c>
      <c r="J1412">
        <v>26</v>
      </c>
      <c r="K1412">
        <v>597</v>
      </c>
      <c r="L1412">
        <v>83.25</v>
      </c>
      <c r="M1412">
        <v>14.75</v>
      </c>
      <c r="N1412">
        <v>20.440000000000001</v>
      </c>
      <c r="O1412">
        <v>10.38</v>
      </c>
      <c r="P1412">
        <v>588.55999999999995</v>
      </c>
      <c r="Q1412">
        <v>444</v>
      </c>
      <c r="R1412">
        <v>2</v>
      </c>
      <c r="S1412">
        <v>70</v>
      </c>
    </row>
    <row r="1413" spans="1:19" x14ac:dyDescent="0.3">
      <c r="A1413">
        <v>1412</v>
      </c>
      <c r="B1413" t="s">
        <v>879</v>
      </c>
      <c r="C1413">
        <v>2023</v>
      </c>
      <c r="D1413" t="s">
        <v>96</v>
      </c>
      <c r="E1413">
        <v>6</v>
      </c>
      <c r="F1413" t="s">
        <v>25</v>
      </c>
      <c r="G1413" t="s">
        <v>26</v>
      </c>
      <c r="H1413">
        <v>15.87</v>
      </c>
      <c r="I1413" t="s">
        <v>47</v>
      </c>
      <c r="J1413">
        <v>44</v>
      </c>
      <c r="K1413">
        <v>386</v>
      </c>
      <c r="L1413">
        <v>88.59</v>
      </c>
      <c r="M1413">
        <v>27.79</v>
      </c>
      <c r="N1413">
        <v>5.97</v>
      </c>
      <c r="O1413">
        <v>6.98</v>
      </c>
      <c r="P1413">
        <v>162.53</v>
      </c>
      <c r="Q1413">
        <v>246</v>
      </c>
      <c r="R1413">
        <v>4</v>
      </c>
      <c r="S1413">
        <v>187</v>
      </c>
    </row>
    <row r="1414" spans="1:19" x14ac:dyDescent="0.3">
      <c r="A1414">
        <v>1413</v>
      </c>
      <c r="B1414" t="s">
        <v>885</v>
      </c>
      <c r="C1414">
        <v>2023</v>
      </c>
      <c r="D1414" t="s">
        <v>96</v>
      </c>
      <c r="E1414">
        <v>6</v>
      </c>
      <c r="F1414" t="s">
        <v>25</v>
      </c>
      <c r="G1414" t="s">
        <v>26</v>
      </c>
      <c r="H1414">
        <v>29.34</v>
      </c>
      <c r="I1414" t="s">
        <v>27</v>
      </c>
      <c r="J1414">
        <v>20</v>
      </c>
      <c r="K1414">
        <v>146</v>
      </c>
      <c r="L1414">
        <v>92.1</v>
      </c>
      <c r="M1414">
        <v>9.08</v>
      </c>
      <c r="N1414">
        <v>21.21</v>
      </c>
      <c r="O1414">
        <v>6.68</v>
      </c>
      <c r="P1414">
        <v>274.99</v>
      </c>
      <c r="Q1414">
        <v>455</v>
      </c>
      <c r="R1414">
        <v>5</v>
      </c>
      <c r="S1414">
        <v>244</v>
      </c>
    </row>
    <row r="1415" spans="1:19" x14ac:dyDescent="0.3">
      <c r="A1415">
        <v>1414</v>
      </c>
      <c r="B1415" t="s">
        <v>886</v>
      </c>
      <c r="C1415">
        <v>2023</v>
      </c>
      <c r="D1415" t="s">
        <v>96</v>
      </c>
      <c r="E1415">
        <v>6</v>
      </c>
      <c r="F1415" t="s">
        <v>31</v>
      </c>
      <c r="G1415" t="s">
        <v>22</v>
      </c>
      <c r="H1415">
        <v>40.479999999999997</v>
      </c>
      <c r="I1415" t="s">
        <v>32</v>
      </c>
      <c r="J1415">
        <v>47</v>
      </c>
      <c r="K1415">
        <v>439</v>
      </c>
      <c r="L1415">
        <v>88.51</v>
      </c>
      <c r="M1415">
        <v>30.92</v>
      </c>
      <c r="N1415">
        <v>9.08</v>
      </c>
      <c r="O1415">
        <v>8.1999999999999993</v>
      </c>
      <c r="P1415">
        <v>162.55000000000001</v>
      </c>
      <c r="Q1415">
        <v>198</v>
      </c>
      <c r="R1415">
        <v>3</v>
      </c>
      <c r="S1415">
        <v>235</v>
      </c>
    </row>
    <row r="1416" spans="1:19" x14ac:dyDescent="0.3">
      <c r="A1416">
        <v>1415</v>
      </c>
      <c r="B1416" t="s">
        <v>874</v>
      </c>
      <c r="C1416">
        <v>2023</v>
      </c>
      <c r="D1416" t="s">
        <v>96</v>
      </c>
      <c r="E1416">
        <v>6</v>
      </c>
      <c r="F1416" t="s">
        <v>21</v>
      </c>
      <c r="G1416" t="s">
        <v>35</v>
      </c>
      <c r="H1416">
        <v>5.92</v>
      </c>
      <c r="I1416" t="s">
        <v>32</v>
      </c>
      <c r="J1416">
        <v>8</v>
      </c>
      <c r="K1416">
        <v>204</v>
      </c>
      <c r="L1416">
        <v>82.44</v>
      </c>
      <c r="M1416">
        <v>5.42</v>
      </c>
      <c r="N1416">
        <v>14.91</v>
      </c>
      <c r="O1416">
        <v>13.59</v>
      </c>
      <c r="P1416">
        <v>595.53</v>
      </c>
      <c r="Q1416">
        <v>200</v>
      </c>
      <c r="R1416">
        <v>1</v>
      </c>
      <c r="S1416">
        <v>223</v>
      </c>
    </row>
    <row r="1417" spans="1:19" x14ac:dyDescent="0.3">
      <c r="A1417">
        <v>1416</v>
      </c>
      <c r="B1417" t="s">
        <v>887</v>
      </c>
      <c r="C1417">
        <v>2023</v>
      </c>
      <c r="D1417" t="s">
        <v>96</v>
      </c>
      <c r="E1417">
        <v>6</v>
      </c>
      <c r="F1417" t="s">
        <v>29</v>
      </c>
      <c r="G1417" t="s">
        <v>42</v>
      </c>
      <c r="H1417">
        <v>13.56</v>
      </c>
      <c r="I1417" t="s">
        <v>23</v>
      </c>
      <c r="J1417">
        <v>1</v>
      </c>
      <c r="K1417">
        <v>314</v>
      </c>
      <c r="L1417">
        <v>86.65</v>
      </c>
      <c r="M1417">
        <v>23.69</v>
      </c>
      <c r="N1417">
        <v>17.77</v>
      </c>
      <c r="O1417">
        <v>11.07</v>
      </c>
      <c r="P1417">
        <v>512.32000000000005</v>
      </c>
      <c r="Q1417">
        <v>628</v>
      </c>
      <c r="R1417">
        <v>4</v>
      </c>
      <c r="S1417">
        <v>213</v>
      </c>
    </row>
    <row r="1418" spans="1:19" x14ac:dyDescent="0.3">
      <c r="A1418">
        <v>1417</v>
      </c>
      <c r="B1418" t="s">
        <v>880</v>
      </c>
      <c r="C1418">
        <v>2023</v>
      </c>
      <c r="D1418" t="s">
        <v>96</v>
      </c>
      <c r="E1418">
        <v>6</v>
      </c>
      <c r="F1418" t="s">
        <v>29</v>
      </c>
      <c r="G1418" t="s">
        <v>40</v>
      </c>
      <c r="H1418">
        <v>41.96</v>
      </c>
      <c r="I1418" t="s">
        <v>32</v>
      </c>
      <c r="J1418">
        <v>30</v>
      </c>
      <c r="K1418">
        <v>525</v>
      </c>
      <c r="L1418">
        <v>78.3</v>
      </c>
      <c r="M1418">
        <v>8.4700000000000006</v>
      </c>
      <c r="N1418">
        <v>15.96</v>
      </c>
      <c r="O1418">
        <v>15.9</v>
      </c>
      <c r="P1418">
        <v>345.65</v>
      </c>
      <c r="Q1418">
        <v>161</v>
      </c>
      <c r="R1418">
        <v>1</v>
      </c>
      <c r="S1418">
        <v>135</v>
      </c>
    </row>
    <row r="1419" spans="1:19" x14ac:dyDescent="0.3">
      <c r="A1419">
        <v>1418</v>
      </c>
      <c r="B1419" t="s">
        <v>888</v>
      </c>
      <c r="C1419">
        <v>2023</v>
      </c>
      <c r="D1419" t="s">
        <v>96</v>
      </c>
      <c r="E1419">
        <v>6</v>
      </c>
      <c r="F1419" t="s">
        <v>29</v>
      </c>
      <c r="G1419" t="s">
        <v>42</v>
      </c>
      <c r="H1419">
        <v>31.53</v>
      </c>
      <c r="I1419" t="s">
        <v>38</v>
      </c>
      <c r="J1419">
        <v>11</v>
      </c>
      <c r="K1419">
        <v>175</v>
      </c>
      <c r="L1419">
        <v>80.489999999999995</v>
      </c>
      <c r="M1419">
        <v>32.119999999999997</v>
      </c>
      <c r="N1419">
        <v>5.5</v>
      </c>
      <c r="O1419">
        <v>7.41</v>
      </c>
      <c r="P1419">
        <v>480.23</v>
      </c>
      <c r="Q1419">
        <v>642</v>
      </c>
      <c r="R1419">
        <v>5</v>
      </c>
      <c r="S1419">
        <v>61</v>
      </c>
    </row>
    <row r="1420" spans="1:19" x14ac:dyDescent="0.3">
      <c r="A1420">
        <v>1419</v>
      </c>
      <c r="B1420" t="s">
        <v>887</v>
      </c>
      <c r="C1420">
        <v>2023</v>
      </c>
      <c r="D1420" t="s">
        <v>96</v>
      </c>
      <c r="E1420">
        <v>6</v>
      </c>
      <c r="F1420" t="s">
        <v>37</v>
      </c>
      <c r="G1420" t="s">
        <v>22</v>
      </c>
      <c r="H1420">
        <v>15.64</v>
      </c>
      <c r="I1420" t="s">
        <v>38</v>
      </c>
      <c r="J1420">
        <v>28</v>
      </c>
      <c r="K1420">
        <v>557</v>
      </c>
      <c r="L1420">
        <v>89.72</v>
      </c>
      <c r="M1420">
        <v>28.39</v>
      </c>
      <c r="N1420">
        <v>12.37</v>
      </c>
      <c r="O1420">
        <v>4.05</v>
      </c>
      <c r="P1420">
        <v>310.24</v>
      </c>
      <c r="Q1420">
        <v>368</v>
      </c>
      <c r="R1420">
        <v>3</v>
      </c>
      <c r="S1420">
        <v>52</v>
      </c>
    </row>
    <row r="1421" spans="1:19" x14ac:dyDescent="0.3">
      <c r="A1421">
        <v>1420</v>
      </c>
      <c r="B1421" t="s">
        <v>880</v>
      </c>
      <c r="C1421">
        <v>2023</v>
      </c>
      <c r="D1421" t="s">
        <v>96</v>
      </c>
      <c r="E1421">
        <v>6</v>
      </c>
      <c r="F1421" t="s">
        <v>37</v>
      </c>
      <c r="G1421" t="s">
        <v>40</v>
      </c>
      <c r="H1421">
        <v>33.61</v>
      </c>
      <c r="I1421" t="s">
        <v>32</v>
      </c>
      <c r="J1421">
        <v>38</v>
      </c>
      <c r="K1421">
        <v>147</v>
      </c>
      <c r="L1421">
        <v>84.23</v>
      </c>
      <c r="M1421">
        <v>24.9</v>
      </c>
      <c r="N1421">
        <v>6.76</v>
      </c>
      <c r="O1421">
        <v>9.9</v>
      </c>
      <c r="P1421">
        <v>276.43</v>
      </c>
      <c r="Q1421">
        <v>1068</v>
      </c>
      <c r="R1421">
        <v>5</v>
      </c>
      <c r="S1421">
        <v>238</v>
      </c>
    </row>
    <row r="1422" spans="1:19" x14ac:dyDescent="0.3">
      <c r="A1422">
        <v>1421</v>
      </c>
      <c r="B1422" t="s">
        <v>887</v>
      </c>
      <c r="C1422">
        <v>2023</v>
      </c>
      <c r="D1422" t="s">
        <v>96</v>
      </c>
      <c r="E1422">
        <v>6</v>
      </c>
      <c r="F1422" t="s">
        <v>53</v>
      </c>
      <c r="G1422" t="s">
        <v>40</v>
      </c>
      <c r="H1422">
        <v>21.76</v>
      </c>
      <c r="I1422" t="s">
        <v>23</v>
      </c>
      <c r="J1422">
        <v>19</v>
      </c>
      <c r="K1422">
        <v>363</v>
      </c>
      <c r="L1422">
        <v>85.81</v>
      </c>
      <c r="M1422">
        <v>27.37</v>
      </c>
      <c r="N1422">
        <v>5.31</v>
      </c>
      <c r="O1422">
        <v>3.06</v>
      </c>
      <c r="P1422">
        <v>355.31</v>
      </c>
      <c r="Q1422">
        <v>150</v>
      </c>
      <c r="R1422">
        <v>4</v>
      </c>
      <c r="S1422">
        <v>203</v>
      </c>
    </row>
    <row r="1423" spans="1:19" x14ac:dyDescent="0.3">
      <c r="A1423">
        <v>1422</v>
      </c>
      <c r="B1423" t="s">
        <v>872</v>
      </c>
      <c r="C1423">
        <v>2023</v>
      </c>
      <c r="D1423" t="s">
        <v>96</v>
      </c>
      <c r="E1423">
        <v>6</v>
      </c>
      <c r="F1423" t="s">
        <v>62</v>
      </c>
      <c r="G1423" t="s">
        <v>26</v>
      </c>
      <c r="H1423">
        <v>32.28</v>
      </c>
      <c r="I1423" t="s">
        <v>23</v>
      </c>
      <c r="J1423">
        <v>2</v>
      </c>
      <c r="K1423">
        <v>174</v>
      </c>
      <c r="L1423">
        <v>84.27</v>
      </c>
      <c r="M1423">
        <v>9.15</v>
      </c>
      <c r="N1423">
        <v>20.36</v>
      </c>
      <c r="O1423">
        <v>11.2</v>
      </c>
      <c r="P1423">
        <v>516.05999999999995</v>
      </c>
      <c r="Q1423">
        <v>451</v>
      </c>
      <c r="R1423">
        <v>2</v>
      </c>
      <c r="S1423">
        <v>227</v>
      </c>
    </row>
    <row r="1424" spans="1:19" x14ac:dyDescent="0.3">
      <c r="A1424">
        <v>1423</v>
      </c>
      <c r="B1424" t="s">
        <v>874</v>
      </c>
      <c r="C1424">
        <v>2023</v>
      </c>
      <c r="D1424" t="s">
        <v>96</v>
      </c>
      <c r="E1424">
        <v>6</v>
      </c>
      <c r="F1424" t="s">
        <v>21</v>
      </c>
      <c r="G1424" t="s">
        <v>26</v>
      </c>
      <c r="H1424">
        <v>52.49</v>
      </c>
      <c r="I1424" t="s">
        <v>47</v>
      </c>
      <c r="J1424">
        <v>28</v>
      </c>
      <c r="K1424">
        <v>209</v>
      </c>
      <c r="L1424">
        <v>81.3</v>
      </c>
      <c r="M1424">
        <v>10.61</v>
      </c>
      <c r="N1424">
        <v>19.100000000000001</v>
      </c>
      <c r="O1424">
        <v>7.57</v>
      </c>
      <c r="P1424">
        <v>530.76</v>
      </c>
      <c r="Q1424">
        <v>371</v>
      </c>
      <c r="R1424">
        <v>1</v>
      </c>
      <c r="S1424">
        <v>103</v>
      </c>
    </row>
    <row r="1425" spans="1:19" x14ac:dyDescent="0.3">
      <c r="A1425">
        <v>1424</v>
      </c>
      <c r="B1425" t="s">
        <v>878</v>
      </c>
      <c r="C1425">
        <v>2023</v>
      </c>
      <c r="D1425" t="s">
        <v>96</v>
      </c>
      <c r="E1425">
        <v>6</v>
      </c>
      <c r="F1425" t="s">
        <v>37</v>
      </c>
      <c r="G1425" t="s">
        <v>26</v>
      </c>
      <c r="H1425">
        <v>49.26</v>
      </c>
      <c r="I1425" t="s">
        <v>47</v>
      </c>
      <c r="J1425">
        <v>48</v>
      </c>
      <c r="K1425">
        <v>414</v>
      </c>
      <c r="L1425">
        <v>92.25</v>
      </c>
      <c r="M1425">
        <v>16.39</v>
      </c>
      <c r="N1425">
        <v>13.77</v>
      </c>
      <c r="O1425">
        <v>8.49</v>
      </c>
      <c r="P1425">
        <v>392.17</v>
      </c>
      <c r="Q1425">
        <v>714</v>
      </c>
      <c r="R1425">
        <v>1</v>
      </c>
      <c r="S1425">
        <v>155</v>
      </c>
    </row>
    <row r="1426" spans="1:19" x14ac:dyDescent="0.3">
      <c r="A1426">
        <v>1425</v>
      </c>
      <c r="B1426" t="s">
        <v>889</v>
      </c>
      <c r="C1426">
        <v>2023</v>
      </c>
      <c r="D1426" t="s">
        <v>96</v>
      </c>
      <c r="E1426">
        <v>6</v>
      </c>
      <c r="F1426" t="s">
        <v>53</v>
      </c>
      <c r="G1426" t="s">
        <v>35</v>
      </c>
      <c r="H1426">
        <v>18.559999999999999</v>
      </c>
      <c r="I1426" t="s">
        <v>27</v>
      </c>
      <c r="J1426">
        <v>13</v>
      </c>
      <c r="K1426">
        <v>443</v>
      </c>
      <c r="L1426">
        <v>93.69</v>
      </c>
      <c r="M1426">
        <v>25.97</v>
      </c>
      <c r="N1426">
        <v>18.75</v>
      </c>
      <c r="O1426">
        <v>7.11</v>
      </c>
      <c r="P1426">
        <v>384.85</v>
      </c>
      <c r="Q1426">
        <v>1048</v>
      </c>
      <c r="R1426">
        <v>3</v>
      </c>
      <c r="S1426">
        <v>167</v>
      </c>
    </row>
    <row r="1427" spans="1:19" x14ac:dyDescent="0.3">
      <c r="A1427">
        <v>1426</v>
      </c>
      <c r="B1427" t="s">
        <v>889</v>
      </c>
      <c r="C1427">
        <v>2023</v>
      </c>
      <c r="D1427" t="s">
        <v>96</v>
      </c>
      <c r="E1427">
        <v>6</v>
      </c>
      <c r="F1427" t="s">
        <v>37</v>
      </c>
      <c r="G1427" t="s">
        <v>40</v>
      </c>
      <c r="H1427">
        <v>43.41</v>
      </c>
      <c r="I1427" t="s">
        <v>27</v>
      </c>
      <c r="J1427">
        <v>7</v>
      </c>
      <c r="K1427">
        <v>451</v>
      </c>
      <c r="L1427">
        <v>78.61</v>
      </c>
      <c r="M1427">
        <v>17.64</v>
      </c>
      <c r="N1427">
        <v>9.82</v>
      </c>
      <c r="O1427">
        <v>6.67</v>
      </c>
      <c r="P1427">
        <v>515.27</v>
      </c>
      <c r="Q1427">
        <v>169</v>
      </c>
      <c r="R1427">
        <v>1</v>
      </c>
      <c r="S1427">
        <v>145</v>
      </c>
    </row>
    <row r="1428" spans="1:19" x14ac:dyDescent="0.3">
      <c r="A1428">
        <v>1427</v>
      </c>
      <c r="B1428" t="s">
        <v>879</v>
      </c>
      <c r="C1428">
        <v>2023</v>
      </c>
      <c r="D1428" t="s">
        <v>96</v>
      </c>
      <c r="E1428">
        <v>6</v>
      </c>
      <c r="F1428" t="s">
        <v>34</v>
      </c>
      <c r="G1428" t="s">
        <v>40</v>
      </c>
      <c r="H1428">
        <v>5.23</v>
      </c>
      <c r="I1428" t="s">
        <v>27</v>
      </c>
      <c r="J1428">
        <v>31</v>
      </c>
      <c r="K1428">
        <v>462</v>
      </c>
      <c r="L1428">
        <v>76.099999999999994</v>
      </c>
      <c r="M1428">
        <v>19.559999999999999</v>
      </c>
      <c r="N1428">
        <v>9.5299999999999994</v>
      </c>
      <c r="O1428">
        <v>12.91</v>
      </c>
      <c r="P1428">
        <v>251.98</v>
      </c>
      <c r="Q1428">
        <v>775</v>
      </c>
      <c r="R1428">
        <v>4</v>
      </c>
      <c r="S1428">
        <v>135</v>
      </c>
    </row>
    <row r="1429" spans="1:19" x14ac:dyDescent="0.3">
      <c r="A1429">
        <v>1428</v>
      </c>
      <c r="B1429" t="s">
        <v>886</v>
      </c>
      <c r="C1429">
        <v>2023</v>
      </c>
      <c r="D1429" t="s">
        <v>96</v>
      </c>
      <c r="E1429">
        <v>6</v>
      </c>
      <c r="F1429" t="s">
        <v>29</v>
      </c>
      <c r="G1429" t="s">
        <v>40</v>
      </c>
      <c r="H1429">
        <v>20.68</v>
      </c>
      <c r="I1429" t="s">
        <v>38</v>
      </c>
      <c r="J1429">
        <v>38</v>
      </c>
      <c r="K1429">
        <v>442</v>
      </c>
      <c r="L1429">
        <v>94.94</v>
      </c>
      <c r="M1429">
        <v>28.71</v>
      </c>
      <c r="N1429">
        <v>13.87</v>
      </c>
      <c r="O1429">
        <v>6.46</v>
      </c>
      <c r="P1429">
        <v>120.94</v>
      </c>
      <c r="Q1429">
        <v>238</v>
      </c>
      <c r="R1429">
        <v>2</v>
      </c>
      <c r="S1429">
        <v>99</v>
      </c>
    </row>
    <row r="1430" spans="1:19" x14ac:dyDescent="0.3">
      <c r="A1430">
        <v>1429</v>
      </c>
      <c r="B1430" t="s">
        <v>890</v>
      </c>
      <c r="C1430">
        <v>2023</v>
      </c>
      <c r="D1430" t="s">
        <v>161</v>
      </c>
      <c r="E1430">
        <v>7</v>
      </c>
      <c r="F1430" t="s">
        <v>53</v>
      </c>
      <c r="G1430" t="s">
        <v>40</v>
      </c>
      <c r="H1430">
        <v>14.55</v>
      </c>
      <c r="I1430" t="s">
        <v>38</v>
      </c>
      <c r="J1430">
        <v>27</v>
      </c>
      <c r="K1430">
        <v>401</v>
      </c>
      <c r="L1430">
        <v>85.67</v>
      </c>
      <c r="M1430">
        <v>32.74</v>
      </c>
      <c r="N1430">
        <v>15.99</v>
      </c>
      <c r="O1430">
        <v>5.0999999999999996</v>
      </c>
      <c r="P1430">
        <v>424.9</v>
      </c>
      <c r="Q1430">
        <v>556</v>
      </c>
      <c r="R1430">
        <v>4</v>
      </c>
      <c r="S1430">
        <v>132</v>
      </c>
    </row>
    <row r="1431" spans="1:19" x14ac:dyDescent="0.3">
      <c r="A1431">
        <v>1430</v>
      </c>
      <c r="B1431" t="s">
        <v>891</v>
      </c>
      <c r="C1431">
        <v>2023</v>
      </c>
      <c r="D1431" t="s">
        <v>161</v>
      </c>
      <c r="E1431">
        <v>7</v>
      </c>
      <c r="F1431" t="s">
        <v>29</v>
      </c>
      <c r="G1431" t="s">
        <v>26</v>
      </c>
      <c r="H1431">
        <v>44.57</v>
      </c>
      <c r="I1431" t="s">
        <v>47</v>
      </c>
      <c r="J1431">
        <v>8</v>
      </c>
      <c r="K1431">
        <v>166</v>
      </c>
      <c r="L1431">
        <v>89.77</v>
      </c>
      <c r="M1431">
        <v>24.77</v>
      </c>
      <c r="N1431">
        <v>8.74</v>
      </c>
      <c r="O1431">
        <v>4.8600000000000003</v>
      </c>
      <c r="P1431">
        <v>303.48</v>
      </c>
      <c r="Q1431">
        <v>1094</v>
      </c>
      <c r="R1431">
        <v>4</v>
      </c>
      <c r="S1431">
        <v>67</v>
      </c>
    </row>
    <row r="1432" spans="1:19" x14ac:dyDescent="0.3">
      <c r="A1432">
        <v>1431</v>
      </c>
      <c r="B1432" t="s">
        <v>891</v>
      </c>
      <c r="C1432">
        <v>2023</v>
      </c>
      <c r="D1432" t="s">
        <v>161</v>
      </c>
      <c r="E1432">
        <v>7</v>
      </c>
      <c r="F1432" t="s">
        <v>29</v>
      </c>
      <c r="G1432" t="s">
        <v>42</v>
      </c>
      <c r="H1432">
        <v>41.55</v>
      </c>
      <c r="I1432" t="s">
        <v>23</v>
      </c>
      <c r="J1432">
        <v>44</v>
      </c>
      <c r="K1432">
        <v>566</v>
      </c>
      <c r="L1432">
        <v>90.28</v>
      </c>
      <c r="M1432">
        <v>31.1</v>
      </c>
      <c r="N1432">
        <v>6.84</v>
      </c>
      <c r="O1432">
        <v>8.58</v>
      </c>
      <c r="P1432">
        <v>555.91999999999996</v>
      </c>
      <c r="Q1432">
        <v>991</v>
      </c>
      <c r="R1432">
        <v>1</v>
      </c>
      <c r="S1432">
        <v>93</v>
      </c>
    </row>
    <row r="1433" spans="1:19" x14ac:dyDescent="0.3">
      <c r="A1433">
        <v>1432</v>
      </c>
      <c r="B1433" t="s">
        <v>892</v>
      </c>
      <c r="C1433">
        <v>2023</v>
      </c>
      <c r="D1433" t="s">
        <v>161</v>
      </c>
      <c r="E1433">
        <v>7</v>
      </c>
      <c r="F1433" t="s">
        <v>37</v>
      </c>
      <c r="G1433" t="s">
        <v>40</v>
      </c>
      <c r="H1433">
        <v>37.15</v>
      </c>
      <c r="I1433" t="s">
        <v>27</v>
      </c>
      <c r="J1433">
        <v>13</v>
      </c>
      <c r="K1433">
        <v>517</v>
      </c>
      <c r="L1433">
        <v>84.92</v>
      </c>
      <c r="M1433">
        <v>19.21</v>
      </c>
      <c r="N1433">
        <v>2.39</v>
      </c>
      <c r="O1433">
        <v>5.17</v>
      </c>
      <c r="P1433">
        <v>342.05</v>
      </c>
      <c r="Q1433">
        <v>534</v>
      </c>
      <c r="R1433">
        <v>3</v>
      </c>
      <c r="S1433">
        <v>178</v>
      </c>
    </row>
    <row r="1434" spans="1:19" x14ac:dyDescent="0.3">
      <c r="A1434">
        <v>1433</v>
      </c>
      <c r="B1434" t="s">
        <v>893</v>
      </c>
      <c r="C1434">
        <v>2023</v>
      </c>
      <c r="D1434" t="s">
        <v>161</v>
      </c>
      <c r="E1434">
        <v>7</v>
      </c>
      <c r="F1434" t="s">
        <v>31</v>
      </c>
      <c r="G1434" t="s">
        <v>42</v>
      </c>
      <c r="H1434">
        <v>50.04</v>
      </c>
      <c r="I1434" t="s">
        <v>47</v>
      </c>
      <c r="J1434">
        <v>13</v>
      </c>
      <c r="K1434">
        <v>560</v>
      </c>
      <c r="L1434">
        <v>75.38</v>
      </c>
      <c r="M1434">
        <v>28.65</v>
      </c>
      <c r="N1434">
        <v>20.399999999999999</v>
      </c>
      <c r="O1434">
        <v>10.49</v>
      </c>
      <c r="P1434">
        <v>482.27</v>
      </c>
      <c r="Q1434">
        <v>568</v>
      </c>
      <c r="R1434">
        <v>4</v>
      </c>
      <c r="S1434">
        <v>159</v>
      </c>
    </row>
    <row r="1435" spans="1:19" x14ac:dyDescent="0.3">
      <c r="A1435">
        <v>1434</v>
      </c>
      <c r="B1435" t="s">
        <v>894</v>
      </c>
      <c r="C1435">
        <v>2023</v>
      </c>
      <c r="D1435" t="s">
        <v>161</v>
      </c>
      <c r="E1435">
        <v>7</v>
      </c>
      <c r="F1435" t="s">
        <v>62</v>
      </c>
      <c r="G1435" t="s">
        <v>26</v>
      </c>
      <c r="H1435">
        <v>43.27</v>
      </c>
      <c r="I1435" t="s">
        <v>32</v>
      </c>
      <c r="J1435">
        <v>16</v>
      </c>
      <c r="K1435">
        <v>351</v>
      </c>
      <c r="L1435">
        <v>76.23</v>
      </c>
      <c r="M1435">
        <v>29.84</v>
      </c>
      <c r="N1435">
        <v>10.85</v>
      </c>
      <c r="O1435">
        <v>5.2</v>
      </c>
      <c r="P1435">
        <v>595.19000000000005</v>
      </c>
      <c r="Q1435">
        <v>493</v>
      </c>
      <c r="R1435">
        <v>2</v>
      </c>
      <c r="S1435">
        <v>100</v>
      </c>
    </row>
    <row r="1436" spans="1:19" x14ac:dyDescent="0.3">
      <c r="A1436">
        <v>1435</v>
      </c>
      <c r="B1436" t="s">
        <v>890</v>
      </c>
      <c r="C1436">
        <v>2023</v>
      </c>
      <c r="D1436" t="s">
        <v>161</v>
      </c>
      <c r="E1436">
        <v>7</v>
      </c>
      <c r="F1436" t="s">
        <v>29</v>
      </c>
      <c r="G1436" t="s">
        <v>26</v>
      </c>
      <c r="H1436">
        <v>34.840000000000003</v>
      </c>
      <c r="I1436" t="s">
        <v>32</v>
      </c>
      <c r="J1436">
        <v>12</v>
      </c>
      <c r="K1436">
        <v>596</v>
      </c>
      <c r="L1436">
        <v>86.43</v>
      </c>
      <c r="M1436">
        <v>22.01</v>
      </c>
      <c r="N1436">
        <v>12.35</v>
      </c>
      <c r="O1436">
        <v>6.68</v>
      </c>
      <c r="P1436">
        <v>245.14</v>
      </c>
      <c r="Q1436">
        <v>223</v>
      </c>
      <c r="R1436">
        <v>2</v>
      </c>
      <c r="S1436">
        <v>215</v>
      </c>
    </row>
    <row r="1437" spans="1:19" x14ac:dyDescent="0.3">
      <c r="A1437">
        <v>1436</v>
      </c>
      <c r="B1437" t="s">
        <v>895</v>
      </c>
      <c r="C1437">
        <v>2023</v>
      </c>
      <c r="D1437" t="s">
        <v>161</v>
      </c>
      <c r="E1437">
        <v>7</v>
      </c>
      <c r="F1437" t="s">
        <v>29</v>
      </c>
      <c r="G1437" t="s">
        <v>26</v>
      </c>
      <c r="H1437">
        <v>49.91</v>
      </c>
      <c r="I1437" t="s">
        <v>27</v>
      </c>
      <c r="J1437">
        <v>47</v>
      </c>
      <c r="K1437">
        <v>336</v>
      </c>
      <c r="L1437">
        <v>79.89</v>
      </c>
      <c r="M1437">
        <v>23.31</v>
      </c>
      <c r="N1437">
        <v>19.010000000000002</v>
      </c>
      <c r="O1437">
        <v>11.31</v>
      </c>
      <c r="P1437">
        <v>207.86</v>
      </c>
      <c r="Q1437">
        <v>842</v>
      </c>
      <c r="R1437">
        <v>4</v>
      </c>
      <c r="S1437">
        <v>75</v>
      </c>
    </row>
    <row r="1438" spans="1:19" x14ac:dyDescent="0.3">
      <c r="A1438">
        <v>1437</v>
      </c>
      <c r="B1438" t="s">
        <v>896</v>
      </c>
      <c r="C1438">
        <v>2023</v>
      </c>
      <c r="D1438" t="s">
        <v>161</v>
      </c>
      <c r="E1438">
        <v>7</v>
      </c>
      <c r="F1438" t="s">
        <v>34</v>
      </c>
      <c r="G1438" t="s">
        <v>26</v>
      </c>
      <c r="H1438">
        <v>40.909999999999997</v>
      </c>
      <c r="I1438" t="s">
        <v>27</v>
      </c>
      <c r="J1438">
        <v>35</v>
      </c>
      <c r="K1438">
        <v>298</v>
      </c>
      <c r="L1438">
        <v>80.459999999999994</v>
      </c>
      <c r="M1438">
        <v>25.79</v>
      </c>
      <c r="N1438">
        <v>20.56</v>
      </c>
      <c r="O1438">
        <v>12.53</v>
      </c>
      <c r="P1438">
        <v>514.53</v>
      </c>
      <c r="Q1438">
        <v>346</v>
      </c>
      <c r="R1438">
        <v>2</v>
      </c>
      <c r="S1438">
        <v>75</v>
      </c>
    </row>
    <row r="1439" spans="1:19" x14ac:dyDescent="0.3">
      <c r="A1439">
        <v>1438</v>
      </c>
      <c r="B1439" t="s">
        <v>897</v>
      </c>
      <c r="C1439">
        <v>2023</v>
      </c>
      <c r="D1439" t="s">
        <v>161</v>
      </c>
      <c r="E1439">
        <v>7</v>
      </c>
      <c r="F1439" t="s">
        <v>34</v>
      </c>
      <c r="G1439" t="s">
        <v>40</v>
      </c>
      <c r="H1439">
        <v>52.01</v>
      </c>
      <c r="I1439" t="s">
        <v>32</v>
      </c>
      <c r="J1439">
        <v>33</v>
      </c>
      <c r="K1439">
        <v>558</v>
      </c>
      <c r="L1439">
        <v>85.33</v>
      </c>
      <c r="M1439">
        <v>12.1</v>
      </c>
      <c r="N1439">
        <v>13.57</v>
      </c>
      <c r="O1439">
        <v>12.77</v>
      </c>
      <c r="P1439">
        <v>283.58</v>
      </c>
      <c r="Q1439">
        <v>808</v>
      </c>
      <c r="R1439">
        <v>3</v>
      </c>
      <c r="S1439">
        <v>133</v>
      </c>
    </row>
    <row r="1440" spans="1:19" x14ac:dyDescent="0.3">
      <c r="A1440">
        <v>1439</v>
      </c>
      <c r="B1440" t="s">
        <v>893</v>
      </c>
      <c r="C1440">
        <v>2023</v>
      </c>
      <c r="D1440" t="s">
        <v>161</v>
      </c>
      <c r="E1440">
        <v>7</v>
      </c>
      <c r="F1440" t="s">
        <v>53</v>
      </c>
      <c r="G1440" t="s">
        <v>42</v>
      </c>
      <c r="H1440">
        <v>23.75</v>
      </c>
      <c r="I1440" t="s">
        <v>27</v>
      </c>
      <c r="J1440">
        <v>13</v>
      </c>
      <c r="K1440">
        <v>263</v>
      </c>
      <c r="L1440">
        <v>94.85</v>
      </c>
      <c r="M1440">
        <v>20.420000000000002</v>
      </c>
      <c r="N1440">
        <v>3.14</v>
      </c>
      <c r="O1440">
        <v>2.86</v>
      </c>
      <c r="P1440">
        <v>335.56</v>
      </c>
      <c r="Q1440">
        <v>653</v>
      </c>
      <c r="R1440">
        <v>4</v>
      </c>
      <c r="S1440">
        <v>225</v>
      </c>
    </row>
    <row r="1441" spans="1:19" x14ac:dyDescent="0.3">
      <c r="A1441">
        <v>1440</v>
      </c>
      <c r="B1441" t="s">
        <v>898</v>
      </c>
      <c r="C1441">
        <v>2023</v>
      </c>
      <c r="D1441" t="s">
        <v>161</v>
      </c>
      <c r="E1441">
        <v>7</v>
      </c>
      <c r="F1441" t="s">
        <v>25</v>
      </c>
      <c r="G1441" t="s">
        <v>35</v>
      </c>
      <c r="H1441">
        <v>25.54</v>
      </c>
      <c r="I1441" t="s">
        <v>32</v>
      </c>
      <c r="J1441">
        <v>16</v>
      </c>
      <c r="K1441">
        <v>332</v>
      </c>
      <c r="L1441">
        <v>87</v>
      </c>
      <c r="M1441">
        <v>22.56</v>
      </c>
      <c r="N1441">
        <v>18.32</v>
      </c>
      <c r="O1441">
        <v>8.52</v>
      </c>
      <c r="P1441">
        <v>215.9</v>
      </c>
      <c r="Q1441">
        <v>727</v>
      </c>
      <c r="R1441">
        <v>2</v>
      </c>
      <c r="S1441">
        <v>89</v>
      </c>
    </row>
    <row r="1442" spans="1:19" x14ac:dyDescent="0.3">
      <c r="A1442">
        <v>1441</v>
      </c>
      <c r="B1442" t="s">
        <v>899</v>
      </c>
      <c r="C1442">
        <v>2023</v>
      </c>
      <c r="D1442" t="s">
        <v>161</v>
      </c>
      <c r="E1442">
        <v>7</v>
      </c>
      <c r="F1442" t="s">
        <v>53</v>
      </c>
      <c r="G1442" t="s">
        <v>22</v>
      </c>
      <c r="H1442">
        <v>49.56</v>
      </c>
      <c r="I1442" t="s">
        <v>38</v>
      </c>
      <c r="J1442">
        <v>26</v>
      </c>
      <c r="K1442">
        <v>511</v>
      </c>
      <c r="L1442">
        <v>78.599999999999994</v>
      </c>
      <c r="M1442">
        <v>19.04</v>
      </c>
      <c r="N1442">
        <v>16.71</v>
      </c>
      <c r="O1442">
        <v>4.5199999999999996</v>
      </c>
      <c r="P1442">
        <v>395.98</v>
      </c>
      <c r="Q1442">
        <v>792</v>
      </c>
      <c r="R1442">
        <v>5</v>
      </c>
      <c r="S1442">
        <v>196</v>
      </c>
    </row>
    <row r="1443" spans="1:19" x14ac:dyDescent="0.3">
      <c r="A1443">
        <v>1442</v>
      </c>
      <c r="B1443" t="s">
        <v>895</v>
      </c>
      <c r="C1443">
        <v>2023</v>
      </c>
      <c r="D1443" t="s">
        <v>161</v>
      </c>
      <c r="E1443">
        <v>7</v>
      </c>
      <c r="F1443" t="s">
        <v>62</v>
      </c>
      <c r="G1443" t="s">
        <v>35</v>
      </c>
      <c r="H1443">
        <v>53.25</v>
      </c>
      <c r="I1443" t="s">
        <v>27</v>
      </c>
      <c r="J1443">
        <v>15</v>
      </c>
      <c r="K1443">
        <v>177</v>
      </c>
      <c r="L1443">
        <v>76.510000000000005</v>
      </c>
      <c r="M1443">
        <v>8.0500000000000007</v>
      </c>
      <c r="N1443">
        <v>14.33</v>
      </c>
      <c r="O1443">
        <v>10.75</v>
      </c>
      <c r="P1443">
        <v>305.83999999999997</v>
      </c>
      <c r="Q1443">
        <v>120</v>
      </c>
      <c r="R1443">
        <v>5</v>
      </c>
      <c r="S1443">
        <v>65</v>
      </c>
    </row>
    <row r="1444" spans="1:19" x14ac:dyDescent="0.3">
      <c r="A1444">
        <v>1443</v>
      </c>
      <c r="B1444" t="s">
        <v>891</v>
      </c>
      <c r="C1444">
        <v>2023</v>
      </c>
      <c r="D1444" t="s">
        <v>161</v>
      </c>
      <c r="E1444">
        <v>7</v>
      </c>
      <c r="F1444" t="s">
        <v>53</v>
      </c>
      <c r="G1444" t="s">
        <v>35</v>
      </c>
      <c r="H1444">
        <v>5.61</v>
      </c>
      <c r="I1444" t="s">
        <v>23</v>
      </c>
      <c r="J1444">
        <v>44</v>
      </c>
      <c r="K1444">
        <v>214</v>
      </c>
      <c r="L1444">
        <v>92.68</v>
      </c>
      <c r="M1444">
        <v>30.2</v>
      </c>
      <c r="N1444">
        <v>13.17</v>
      </c>
      <c r="O1444">
        <v>15.85</v>
      </c>
      <c r="P1444">
        <v>273.3</v>
      </c>
      <c r="Q1444">
        <v>1051</v>
      </c>
      <c r="R1444">
        <v>2</v>
      </c>
      <c r="S1444">
        <v>209</v>
      </c>
    </row>
    <row r="1445" spans="1:19" x14ac:dyDescent="0.3">
      <c r="A1445">
        <v>1444</v>
      </c>
      <c r="B1445" t="s">
        <v>899</v>
      </c>
      <c r="C1445">
        <v>2023</v>
      </c>
      <c r="D1445" t="s">
        <v>161</v>
      </c>
      <c r="E1445">
        <v>7</v>
      </c>
      <c r="F1445" t="s">
        <v>53</v>
      </c>
      <c r="G1445" t="s">
        <v>22</v>
      </c>
      <c r="H1445">
        <v>6.31</v>
      </c>
      <c r="I1445" t="s">
        <v>23</v>
      </c>
      <c r="J1445">
        <v>25</v>
      </c>
      <c r="K1445">
        <v>564</v>
      </c>
      <c r="L1445">
        <v>78.5</v>
      </c>
      <c r="M1445">
        <v>32.61</v>
      </c>
      <c r="N1445">
        <v>4.51</v>
      </c>
      <c r="O1445">
        <v>13.55</v>
      </c>
      <c r="P1445">
        <v>569.38</v>
      </c>
      <c r="Q1445">
        <v>277</v>
      </c>
      <c r="R1445">
        <v>4</v>
      </c>
      <c r="S1445">
        <v>73</v>
      </c>
    </row>
    <row r="1446" spans="1:19" x14ac:dyDescent="0.3">
      <c r="A1446">
        <v>1445</v>
      </c>
      <c r="B1446" t="s">
        <v>900</v>
      </c>
      <c r="C1446">
        <v>2023</v>
      </c>
      <c r="D1446" t="s">
        <v>161</v>
      </c>
      <c r="E1446">
        <v>7</v>
      </c>
      <c r="F1446" t="s">
        <v>29</v>
      </c>
      <c r="G1446" t="s">
        <v>35</v>
      </c>
      <c r="H1446">
        <v>42.55</v>
      </c>
      <c r="I1446" t="s">
        <v>38</v>
      </c>
      <c r="J1446">
        <v>45</v>
      </c>
      <c r="K1446">
        <v>558</v>
      </c>
      <c r="L1446">
        <v>84.4</v>
      </c>
      <c r="M1446">
        <v>31.27</v>
      </c>
      <c r="N1446">
        <v>4.58</v>
      </c>
      <c r="O1446">
        <v>4.18</v>
      </c>
      <c r="P1446">
        <v>534.94000000000005</v>
      </c>
      <c r="Q1446">
        <v>1078</v>
      </c>
      <c r="R1446">
        <v>2</v>
      </c>
      <c r="S1446">
        <v>171</v>
      </c>
    </row>
    <row r="1447" spans="1:19" x14ac:dyDescent="0.3">
      <c r="A1447">
        <v>1446</v>
      </c>
      <c r="B1447" t="s">
        <v>897</v>
      </c>
      <c r="C1447">
        <v>2023</v>
      </c>
      <c r="D1447" t="s">
        <v>161</v>
      </c>
      <c r="E1447">
        <v>7</v>
      </c>
      <c r="F1447" t="s">
        <v>31</v>
      </c>
      <c r="G1447" t="s">
        <v>22</v>
      </c>
      <c r="H1447">
        <v>53.52</v>
      </c>
      <c r="I1447" t="s">
        <v>38</v>
      </c>
      <c r="J1447">
        <v>46</v>
      </c>
      <c r="K1447">
        <v>118</v>
      </c>
      <c r="L1447">
        <v>81.069999999999993</v>
      </c>
      <c r="M1447">
        <v>6.99</v>
      </c>
      <c r="N1447">
        <v>3.43</v>
      </c>
      <c r="O1447">
        <v>4.09</v>
      </c>
      <c r="P1447">
        <v>479.7</v>
      </c>
      <c r="Q1447">
        <v>784</v>
      </c>
      <c r="R1447">
        <v>4</v>
      </c>
      <c r="S1447">
        <v>84</v>
      </c>
    </row>
    <row r="1448" spans="1:19" x14ac:dyDescent="0.3">
      <c r="A1448">
        <v>1447</v>
      </c>
      <c r="B1448" t="s">
        <v>900</v>
      </c>
      <c r="C1448">
        <v>2023</v>
      </c>
      <c r="D1448" t="s">
        <v>161</v>
      </c>
      <c r="E1448">
        <v>7</v>
      </c>
      <c r="F1448" t="s">
        <v>29</v>
      </c>
      <c r="G1448" t="s">
        <v>40</v>
      </c>
      <c r="H1448">
        <v>19.78</v>
      </c>
      <c r="I1448" t="s">
        <v>23</v>
      </c>
      <c r="J1448">
        <v>34</v>
      </c>
      <c r="K1448">
        <v>392</v>
      </c>
      <c r="L1448">
        <v>90.24</v>
      </c>
      <c r="M1448">
        <v>31.54</v>
      </c>
      <c r="N1448">
        <v>10.58</v>
      </c>
      <c r="O1448">
        <v>13.74</v>
      </c>
      <c r="P1448">
        <v>312.77</v>
      </c>
      <c r="Q1448">
        <v>725</v>
      </c>
      <c r="R1448">
        <v>4</v>
      </c>
      <c r="S1448">
        <v>61</v>
      </c>
    </row>
    <row r="1449" spans="1:19" x14ac:dyDescent="0.3">
      <c r="A1449">
        <v>1448</v>
      </c>
      <c r="B1449" t="s">
        <v>901</v>
      </c>
      <c r="C1449">
        <v>2023</v>
      </c>
      <c r="D1449" t="s">
        <v>161</v>
      </c>
      <c r="E1449">
        <v>7</v>
      </c>
      <c r="F1449" t="s">
        <v>34</v>
      </c>
      <c r="G1449" t="s">
        <v>40</v>
      </c>
      <c r="H1449">
        <v>34.67</v>
      </c>
      <c r="I1449" t="s">
        <v>47</v>
      </c>
      <c r="J1449">
        <v>43</v>
      </c>
      <c r="K1449">
        <v>103</v>
      </c>
      <c r="L1449">
        <v>82.77</v>
      </c>
      <c r="M1449">
        <v>22.24</v>
      </c>
      <c r="N1449">
        <v>12.62</v>
      </c>
      <c r="O1449">
        <v>7.57</v>
      </c>
      <c r="P1449">
        <v>224.33</v>
      </c>
      <c r="Q1449">
        <v>229</v>
      </c>
      <c r="R1449">
        <v>4</v>
      </c>
      <c r="S1449">
        <v>125</v>
      </c>
    </row>
    <row r="1450" spans="1:19" x14ac:dyDescent="0.3">
      <c r="A1450">
        <v>1449</v>
      </c>
      <c r="B1450" t="s">
        <v>896</v>
      </c>
      <c r="C1450">
        <v>2023</v>
      </c>
      <c r="D1450" t="s">
        <v>161</v>
      </c>
      <c r="E1450">
        <v>7</v>
      </c>
      <c r="F1450" t="s">
        <v>21</v>
      </c>
      <c r="G1450" t="s">
        <v>42</v>
      </c>
      <c r="H1450">
        <v>23.7</v>
      </c>
      <c r="I1450" t="s">
        <v>38</v>
      </c>
      <c r="J1450">
        <v>32</v>
      </c>
      <c r="K1450">
        <v>363</v>
      </c>
      <c r="L1450">
        <v>81.849999999999994</v>
      </c>
      <c r="M1450">
        <v>17.239999999999998</v>
      </c>
      <c r="N1450">
        <v>15.78</v>
      </c>
      <c r="O1450">
        <v>8.66</v>
      </c>
      <c r="P1450">
        <v>416.13</v>
      </c>
      <c r="Q1450">
        <v>233</v>
      </c>
      <c r="R1450">
        <v>1</v>
      </c>
      <c r="S1450">
        <v>90</v>
      </c>
    </row>
    <row r="1451" spans="1:19" x14ac:dyDescent="0.3">
      <c r="A1451">
        <v>1450</v>
      </c>
      <c r="B1451" t="s">
        <v>902</v>
      </c>
      <c r="C1451">
        <v>2023</v>
      </c>
      <c r="D1451" t="s">
        <v>161</v>
      </c>
      <c r="E1451">
        <v>7</v>
      </c>
      <c r="F1451" t="s">
        <v>62</v>
      </c>
      <c r="G1451" t="s">
        <v>26</v>
      </c>
      <c r="H1451">
        <v>22.92</v>
      </c>
      <c r="I1451" t="s">
        <v>27</v>
      </c>
      <c r="J1451">
        <v>45</v>
      </c>
      <c r="K1451">
        <v>538</v>
      </c>
      <c r="L1451">
        <v>80.94</v>
      </c>
      <c r="M1451">
        <v>8.83</v>
      </c>
      <c r="N1451">
        <v>20.55</v>
      </c>
      <c r="O1451">
        <v>11.32</v>
      </c>
      <c r="P1451">
        <v>300.31</v>
      </c>
      <c r="Q1451">
        <v>472</v>
      </c>
      <c r="R1451">
        <v>1</v>
      </c>
      <c r="S1451">
        <v>150</v>
      </c>
    </row>
    <row r="1452" spans="1:19" x14ac:dyDescent="0.3">
      <c r="A1452">
        <v>1451</v>
      </c>
      <c r="B1452" t="s">
        <v>895</v>
      </c>
      <c r="C1452">
        <v>2023</v>
      </c>
      <c r="D1452" t="s">
        <v>161</v>
      </c>
      <c r="E1452">
        <v>7</v>
      </c>
      <c r="F1452" t="s">
        <v>31</v>
      </c>
      <c r="G1452" t="s">
        <v>22</v>
      </c>
      <c r="H1452">
        <v>50.66</v>
      </c>
      <c r="I1452" t="s">
        <v>32</v>
      </c>
      <c r="J1452">
        <v>7</v>
      </c>
      <c r="K1452">
        <v>374</v>
      </c>
      <c r="L1452">
        <v>92.66</v>
      </c>
      <c r="M1452">
        <v>19.86</v>
      </c>
      <c r="N1452">
        <v>12.58</v>
      </c>
      <c r="O1452">
        <v>10.53</v>
      </c>
      <c r="P1452">
        <v>567.41999999999996</v>
      </c>
      <c r="Q1452">
        <v>354</v>
      </c>
      <c r="R1452">
        <v>4</v>
      </c>
      <c r="S1452">
        <v>94</v>
      </c>
    </row>
    <row r="1453" spans="1:19" x14ac:dyDescent="0.3">
      <c r="A1453">
        <v>1452</v>
      </c>
      <c r="B1453" t="s">
        <v>903</v>
      </c>
      <c r="C1453">
        <v>2023</v>
      </c>
      <c r="D1453" t="s">
        <v>161</v>
      </c>
      <c r="E1453">
        <v>7</v>
      </c>
      <c r="F1453" t="s">
        <v>31</v>
      </c>
      <c r="G1453" t="s">
        <v>42</v>
      </c>
      <c r="H1453">
        <v>54.52</v>
      </c>
      <c r="I1453" t="s">
        <v>47</v>
      </c>
      <c r="J1453">
        <v>43</v>
      </c>
      <c r="K1453">
        <v>486</v>
      </c>
      <c r="L1453">
        <v>76.89</v>
      </c>
      <c r="M1453">
        <v>8.75</v>
      </c>
      <c r="N1453">
        <v>8.52</v>
      </c>
      <c r="O1453">
        <v>10.050000000000001</v>
      </c>
      <c r="P1453">
        <v>331.7</v>
      </c>
      <c r="Q1453">
        <v>1007</v>
      </c>
      <c r="R1453">
        <v>5</v>
      </c>
      <c r="S1453">
        <v>182</v>
      </c>
    </row>
    <row r="1454" spans="1:19" x14ac:dyDescent="0.3">
      <c r="A1454">
        <v>1453</v>
      </c>
      <c r="B1454" t="s">
        <v>903</v>
      </c>
      <c r="C1454">
        <v>2023</v>
      </c>
      <c r="D1454" t="s">
        <v>161</v>
      </c>
      <c r="E1454">
        <v>7</v>
      </c>
      <c r="F1454" t="s">
        <v>34</v>
      </c>
      <c r="G1454" t="s">
        <v>26</v>
      </c>
      <c r="H1454">
        <v>44.41</v>
      </c>
      <c r="I1454" t="s">
        <v>32</v>
      </c>
      <c r="J1454">
        <v>11</v>
      </c>
      <c r="K1454">
        <v>119</v>
      </c>
      <c r="L1454">
        <v>75.28</v>
      </c>
      <c r="M1454">
        <v>10.45</v>
      </c>
      <c r="N1454">
        <v>18.489999999999998</v>
      </c>
      <c r="O1454">
        <v>4.22</v>
      </c>
      <c r="P1454">
        <v>143.09</v>
      </c>
      <c r="Q1454">
        <v>500</v>
      </c>
      <c r="R1454">
        <v>4</v>
      </c>
      <c r="S1454">
        <v>149</v>
      </c>
    </row>
    <row r="1455" spans="1:19" x14ac:dyDescent="0.3">
      <c r="A1455">
        <v>1454</v>
      </c>
      <c r="B1455" t="s">
        <v>891</v>
      </c>
      <c r="C1455">
        <v>2023</v>
      </c>
      <c r="D1455" t="s">
        <v>161</v>
      </c>
      <c r="E1455">
        <v>7</v>
      </c>
      <c r="F1455" t="s">
        <v>37</v>
      </c>
      <c r="G1455" t="s">
        <v>26</v>
      </c>
      <c r="H1455">
        <v>9.25</v>
      </c>
      <c r="I1455" t="s">
        <v>38</v>
      </c>
      <c r="J1455">
        <v>35</v>
      </c>
      <c r="K1455">
        <v>397</v>
      </c>
      <c r="L1455">
        <v>82.22</v>
      </c>
      <c r="M1455">
        <v>10.029999999999999</v>
      </c>
      <c r="N1455">
        <v>8.9499999999999993</v>
      </c>
      <c r="O1455">
        <v>7.83</v>
      </c>
      <c r="P1455">
        <v>522.66</v>
      </c>
      <c r="Q1455">
        <v>690</v>
      </c>
      <c r="R1455">
        <v>3</v>
      </c>
      <c r="S1455">
        <v>235</v>
      </c>
    </row>
    <row r="1456" spans="1:19" x14ac:dyDescent="0.3">
      <c r="A1456">
        <v>1455</v>
      </c>
      <c r="B1456" t="s">
        <v>890</v>
      </c>
      <c r="C1456">
        <v>2023</v>
      </c>
      <c r="D1456" t="s">
        <v>161</v>
      </c>
      <c r="E1456">
        <v>7</v>
      </c>
      <c r="F1456" t="s">
        <v>53</v>
      </c>
      <c r="G1456" t="s">
        <v>22</v>
      </c>
      <c r="H1456">
        <v>16.14</v>
      </c>
      <c r="I1456" t="s">
        <v>32</v>
      </c>
      <c r="J1456">
        <v>28</v>
      </c>
      <c r="K1456">
        <v>427</v>
      </c>
      <c r="L1456">
        <v>92.95</v>
      </c>
      <c r="M1456">
        <v>9.07</v>
      </c>
      <c r="N1456">
        <v>3.23</v>
      </c>
      <c r="O1456">
        <v>12.28</v>
      </c>
      <c r="P1456">
        <v>156.63999999999999</v>
      </c>
      <c r="Q1456">
        <v>967</v>
      </c>
      <c r="R1456">
        <v>4</v>
      </c>
      <c r="S1456">
        <v>235</v>
      </c>
    </row>
    <row r="1457" spans="1:19" x14ac:dyDescent="0.3">
      <c r="A1457">
        <v>1456</v>
      </c>
      <c r="B1457" t="s">
        <v>904</v>
      </c>
      <c r="C1457">
        <v>2023</v>
      </c>
      <c r="D1457" t="s">
        <v>161</v>
      </c>
      <c r="E1457">
        <v>7</v>
      </c>
      <c r="F1457" t="s">
        <v>34</v>
      </c>
      <c r="G1457" t="s">
        <v>22</v>
      </c>
      <c r="H1457">
        <v>13.08</v>
      </c>
      <c r="I1457" t="s">
        <v>27</v>
      </c>
      <c r="J1457">
        <v>28</v>
      </c>
      <c r="K1457">
        <v>149</v>
      </c>
      <c r="L1457">
        <v>91.56</v>
      </c>
      <c r="M1457">
        <v>19.39</v>
      </c>
      <c r="N1457">
        <v>14.6</v>
      </c>
      <c r="O1457">
        <v>11.53</v>
      </c>
      <c r="P1457">
        <v>131.82</v>
      </c>
      <c r="Q1457">
        <v>471</v>
      </c>
      <c r="R1457">
        <v>1</v>
      </c>
      <c r="S1457">
        <v>114</v>
      </c>
    </row>
    <row r="1458" spans="1:19" x14ac:dyDescent="0.3">
      <c r="A1458">
        <v>1457</v>
      </c>
      <c r="B1458" t="s">
        <v>905</v>
      </c>
      <c r="C1458">
        <v>2023</v>
      </c>
      <c r="D1458" t="s">
        <v>161</v>
      </c>
      <c r="E1458">
        <v>7</v>
      </c>
      <c r="F1458" t="s">
        <v>53</v>
      </c>
      <c r="G1458" t="s">
        <v>35</v>
      </c>
      <c r="H1458">
        <v>26.11</v>
      </c>
      <c r="I1458" t="s">
        <v>27</v>
      </c>
      <c r="J1458">
        <v>28</v>
      </c>
      <c r="K1458">
        <v>297</v>
      </c>
      <c r="L1458">
        <v>79.11</v>
      </c>
      <c r="M1458">
        <v>27.1</v>
      </c>
      <c r="N1458">
        <v>6.25</v>
      </c>
      <c r="O1458">
        <v>12.74</v>
      </c>
      <c r="P1458">
        <v>186.9</v>
      </c>
      <c r="Q1458">
        <v>648</v>
      </c>
      <c r="R1458">
        <v>3</v>
      </c>
      <c r="S1458">
        <v>242</v>
      </c>
    </row>
    <row r="1459" spans="1:19" x14ac:dyDescent="0.3">
      <c r="A1459">
        <v>1458</v>
      </c>
      <c r="B1459" t="s">
        <v>894</v>
      </c>
      <c r="C1459">
        <v>2023</v>
      </c>
      <c r="D1459" t="s">
        <v>161</v>
      </c>
      <c r="E1459">
        <v>7</v>
      </c>
      <c r="F1459" t="s">
        <v>31</v>
      </c>
      <c r="G1459" t="s">
        <v>40</v>
      </c>
      <c r="H1459">
        <v>49.35</v>
      </c>
      <c r="I1459" t="s">
        <v>23</v>
      </c>
      <c r="J1459">
        <v>4</v>
      </c>
      <c r="K1459">
        <v>308</v>
      </c>
      <c r="L1459">
        <v>79.900000000000006</v>
      </c>
      <c r="M1459">
        <v>19.47</v>
      </c>
      <c r="N1459">
        <v>18.86</v>
      </c>
      <c r="O1459">
        <v>14.13</v>
      </c>
      <c r="P1459">
        <v>142.16</v>
      </c>
      <c r="Q1459">
        <v>486</v>
      </c>
      <c r="R1459">
        <v>5</v>
      </c>
      <c r="S1459">
        <v>157</v>
      </c>
    </row>
    <row r="1460" spans="1:19" x14ac:dyDescent="0.3">
      <c r="A1460">
        <v>1459</v>
      </c>
      <c r="B1460" t="s">
        <v>899</v>
      </c>
      <c r="C1460">
        <v>2023</v>
      </c>
      <c r="D1460" t="s">
        <v>161</v>
      </c>
      <c r="E1460">
        <v>7</v>
      </c>
      <c r="F1460" t="s">
        <v>34</v>
      </c>
      <c r="G1460" t="s">
        <v>26</v>
      </c>
      <c r="H1460">
        <v>20.77</v>
      </c>
      <c r="I1460" t="s">
        <v>38</v>
      </c>
      <c r="J1460">
        <v>45</v>
      </c>
      <c r="K1460">
        <v>454</v>
      </c>
      <c r="L1460">
        <v>76.22</v>
      </c>
      <c r="M1460">
        <v>30.38</v>
      </c>
      <c r="N1460">
        <v>8.57</v>
      </c>
      <c r="O1460">
        <v>6.6</v>
      </c>
      <c r="P1460">
        <v>195.26</v>
      </c>
      <c r="Q1460">
        <v>352</v>
      </c>
      <c r="R1460">
        <v>4</v>
      </c>
      <c r="S1460">
        <v>231</v>
      </c>
    </row>
    <row r="1461" spans="1:19" x14ac:dyDescent="0.3">
      <c r="A1461">
        <v>1460</v>
      </c>
      <c r="B1461" t="s">
        <v>906</v>
      </c>
      <c r="C1461">
        <v>2023</v>
      </c>
      <c r="D1461" t="s">
        <v>161</v>
      </c>
      <c r="E1461">
        <v>7</v>
      </c>
      <c r="F1461" t="s">
        <v>21</v>
      </c>
      <c r="G1461" t="s">
        <v>35</v>
      </c>
      <c r="H1461">
        <v>40.9</v>
      </c>
      <c r="I1461" t="s">
        <v>32</v>
      </c>
      <c r="J1461">
        <v>5</v>
      </c>
      <c r="K1461">
        <v>258</v>
      </c>
      <c r="L1461">
        <v>86.71</v>
      </c>
      <c r="M1461">
        <v>19.28</v>
      </c>
      <c r="N1461">
        <v>14.23</v>
      </c>
      <c r="O1461">
        <v>2.31</v>
      </c>
      <c r="P1461">
        <v>306.22000000000003</v>
      </c>
      <c r="Q1461">
        <v>1022</v>
      </c>
      <c r="R1461">
        <v>4</v>
      </c>
      <c r="S1461">
        <v>205</v>
      </c>
    </row>
    <row r="1462" spans="1:19" x14ac:dyDescent="0.3">
      <c r="A1462">
        <v>1461</v>
      </c>
      <c r="B1462" t="s">
        <v>898</v>
      </c>
      <c r="C1462">
        <v>2023</v>
      </c>
      <c r="D1462" t="s">
        <v>161</v>
      </c>
      <c r="E1462">
        <v>7</v>
      </c>
      <c r="F1462" t="s">
        <v>34</v>
      </c>
      <c r="G1462" t="s">
        <v>35</v>
      </c>
      <c r="H1462">
        <v>26.13</v>
      </c>
      <c r="I1462" t="s">
        <v>23</v>
      </c>
      <c r="J1462">
        <v>23</v>
      </c>
      <c r="K1462">
        <v>402</v>
      </c>
      <c r="L1462">
        <v>81.72</v>
      </c>
      <c r="M1462">
        <v>5.29</v>
      </c>
      <c r="N1462">
        <v>21.42</v>
      </c>
      <c r="O1462">
        <v>12.59</v>
      </c>
      <c r="P1462">
        <v>278.61</v>
      </c>
      <c r="Q1462">
        <v>387</v>
      </c>
      <c r="R1462">
        <v>5</v>
      </c>
      <c r="S1462">
        <v>153</v>
      </c>
    </row>
    <row r="1463" spans="1:19" x14ac:dyDescent="0.3">
      <c r="A1463">
        <v>1462</v>
      </c>
      <c r="B1463" t="s">
        <v>892</v>
      </c>
      <c r="C1463">
        <v>2023</v>
      </c>
      <c r="D1463" t="s">
        <v>161</v>
      </c>
      <c r="E1463">
        <v>7</v>
      </c>
      <c r="F1463" t="s">
        <v>62</v>
      </c>
      <c r="G1463" t="s">
        <v>40</v>
      </c>
      <c r="H1463">
        <v>20.12</v>
      </c>
      <c r="I1463" t="s">
        <v>38</v>
      </c>
      <c r="J1463">
        <v>11</v>
      </c>
      <c r="K1463">
        <v>530</v>
      </c>
      <c r="L1463">
        <v>88.42</v>
      </c>
      <c r="M1463">
        <v>16.88</v>
      </c>
      <c r="N1463">
        <v>7.53</v>
      </c>
      <c r="O1463">
        <v>8.14</v>
      </c>
      <c r="P1463">
        <v>581.53</v>
      </c>
      <c r="Q1463">
        <v>392</v>
      </c>
      <c r="R1463">
        <v>1</v>
      </c>
      <c r="S1463">
        <v>233</v>
      </c>
    </row>
    <row r="1464" spans="1:19" x14ac:dyDescent="0.3">
      <c r="A1464">
        <v>1463</v>
      </c>
      <c r="B1464" t="s">
        <v>907</v>
      </c>
      <c r="C1464">
        <v>2023</v>
      </c>
      <c r="D1464" t="s">
        <v>161</v>
      </c>
      <c r="E1464">
        <v>8</v>
      </c>
      <c r="F1464" t="s">
        <v>25</v>
      </c>
      <c r="G1464" t="s">
        <v>42</v>
      </c>
      <c r="H1464">
        <v>34.270000000000003</v>
      </c>
      <c r="I1464" t="s">
        <v>38</v>
      </c>
      <c r="J1464">
        <v>32</v>
      </c>
      <c r="K1464">
        <v>213</v>
      </c>
      <c r="L1464">
        <v>88.34</v>
      </c>
      <c r="M1464">
        <v>29.64</v>
      </c>
      <c r="N1464">
        <v>15.07</v>
      </c>
      <c r="O1464">
        <v>8.34</v>
      </c>
      <c r="P1464">
        <v>588.83000000000004</v>
      </c>
      <c r="Q1464">
        <v>532</v>
      </c>
      <c r="R1464">
        <v>2</v>
      </c>
      <c r="S1464">
        <v>200</v>
      </c>
    </row>
    <row r="1465" spans="1:19" x14ac:dyDescent="0.3">
      <c r="A1465">
        <v>1464</v>
      </c>
      <c r="B1465" t="s">
        <v>908</v>
      </c>
      <c r="C1465">
        <v>2023</v>
      </c>
      <c r="D1465" t="s">
        <v>161</v>
      </c>
      <c r="E1465">
        <v>8</v>
      </c>
      <c r="F1465" t="s">
        <v>25</v>
      </c>
      <c r="G1465" t="s">
        <v>35</v>
      </c>
      <c r="H1465">
        <v>51.24</v>
      </c>
      <c r="I1465" t="s">
        <v>27</v>
      </c>
      <c r="J1465">
        <v>3</v>
      </c>
      <c r="K1465">
        <v>105</v>
      </c>
      <c r="L1465">
        <v>75.39</v>
      </c>
      <c r="M1465">
        <v>31.48</v>
      </c>
      <c r="N1465">
        <v>2.83</v>
      </c>
      <c r="O1465">
        <v>2.4500000000000002</v>
      </c>
      <c r="P1465">
        <v>309.72000000000003</v>
      </c>
      <c r="Q1465">
        <v>103</v>
      </c>
      <c r="R1465">
        <v>3</v>
      </c>
      <c r="S1465">
        <v>201</v>
      </c>
    </row>
    <row r="1466" spans="1:19" x14ac:dyDescent="0.3">
      <c r="A1466">
        <v>1465</v>
      </c>
      <c r="B1466" t="s">
        <v>909</v>
      </c>
      <c r="C1466">
        <v>2023</v>
      </c>
      <c r="D1466" t="s">
        <v>161</v>
      </c>
      <c r="E1466">
        <v>8</v>
      </c>
      <c r="F1466" t="s">
        <v>21</v>
      </c>
      <c r="G1466" t="s">
        <v>35</v>
      </c>
      <c r="H1466">
        <v>31.48</v>
      </c>
      <c r="I1466" t="s">
        <v>27</v>
      </c>
      <c r="J1466">
        <v>17</v>
      </c>
      <c r="K1466">
        <v>286</v>
      </c>
      <c r="L1466">
        <v>92.91</v>
      </c>
      <c r="M1466">
        <v>23.06</v>
      </c>
      <c r="N1466">
        <v>5.6</v>
      </c>
      <c r="O1466">
        <v>1.76</v>
      </c>
      <c r="P1466">
        <v>516.15</v>
      </c>
      <c r="Q1466">
        <v>465</v>
      </c>
      <c r="R1466">
        <v>1</v>
      </c>
      <c r="S1466">
        <v>115</v>
      </c>
    </row>
    <row r="1467" spans="1:19" x14ac:dyDescent="0.3">
      <c r="A1467">
        <v>1466</v>
      </c>
      <c r="B1467" t="s">
        <v>910</v>
      </c>
      <c r="C1467">
        <v>2023</v>
      </c>
      <c r="D1467" t="s">
        <v>161</v>
      </c>
      <c r="E1467">
        <v>8</v>
      </c>
      <c r="F1467" t="s">
        <v>34</v>
      </c>
      <c r="G1467" t="s">
        <v>40</v>
      </c>
      <c r="H1467">
        <v>9.4700000000000006</v>
      </c>
      <c r="I1467" t="s">
        <v>47</v>
      </c>
      <c r="J1467">
        <v>16</v>
      </c>
      <c r="K1467">
        <v>177</v>
      </c>
      <c r="L1467">
        <v>76.61</v>
      </c>
      <c r="M1467">
        <v>20.07</v>
      </c>
      <c r="N1467">
        <v>13.52</v>
      </c>
      <c r="O1467">
        <v>10.029999999999999</v>
      </c>
      <c r="P1467">
        <v>218.51</v>
      </c>
      <c r="Q1467">
        <v>636</v>
      </c>
      <c r="R1467">
        <v>1</v>
      </c>
      <c r="S1467">
        <v>107</v>
      </c>
    </row>
    <row r="1468" spans="1:19" x14ac:dyDescent="0.3">
      <c r="A1468">
        <v>1467</v>
      </c>
      <c r="B1468" t="s">
        <v>911</v>
      </c>
      <c r="C1468">
        <v>2023</v>
      </c>
      <c r="D1468" t="s">
        <v>161</v>
      </c>
      <c r="E1468">
        <v>8</v>
      </c>
      <c r="F1468" t="s">
        <v>53</v>
      </c>
      <c r="G1468" t="s">
        <v>40</v>
      </c>
      <c r="H1468">
        <v>38.82</v>
      </c>
      <c r="I1468" t="s">
        <v>47</v>
      </c>
      <c r="J1468">
        <v>45</v>
      </c>
      <c r="K1468">
        <v>519</v>
      </c>
      <c r="L1468">
        <v>91.97</v>
      </c>
      <c r="M1468">
        <v>6.44</v>
      </c>
      <c r="N1468">
        <v>13.06</v>
      </c>
      <c r="O1468">
        <v>6.54</v>
      </c>
      <c r="P1468">
        <v>534.44000000000005</v>
      </c>
      <c r="Q1468">
        <v>1097</v>
      </c>
      <c r="R1468">
        <v>3</v>
      </c>
      <c r="S1468">
        <v>70</v>
      </c>
    </row>
    <row r="1469" spans="1:19" x14ac:dyDescent="0.3">
      <c r="A1469">
        <v>1468</v>
      </c>
      <c r="B1469" t="s">
        <v>912</v>
      </c>
      <c r="C1469">
        <v>2023</v>
      </c>
      <c r="D1469" t="s">
        <v>161</v>
      </c>
      <c r="E1469">
        <v>8</v>
      </c>
      <c r="F1469" t="s">
        <v>21</v>
      </c>
      <c r="G1469" t="s">
        <v>26</v>
      </c>
      <c r="H1469">
        <v>42.23</v>
      </c>
      <c r="I1469" t="s">
        <v>47</v>
      </c>
      <c r="J1469">
        <v>39</v>
      </c>
      <c r="K1469">
        <v>317</v>
      </c>
      <c r="L1469">
        <v>87.49</v>
      </c>
      <c r="M1469">
        <v>5.33</v>
      </c>
      <c r="N1469">
        <v>9.59</v>
      </c>
      <c r="O1469">
        <v>12.41</v>
      </c>
      <c r="P1469">
        <v>506.5</v>
      </c>
      <c r="Q1469">
        <v>975</v>
      </c>
      <c r="R1469">
        <v>3</v>
      </c>
      <c r="S1469">
        <v>151</v>
      </c>
    </row>
    <row r="1470" spans="1:19" x14ac:dyDescent="0.3">
      <c r="A1470">
        <v>1469</v>
      </c>
      <c r="B1470" t="s">
        <v>909</v>
      </c>
      <c r="C1470">
        <v>2023</v>
      </c>
      <c r="D1470" t="s">
        <v>161</v>
      </c>
      <c r="E1470">
        <v>8</v>
      </c>
      <c r="F1470" t="s">
        <v>21</v>
      </c>
      <c r="G1470" t="s">
        <v>26</v>
      </c>
      <c r="H1470">
        <v>17.82</v>
      </c>
      <c r="I1470" t="s">
        <v>38</v>
      </c>
      <c r="J1470">
        <v>45</v>
      </c>
      <c r="K1470">
        <v>430</v>
      </c>
      <c r="L1470">
        <v>78.81</v>
      </c>
      <c r="M1470">
        <v>9.35</v>
      </c>
      <c r="N1470">
        <v>13.33</v>
      </c>
      <c r="O1470">
        <v>13.1</v>
      </c>
      <c r="P1470">
        <v>294.95999999999998</v>
      </c>
      <c r="Q1470">
        <v>1024</v>
      </c>
      <c r="R1470">
        <v>5</v>
      </c>
      <c r="S1470">
        <v>205</v>
      </c>
    </row>
    <row r="1471" spans="1:19" x14ac:dyDescent="0.3">
      <c r="A1471">
        <v>1470</v>
      </c>
      <c r="B1471" t="s">
        <v>907</v>
      </c>
      <c r="C1471">
        <v>2023</v>
      </c>
      <c r="D1471" t="s">
        <v>161</v>
      </c>
      <c r="E1471">
        <v>8</v>
      </c>
      <c r="F1471" t="s">
        <v>25</v>
      </c>
      <c r="G1471" t="s">
        <v>22</v>
      </c>
      <c r="H1471">
        <v>15.76</v>
      </c>
      <c r="I1471" t="s">
        <v>38</v>
      </c>
      <c r="J1471">
        <v>3</v>
      </c>
      <c r="K1471">
        <v>446</v>
      </c>
      <c r="L1471">
        <v>88.79</v>
      </c>
      <c r="M1471">
        <v>12.26</v>
      </c>
      <c r="N1471">
        <v>9.0500000000000007</v>
      </c>
      <c r="O1471">
        <v>1.0900000000000001</v>
      </c>
      <c r="P1471">
        <v>198.01</v>
      </c>
      <c r="Q1471">
        <v>925</v>
      </c>
      <c r="R1471">
        <v>3</v>
      </c>
      <c r="S1471">
        <v>237</v>
      </c>
    </row>
    <row r="1472" spans="1:19" x14ac:dyDescent="0.3">
      <c r="A1472">
        <v>1471</v>
      </c>
      <c r="B1472" t="s">
        <v>913</v>
      </c>
      <c r="C1472">
        <v>2023</v>
      </c>
      <c r="D1472" t="s">
        <v>161</v>
      </c>
      <c r="E1472">
        <v>8</v>
      </c>
      <c r="F1472" t="s">
        <v>62</v>
      </c>
      <c r="G1472" t="s">
        <v>26</v>
      </c>
      <c r="H1472">
        <v>38.36</v>
      </c>
      <c r="I1472" t="s">
        <v>47</v>
      </c>
      <c r="J1472">
        <v>9</v>
      </c>
      <c r="K1472">
        <v>331</v>
      </c>
      <c r="L1472">
        <v>93.18</v>
      </c>
      <c r="M1472">
        <v>32.56</v>
      </c>
      <c r="N1472">
        <v>16.72</v>
      </c>
      <c r="O1472">
        <v>7.53</v>
      </c>
      <c r="P1472">
        <v>279.98</v>
      </c>
      <c r="Q1472">
        <v>1005</v>
      </c>
      <c r="R1472">
        <v>3</v>
      </c>
      <c r="S1472">
        <v>215</v>
      </c>
    </row>
    <row r="1473" spans="1:19" x14ac:dyDescent="0.3">
      <c r="A1473">
        <v>1472</v>
      </c>
      <c r="B1473" t="s">
        <v>914</v>
      </c>
      <c r="C1473">
        <v>2023</v>
      </c>
      <c r="D1473" t="s">
        <v>161</v>
      </c>
      <c r="E1473">
        <v>8</v>
      </c>
      <c r="F1473" t="s">
        <v>37</v>
      </c>
      <c r="G1473" t="s">
        <v>40</v>
      </c>
      <c r="H1473">
        <v>7.34</v>
      </c>
      <c r="I1473" t="s">
        <v>32</v>
      </c>
      <c r="J1473">
        <v>18</v>
      </c>
      <c r="K1473">
        <v>480</v>
      </c>
      <c r="L1473">
        <v>75.72</v>
      </c>
      <c r="M1473">
        <v>13.04</v>
      </c>
      <c r="N1473">
        <v>8.27</v>
      </c>
      <c r="O1473">
        <v>2.71</v>
      </c>
      <c r="P1473">
        <v>542.92999999999995</v>
      </c>
      <c r="Q1473">
        <v>158</v>
      </c>
      <c r="R1473">
        <v>5</v>
      </c>
      <c r="S1473">
        <v>243</v>
      </c>
    </row>
    <row r="1474" spans="1:19" x14ac:dyDescent="0.3">
      <c r="A1474">
        <v>1473</v>
      </c>
      <c r="B1474" t="s">
        <v>915</v>
      </c>
      <c r="C1474">
        <v>2023</v>
      </c>
      <c r="D1474" t="s">
        <v>161</v>
      </c>
      <c r="E1474">
        <v>8</v>
      </c>
      <c r="F1474" t="s">
        <v>37</v>
      </c>
      <c r="G1474" t="s">
        <v>26</v>
      </c>
      <c r="H1474">
        <v>16.920000000000002</v>
      </c>
      <c r="I1474" t="s">
        <v>23</v>
      </c>
      <c r="J1474">
        <v>28</v>
      </c>
      <c r="K1474">
        <v>322</v>
      </c>
      <c r="L1474">
        <v>82.7</v>
      </c>
      <c r="M1474">
        <v>18.440000000000001</v>
      </c>
      <c r="N1474">
        <v>6.81</v>
      </c>
      <c r="O1474">
        <v>3.3</v>
      </c>
      <c r="P1474">
        <v>130.53</v>
      </c>
      <c r="Q1474">
        <v>1076</v>
      </c>
      <c r="R1474">
        <v>1</v>
      </c>
      <c r="S1474">
        <v>181</v>
      </c>
    </row>
    <row r="1475" spans="1:19" x14ac:dyDescent="0.3">
      <c r="A1475">
        <v>1474</v>
      </c>
      <c r="B1475" t="s">
        <v>916</v>
      </c>
      <c r="C1475">
        <v>2023</v>
      </c>
      <c r="D1475" t="s">
        <v>161</v>
      </c>
      <c r="E1475">
        <v>8</v>
      </c>
      <c r="F1475" t="s">
        <v>21</v>
      </c>
      <c r="G1475" t="s">
        <v>42</v>
      </c>
      <c r="H1475">
        <v>38.270000000000003</v>
      </c>
      <c r="I1475" t="s">
        <v>32</v>
      </c>
      <c r="J1475">
        <v>43</v>
      </c>
      <c r="K1475">
        <v>457</v>
      </c>
      <c r="L1475">
        <v>94.66</v>
      </c>
      <c r="M1475">
        <v>24.09</v>
      </c>
      <c r="N1475">
        <v>15.16</v>
      </c>
      <c r="O1475">
        <v>11.68</v>
      </c>
      <c r="P1475">
        <v>472</v>
      </c>
      <c r="Q1475">
        <v>236</v>
      </c>
      <c r="R1475">
        <v>2</v>
      </c>
      <c r="S1475">
        <v>65</v>
      </c>
    </row>
    <row r="1476" spans="1:19" x14ac:dyDescent="0.3">
      <c r="A1476">
        <v>1475</v>
      </c>
      <c r="B1476" t="s">
        <v>912</v>
      </c>
      <c r="C1476">
        <v>2023</v>
      </c>
      <c r="D1476" t="s">
        <v>161</v>
      </c>
      <c r="E1476">
        <v>8</v>
      </c>
      <c r="F1476" t="s">
        <v>53</v>
      </c>
      <c r="G1476" t="s">
        <v>26</v>
      </c>
      <c r="H1476">
        <v>10.83</v>
      </c>
      <c r="I1476" t="s">
        <v>27</v>
      </c>
      <c r="J1476">
        <v>34</v>
      </c>
      <c r="K1476">
        <v>476</v>
      </c>
      <c r="L1476">
        <v>90.69</v>
      </c>
      <c r="M1476">
        <v>5.23</v>
      </c>
      <c r="N1476">
        <v>8.1</v>
      </c>
      <c r="O1476">
        <v>3.16</v>
      </c>
      <c r="P1476">
        <v>459.53</v>
      </c>
      <c r="Q1476">
        <v>883</v>
      </c>
      <c r="R1476">
        <v>4</v>
      </c>
      <c r="S1476">
        <v>171</v>
      </c>
    </row>
    <row r="1477" spans="1:19" x14ac:dyDescent="0.3">
      <c r="A1477">
        <v>1476</v>
      </c>
      <c r="B1477" t="s">
        <v>917</v>
      </c>
      <c r="C1477">
        <v>2023</v>
      </c>
      <c r="D1477" t="s">
        <v>161</v>
      </c>
      <c r="E1477">
        <v>8</v>
      </c>
      <c r="F1477" t="s">
        <v>21</v>
      </c>
      <c r="G1477" t="s">
        <v>26</v>
      </c>
      <c r="H1477">
        <v>19.73</v>
      </c>
      <c r="I1477" t="s">
        <v>23</v>
      </c>
      <c r="J1477">
        <v>38</v>
      </c>
      <c r="K1477">
        <v>496</v>
      </c>
      <c r="L1477">
        <v>91.93</v>
      </c>
      <c r="M1477">
        <v>11.69</v>
      </c>
      <c r="N1477">
        <v>7.85</v>
      </c>
      <c r="O1477">
        <v>9.3699999999999992</v>
      </c>
      <c r="P1477">
        <v>570.88</v>
      </c>
      <c r="Q1477">
        <v>557</v>
      </c>
      <c r="R1477">
        <v>4</v>
      </c>
      <c r="S1477">
        <v>136</v>
      </c>
    </row>
    <row r="1478" spans="1:19" x14ac:dyDescent="0.3">
      <c r="A1478">
        <v>1477</v>
      </c>
      <c r="B1478" t="s">
        <v>918</v>
      </c>
      <c r="C1478">
        <v>2023</v>
      </c>
      <c r="D1478" t="s">
        <v>161</v>
      </c>
      <c r="E1478">
        <v>8</v>
      </c>
      <c r="F1478" t="s">
        <v>62</v>
      </c>
      <c r="G1478" t="s">
        <v>35</v>
      </c>
      <c r="H1478">
        <v>10.23</v>
      </c>
      <c r="I1478" t="s">
        <v>23</v>
      </c>
      <c r="J1478">
        <v>15</v>
      </c>
      <c r="K1478">
        <v>253</v>
      </c>
      <c r="L1478">
        <v>93.62</v>
      </c>
      <c r="M1478">
        <v>34.520000000000003</v>
      </c>
      <c r="N1478">
        <v>10.33</v>
      </c>
      <c r="O1478">
        <v>9.8800000000000008</v>
      </c>
      <c r="P1478">
        <v>251.08</v>
      </c>
      <c r="Q1478">
        <v>753</v>
      </c>
      <c r="R1478">
        <v>2</v>
      </c>
      <c r="S1478">
        <v>82</v>
      </c>
    </row>
    <row r="1479" spans="1:19" x14ac:dyDescent="0.3">
      <c r="A1479">
        <v>1478</v>
      </c>
      <c r="B1479" t="s">
        <v>914</v>
      </c>
      <c r="C1479">
        <v>2023</v>
      </c>
      <c r="D1479" t="s">
        <v>161</v>
      </c>
      <c r="E1479">
        <v>8</v>
      </c>
      <c r="F1479" t="s">
        <v>21</v>
      </c>
      <c r="G1479" t="s">
        <v>22</v>
      </c>
      <c r="H1479">
        <v>36.33</v>
      </c>
      <c r="I1479" t="s">
        <v>47</v>
      </c>
      <c r="J1479">
        <v>24</v>
      </c>
      <c r="K1479">
        <v>384</v>
      </c>
      <c r="L1479">
        <v>81.540000000000006</v>
      </c>
      <c r="M1479">
        <v>19.989999999999998</v>
      </c>
      <c r="N1479">
        <v>12.91</v>
      </c>
      <c r="O1479">
        <v>8.01</v>
      </c>
      <c r="P1479">
        <v>407.27</v>
      </c>
      <c r="Q1479">
        <v>994</v>
      </c>
      <c r="R1479">
        <v>5</v>
      </c>
      <c r="S1479">
        <v>52</v>
      </c>
    </row>
    <row r="1480" spans="1:19" x14ac:dyDescent="0.3">
      <c r="A1480">
        <v>1479</v>
      </c>
      <c r="B1480" t="s">
        <v>919</v>
      </c>
      <c r="C1480">
        <v>2023</v>
      </c>
      <c r="D1480" t="s">
        <v>161</v>
      </c>
      <c r="E1480">
        <v>8</v>
      </c>
      <c r="F1480" t="s">
        <v>29</v>
      </c>
      <c r="G1480" t="s">
        <v>35</v>
      </c>
      <c r="H1480">
        <v>43.93</v>
      </c>
      <c r="I1480" t="s">
        <v>32</v>
      </c>
      <c r="J1480">
        <v>31</v>
      </c>
      <c r="K1480">
        <v>466</v>
      </c>
      <c r="L1480">
        <v>90.89</v>
      </c>
      <c r="M1480">
        <v>23.16</v>
      </c>
      <c r="N1480">
        <v>18.73</v>
      </c>
      <c r="O1480">
        <v>11.79</v>
      </c>
      <c r="P1480">
        <v>145.81</v>
      </c>
      <c r="Q1480">
        <v>189</v>
      </c>
      <c r="R1480">
        <v>5</v>
      </c>
      <c r="S1480">
        <v>195</v>
      </c>
    </row>
    <row r="1481" spans="1:19" x14ac:dyDescent="0.3">
      <c r="A1481">
        <v>1480</v>
      </c>
      <c r="B1481" t="s">
        <v>920</v>
      </c>
      <c r="C1481">
        <v>2023</v>
      </c>
      <c r="D1481" t="s">
        <v>161</v>
      </c>
      <c r="E1481">
        <v>8</v>
      </c>
      <c r="F1481" t="s">
        <v>53</v>
      </c>
      <c r="G1481" t="s">
        <v>42</v>
      </c>
      <c r="H1481">
        <v>30.91</v>
      </c>
      <c r="I1481" t="s">
        <v>23</v>
      </c>
      <c r="J1481">
        <v>28</v>
      </c>
      <c r="K1481">
        <v>578</v>
      </c>
      <c r="L1481">
        <v>92.64</v>
      </c>
      <c r="M1481">
        <v>34.51</v>
      </c>
      <c r="N1481">
        <v>10.66</v>
      </c>
      <c r="O1481">
        <v>9.18</v>
      </c>
      <c r="P1481">
        <v>568.07000000000005</v>
      </c>
      <c r="Q1481">
        <v>118</v>
      </c>
      <c r="R1481">
        <v>1</v>
      </c>
      <c r="S1481">
        <v>193</v>
      </c>
    </row>
    <row r="1482" spans="1:19" x14ac:dyDescent="0.3">
      <c r="A1482">
        <v>1481</v>
      </c>
      <c r="B1482" t="s">
        <v>921</v>
      </c>
      <c r="C1482">
        <v>2023</v>
      </c>
      <c r="D1482" t="s">
        <v>161</v>
      </c>
      <c r="E1482">
        <v>8</v>
      </c>
      <c r="F1482" t="s">
        <v>31</v>
      </c>
      <c r="G1482" t="s">
        <v>22</v>
      </c>
      <c r="H1482">
        <v>15.68</v>
      </c>
      <c r="I1482" t="s">
        <v>27</v>
      </c>
      <c r="J1482">
        <v>18</v>
      </c>
      <c r="K1482">
        <v>531</v>
      </c>
      <c r="L1482">
        <v>84.32</v>
      </c>
      <c r="M1482">
        <v>23.14</v>
      </c>
      <c r="N1482">
        <v>4.8499999999999996</v>
      </c>
      <c r="O1482">
        <v>4.25</v>
      </c>
      <c r="P1482">
        <v>219.59</v>
      </c>
      <c r="Q1482">
        <v>858</v>
      </c>
      <c r="R1482">
        <v>1</v>
      </c>
      <c r="S1482">
        <v>189</v>
      </c>
    </row>
    <row r="1483" spans="1:19" x14ac:dyDescent="0.3">
      <c r="A1483">
        <v>1482</v>
      </c>
      <c r="B1483" t="s">
        <v>922</v>
      </c>
      <c r="C1483">
        <v>2023</v>
      </c>
      <c r="D1483" t="s">
        <v>161</v>
      </c>
      <c r="E1483">
        <v>8</v>
      </c>
      <c r="F1483" t="s">
        <v>29</v>
      </c>
      <c r="G1483" t="s">
        <v>40</v>
      </c>
      <c r="H1483">
        <v>53.06</v>
      </c>
      <c r="I1483" t="s">
        <v>32</v>
      </c>
      <c r="J1483">
        <v>35</v>
      </c>
      <c r="K1483">
        <v>179</v>
      </c>
      <c r="L1483">
        <v>93.94</v>
      </c>
      <c r="M1483">
        <v>12.18</v>
      </c>
      <c r="N1483">
        <v>6.67</v>
      </c>
      <c r="O1483">
        <v>1.18</v>
      </c>
      <c r="P1483">
        <v>115.79</v>
      </c>
      <c r="Q1483">
        <v>952</v>
      </c>
      <c r="R1483">
        <v>5</v>
      </c>
      <c r="S1483">
        <v>59</v>
      </c>
    </row>
    <row r="1484" spans="1:19" x14ac:dyDescent="0.3">
      <c r="A1484">
        <v>1483</v>
      </c>
      <c r="B1484" t="s">
        <v>923</v>
      </c>
      <c r="C1484">
        <v>2023</v>
      </c>
      <c r="D1484" t="s">
        <v>161</v>
      </c>
      <c r="E1484">
        <v>8</v>
      </c>
      <c r="F1484" t="s">
        <v>37</v>
      </c>
      <c r="G1484" t="s">
        <v>26</v>
      </c>
      <c r="H1484">
        <v>52.08</v>
      </c>
      <c r="I1484" t="s">
        <v>27</v>
      </c>
      <c r="J1484">
        <v>17</v>
      </c>
      <c r="K1484">
        <v>578</v>
      </c>
      <c r="L1484">
        <v>93.09</v>
      </c>
      <c r="M1484">
        <v>24.9</v>
      </c>
      <c r="N1484">
        <v>3.17</v>
      </c>
      <c r="O1484">
        <v>15.07</v>
      </c>
      <c r="P1484">
        <v>217.62</v>
      </c>
      <c r="Q1484">
        <v>943</v>
      </c>
      <c r="R1484">
        <v>1</v>
      </c>
      <c r="S1484">
        <v>127</v>
      </c>
    </row>
    <row r="1485" spans="1:19" x14ac:dyDescent="0.3">
      <c r="A1485">
        <v>1484</v>
      </c>
      <c r="B1485" t="s">
        <v>924</v>
      </c>
      <c r="C1485">
        <v>2023</v>
      </c>
      <c r="D1485" t="s">
        <v>161</v>
      </c>
      <c r="E1485">
        <v>8</v>
      </c>
      <c r="F1485" t="s">
        <v>25</v>
      </c>
      <c r="G1485" t="s">
        <v>26</v>
      </c>
      <c r="H1485">
        <v>6.51</v>
      </c>
      <c r="I1485" t="s">
        <v>27</v>
      </c>
      <c r="J1485">
        <v>29</v>
      </c>
      <c r="K1485">
        <v>120</v>
      </c>
      <c r="L1485">
        <v>78.44</v>
      </c>
      <c r="M1485">
        <v>22</v>
      </c>
      <c r="N1485">
        <v>19.760000000000002</v>
      </c>
      <c r="O1485">
        <v>1.49</v>
      </c>
      <c r="P1485">
        <v>280.66000000000003</v>
      </c>
      <c r="Q1485">
        <v>925</v>
      </c>
      <c r="R1485">
        <v>2</v>
      </c>
      <c r="S1485">
        <v>80</v>
      </c>
    </row>
    <row r="1486" spans="1:19" x14ac:dyDescent="0.3">
      <c r="A1486">
        <v>1485</v>
      </c>
      <c r="B1486" t="s">
        <v>909</v>
      </c>
      <c r="C1486">
        <v>2023</v>
      </c>
      <c r="D1486" t="s">
        <v>161</v>
      </c>
      <c r="E1486">
        <v>8</v>
      </c>
      <c r="F1486" t="s">
        <v>31</v>
      </c>
      <c r="G1486" t="s">
        <v>40</v>
      </c>
      <c r="H1486">
        <v>24.58</v>
      </c>
      <c r="I1486" t="s">
        <v>38</v>
      </c>
      <c r="J1486">
        <v>48</v>
      </c>
      <c r="K1486">
        <v>251</v>
      </c>
      <c r="L1486">
        <v>87.58</v>
      </c>
      <c r="M1486">
        <v>6.14</v>
      </c>
      <c r="N1486">
        <v>16.12</v>
      </c>
      <c r="O1486">
        <v>15.38</v>
      </c>
      <c r="P1486">
        <v>125.77</v>
      </c>
      <c r="Q1486">
        <v>695</v>
      </c>
      <c r="R1486">
        <v>2</v>
      </c>
      <c r="S1486">
        <v>69</v>
      </c>
    </row>
    <row r="1487" spans="1:19" x14ac:dyDescent="0.3">
      <c r="A1487">
        <v>1486</v>
      </c>
      <c r="B1487" t="s">
        <v>920</v>
      </c>
      <c r="C1487">
        <v>2023</v>
      </c>
      <c r="D1487" t="s">
        <v>161</v>
      </c>
      <c r="E1487">
        <v>8</v>
      </c>
      <c r="F1487" t="s">
        <v>31</v>
      </c>
      <c r="G1487" t="s">
        <v>40</v>
      </c>
      <c r="H1487">
        <v>39.979999999999997</v>
      </c>
      <c r="I1487" t="s">
        <v>27</v>
      </c>
      <c r="J1487">
        <v>4</v>
      </c>
      <c r="K1487">
        <v>573</v>
      </c>
      <c r="L1487">
        <v>88.21</v>
      </c>
      <c r="M1487">
        <v>5.91</v>
      </c>
      <c r="N1487">
        <v>7.14</v>
      </c>
      <c r="O1487">
        <v>5</v>
      </c>
      <c r="P1487">
        <v>508</v>
      </c>
      <c r="Q1487">
        <v>849</v>
      </c>
      <c r="R1487">
        <v>1</v>
      </c>
      <c r="S1487">
        <v>50</v>
      </c>
    </row>
    <row r="1488" spans="1:19" x14ac:dyDescent="0.3">
      <c r="A1488">
        <v>1487</v>
      </c>
      <c r="B1488" t="s">
        <v>925</v>
      </c>
      <c r="C1488">
        <v>2023</v>
      </c>
      <c r="D1488" t="s">
        <v>161</v>
      </c>
      <c r="E1488">
        <v>8</v>
      </c>
      <c r="F1488" t="s">
        <v>53</v>
      </c>
      <c r="G1488" t="s">
        <v>22</v>
      </c>
      <c r="H1488">
        <v>37.130000000000003</v>
      </c>
      <c r="I1488" t="s">
        <v>27</v>
      </c>
      <c r="J1488">
        <v>41</v>
      </c>
      <c r="K1488">
        <v>392</v>
      </c>
      <c r="L1488">
        <v>79.63</v>
      </c>
      <c r="M1488">
        <v>26.94</v>
      </c>
      <c r="N1488">
        <v>5.17</v>
      </c>
      <c r="O1488">
        <v>11.01</v>
      </c>
      <c r="P1488">
        <v>371.59</v>
      </c>
      <c r="Q1488">
        <v>117</v>
      </c>
      <c r="R1488">
        <v>5</v>
      </c>
      <c r="S1488">
        <v>150</v>
      </c>
    </row>
    <row r="1489" spans="1:19" x14ac:dyDescent="0.3">
      <c r="A1489">
        <v>1488</v>
      </c>
      <c r="B1489" t="s">
        <v>917</v>
      </c>
      <c r="C1489">
        <v>2023</v>
      </c>
      <c r="D1489" t="s">
        <v>161</v>
      </c>
      <c r="E1489">
        <v>8</v>
      </c>
      <c r="F1489" t="s">
        <v>31</v>
      </c>
      <c r="G1489" t="s">
        <v>35</v>
      </c>
      <c r="H1489">
        <v>50.1</v>
      </c>
      <c r="I1489" t="s">
        <v>47</v>
      </c>
      <c r="J1489">
        <v>14</v>
      </c>
      <c r="K1489">
        <v>178</v>
      </c>
      <c r="L1489">
        <v>80.680000000000007</v>
      </c>
      <c r="M1489">
        <v>21.72</v>
      </c>
      <c r="N1489">
        <v>2.04</v>
      </c>
      <c r="O1489">
        <v>15.57</v>
      </c>
      <c r="P1489">
        <v>355.82</v>
      </c>
      <c r="Q1489">
        <v>968</v>
      </c>
      <c r="R1489">
        <v>3</v>
      </c>
      <c r="S1489">
        <v>177</v>
      </c>
    </row>
    <row r="1490" spans="1:19" x14ac:dyDescent="0.3">
      <c r="A1490">
        <v>1489</v>
      </c>
      <c r="B1490" t="s">
        <v>908</v>
      </c>
      <c r="C1490">
        <v>2023</v>
      </c>
      <c r="D1490" t="s">
        <v>161</v>
      </c>
      <c r="E1490">
        <v>8</v>
      </c>
      <c r="F1490" t="s">
        <v>25</v>
      </c>
      <c r="G1490" t="s">
        <v>35</v>
      </c>
      <c r="H1490">
        <v>29.11</v>
      </c>
      <c r="I1490" t="s">
        <v>32</v>
      </c>
      <c r="J1490">
        <v>20</v>
      </c>
      <c r="K1490">
        <v>132</v>
      </c>
      <c r="L1490">
        <v>83.24</v>
      </c>
      <c r="M1490">
        <v>9.56</v>
      </c>
      <c r="N1490">
        <v>13.32</v>
      </c>
      <c r="O1490">
        <v>1.88</v>
      </c>
      <c r="P1490">
        <v>294.01</v>
      </c>
      <c r="Q1490">
        <v>1042</v>
      </c>
      <c r="R1490">
        <v>4</v>
      </c>
      <c r="S1490">
        <v>147</v>
      </c>
    </row>
    <row r="1491" spans="1:19" x14ac:dyDescent="0.3">
      <c r="A1491">
        <v>1490</v>
      </c>
      <c r="B1491" t="s">
        <v>924</v>
      </c>
      <c r="C1491">
        <v>2023</v>
      </c>
      <c r="D1491" t="s">
        <v>161</v>
      </c>
      <c r="E1491">
        <v>8</v>
      </c>
      <c r="F1491" t="s">
        <v>21</v>
      </c>
      <c r="G1491" t="s">
        <v>40</v>
      </c>
      <c r="H1491">
        <v>24.3</v>
      </c>
      <c r="I1491" t="s">
        <v>23</v>
      </c>
      <c r="J1491">
        <v>1</v>
      </c>
      <c r="K1491">
        <v>263</v>
      </c>
      <c r="L1491">
        <v>84.98</v>
      </c>
      <c r="M1491">
        <v>15.81</v>
      </c>
      <c r="N1491">
        <v>9.17</v>
      </c>
      <c r="O1491">
        <v>1.1599999999999999</v>
      </c>
      <c r="P1491">
        <v>224.04</v>
      </c>
      <c r="Q1491">
        <v>806</v>
      </c>
      <c r="R1491">
        <v>3</v>
      </c>
      <c r="S1491">
        <v>109</v>
      </c>
    </row>
    <row r="1492" spans="1:19" x14ac:dyDescent="0.3">
      <c r="A1492">
        <v>1491</v>
      </c>
      <c r="B1492" t="s">
        <v>908</v>
      </c>
      <c r="C1492">
        <v>2023</v>
      </c>
      <c r="D1492" t="s">
        <v>161</v>
      </c>
      <c r="E1492">
        <v>8</v>
      </c>
      <c r="F1492" t="s">
        <v>29</v>
      </c>
      <c r="G1492" t="s">
        <v>40</v>
      </c>
      <c r="H1492">
        <v>51.27</v>
      </c>
      <c r="I1492" t="s">
        <v>47</v>
      </c>
      <c r="J1492">
        <v>50</v>
      </c>
      <c r="K1492">
        <v>241</v>
      </c>
      <c r="L1492">
        <v>75.430000000000007</v>
      </c>
      <c r="M1492">
        <v>19.05</v>
      </c>
      <c r="N1492">
        <v>4.66</v>
      </c>
      <c r="O1492">
        <v>14.14</v>
      </c>
      <c r="P1492">
        <v>530.84</v>
      </c>
      <c r="Q1492">
        <v>244</v>
      </c>
      <c r="R1492">
        <v>2</v>
      </c>
      <c r="S1492">
        <v>60</v>
      </c>
    </row>
    <row r="1493" spans="1:19" x14ac:dyDescent="0.3">
      <c r="A1493">
        <v>1492</v>
      </c>
      <c r="B1493" t="s">
        <v>919</v>
      </c>
      <c r="C1493">
        <v>2023</v>
      </c>
      <c r="D1493" t="s">
        <v>161</v>
      </c>
      <c r="E1493">
        <v>8</v>
      </c>
      <c r="F1493" t="s">
        <v>31</v>
      </c>
      <c r="G1493" t="s">
        <v>26</v>
      </c>
      <c r="H1493">
        <v>32.4</v>
      </c>
      <c r="I1493" t="s">
        <v>32</v>
      </c>
      <c r="J1493">
        <v>40</v>
      </c>
      <c r="K1493">
        <v>181</v>
      </c>
      <c r="L1493">
        <v>83.89</v>
      </c>
      <c r="M1493">
        <v>32.01</v>
      </c>
      <c r="N1493">
        <v>10.25</v>
      </c>
      <c r="O1493">
        <v>10.25</v>
      </c>
      <c r="P1493">
        <v>121.97</v>
      </c>
      <c r="Q1493">
        <v>524</v>
      </c>
      <c r="R1493">
        <v>2</v>
      </c>
      <c r="S1493">
        <v>50</v>
      </c>
    </row>
    <row r="1494" spans="1:19" x14ac:dyDescent="0.3">
      <c r="A1494">
        <v>1493</v>
      </c>
      <c r="B1494" t="s">
        <v>926</v>
      </c>
      <c r="C1494">
        <v>2023</v>
      </c>
      <c r="D1494" t="s">
        <v>161</v>
      </c>
      <c r="E1494">
        <v>8</v>
      </c>
      <c r="F1494" t="s">
        <v>62</v>
      </c>
      <c r="G1494" t="s">
        <v>40</v>
      </c>
      <c r="H1494">
        <v>44.9</v>
      </c>
      <c r="I1494" t="s">
        <v>27</v>
      </c>
      <c r="J1494">
        <v>18</v>
      </c>
      <c r="K1494">
        <v>319</v>
      </c>
      <c r="L1494">
        <v>89.52</v>
      </c>
      <c r="M1494">
        <v>31.74</v>
      </c>
      <c r="N1494">
        <v>11.84</v>
      </c>
      <c r="O1494">
        <v>14.18</v>
      </c>
      <c r="P1494">
        <v>423.46</v>
      </c>
      <c r="Q1494">
        <v>1011</v>
      </c>
      <c r="R1494">
        <v>2</v>
      </c>
      <c r="S1494">
        <v>88</v>
      </c>
    </row>
    <row r="1495" spans="1:19" x14ac:dyDescent="0.3">
      <c r="A1495">
        <v>1494</v>
      </c>
      <c r="B1495" t="s">
        <v>908</v>
      </c>
      <c r="C1495">
        <v>2023</v>
      </c>
      <c r="D1495" t="s">
        <v>161</v>
      </c>
      <c r="E1495">
        <v>8</v>
      </c>
      <c r="F1495" t="s">
        <v>31</v>
      </c>
      <c r="G1495" t="s">
        <v>35</v>
      </c>
      <c r="H1495">
        <v>12.63</v>
      </c>
      <c r="I1495" t="s">
        <v>38</v>
      </c>
      <c r="J1495">
        <v>7</v>
      </c>
      <c r="K1495">
        <v>565</v>
      </c>
      <c r="L1495">
        <v>84.54</v>
      </c>
      <c r="M1495">
        <v>21.86</v>
      </c>
      <c r="N1495">
        <v>9.61</v>
      </c>
      <c r="O1495">
        <v>8.25</v>
      </c>
      <c r="P1495">
        <v>536.65</v>
      </c>
      <c r="Q1495">
        <v>417</v>
      </c>
      <c r="R1495">
        <v>2</v>
      </c>
      <c r="S1495">
        <v>134</v>
      </c>
    </row>
    <row r="1496" spans="1:19" x14ac:dyDescent="0.3">
      <c r="A1496">
        <v>1495</v>
      </c>
      <c r="B1496" t="s">
        <v>927</v>
      </c>
      <c r="C1496">
        <v>2023</v>
      </c>
      <c r="D1496" t="s">
        <v>161</v>
      </c>
      <c r="E1496">
        <v>8</v>
      </c>
      <c r="F1496" t="s">
        <v>25</v>
      </c>
      <c r="G1496" t="s">
        <v>26</v>
      </c>
      <c r="H1496">
        <v>17.03</v>
      </c>
      <c r="I1496" t="s">
        <v>23</v>
      </c>
      <c r="J1496">
        <v>40</v>
      </c>
      <c r="K1496">
        <v>127</v>
      </c>
      <c r="L1496">
        <v>82.85</v>
      </c>
      <c r="M1496">
        <v>30.73</v>
      </c>
      <c r="N1496">
        <v>6.51</v>
      </c>
      <c r="O1496">
        <v>1.81</v>
      </c>
      <c r="P1496">
        <v>457.72</v>
      </c>
      <c r="Q1496">
        <v>1092</v>
      </c>
      <c r="R1496">
        <v>3</v>
      </c>
      <c r="S1496">
        <v>189</v>
      </c>
    </row>
    <row r="1497" spans="1:19" x14ac:dyDescent="0.3">
      <c r="A1497">
        <v>1496</v>
      </c>
      <c r="B1497" t="s">
        <v>915</v>
      </c>
      <c r="C1497">
        <v>2023</v>
      </c>
      <c r="D1497" t="s">
        <v>161</v>
      </c>
      <c r="E1497">
        <v>8</v>
      </c>
      <c r="F1497" t="s">
        <v>31</v>
      </c>
      <c r="G1497" t="s">
        <v>40</v>
      </c>
      <c r="H1497">
        <v>19.62</v>
      </c>
      <c r="I1497" t="s">
        <v>47</v>
      </c>
      <c r="J1497">
        <v>38</v>
      </c>
      <c r="K1497">
        <v>548</v>
      </c>
      <c r="L1497">
        <v>90.4</v>
      </c>
      <c r="M1497">
        <v>22.45</v>
      </c>
      <c r="N1497">
        <v>4.01</v>
      </c>
      <c r="O1497">
        <v>10.25</v>
      </c>
      <c r="P1497">
        <v>580.23</v>
      </c>
      <c r="Q1497">
        <v>626</v>
      </c>
      <c r="R1497">
        <v>5</v>
      </c>
      <c r="S1497">
        <v>83</v>
      </c>
    </row>
    <row r="1498" spans="1:19" x14ac:dyDescent="0.3">
      <c r="A1498">
        <v>1497</v>
      </c>
      <c r="B1498" t="s">
        <v>928</v>
      </c>
      <c r="C1498">
        <v>2023</v>
      </c>
      <c r="D1498" t="s">
        <v>161</v>
      </c>
      <c r="E1498">
        <v>9</v>
      </c>
      <c r="F1498" t="s">
        <v>31</v>
      </c>
      <c r="G1498" t="s">
        <v>22</v>
      </c>
      <c r="H1498">
        <v>45.4</v>
      </c>
      <c r="I1498" t="s">
        <v>47</v>
      </c>
      <c r="J1498">
        <v>34</v>
      </c>
      <c r="K1498">
        <v>215</v>
      </c>
      <c r="L1498">
        <v>80.11</v>
      </c>
      <c r="M1498">
        <v>27.19</v>
      </c>
      <c r="N1498">
        <v>16.72</v>
      </c>
      <c r="O1498">
        <v>8.8000000000000007</v>
      </c>
      <c r="P1498">
        <v>201.19</v>
      </c>
      <c r="Q1498">
        <v>796</v>
      </c>
      <c r="R1498">
        <v>1</v>
      </c>
      <c r="S1498">
        <v>158</v>
      </c>
    </row>
    <row r="1499" spans="1:19" x14ac:dyDescent="0.3">
      <c r="A1499">
        <v>1498</v>
      </c>
      <c r="B1499" t="s">
        <v>929</v>
      </c>
      <c r="C1499">
        <v>2023</v>
      </c>
      <c r="D1499" t="s">
        <v>161</v>
      </c>
      <c r="E1499">
        <v>9</v>
      </c>
      <c r="F1499" t="s">
        <v>53</v>
      </c>
      <c r="G1499" t="s">
        <v>35</v>
      </c>
      <c r="H1499">
        <v>32.32</v>
      </c>
      <c r="I1499" t="s">
        <v>47</v>
      </c>
      <c r="J1499">
        <v>20</v>
      </c>
      <c r="K1499">
        <v>501</v>
      </c>
      <c r="L1499">
        <v>85.92</v>
      </c>
      <c r="M1499">
        <v>28.97</v>
      </c>
      <c r="N1499">
        <v>3.94</v>
      </c>
      <c r="O1499">
        <v>3.12</v>
      </c>
      <c r="P1499">
        <v>569.94000000000005</v>
      </c>
      <c r="Q1499">
        <v>317</v>
      </c>
      <c r="R1499">
        <v>1</v>
      </c>
      <c r="S1499">
        <v>83</v>
      </c>
    </row>
    <row r="1500" spans="1:19" x14ac:dyDescent="0.3">
      <c r="A1500">
        <v>1499</v>
      </c>
      <c r="B1500" t="s">
        <v>930</v>
      </c>
      <c r="C1500">
        <v>2023</v>
      </c>
      <c r="D1500" t="s">
        <v>161</v>
      </c>
      <c r="E1500">
        <v>9</v>
      </c>
      <c r="F1500" t="s">
        <v>31</v>
      </c>
      <c r="G1500" t="s">
        <v>35</v>
      </c>
      <c r="H1500">
        <v>53.97</v>
      </c>
      <c r="I1500" t="s">
        <v>32</v>
      </c>
      <c r="J1500">
        <v>3</v>
      </c>
      <c r="K1500">
        <v>248</v>
      </c>
      <c r="L1500">
        <v>76.239999999999995</v>
      </c>
      <c r="M1500">
        <v>23.38</v>
      </c>
      <c r="N1500">
        <v>18.47</v>
      </c>
      <c r="O1500">
        <v>13.52</v>
      </c>
      <c r="P1500">
        <v>223.4</v>
      </c>
      <c r="Q1500">
        <v>722</v>
      </c>
      <c r="R1500">
        <v>1</v>
      </c>
      <c r="S1500">
        <v>229</v>
      </c>
    </row>
    <row r="1501" spans="1:19" x14ac:dyDescent="0.3">
      <c r="A1501">
        <v>1500</v>
      </c>
      <c r="B1501" t="s">
        <v>931</v>
      </c>
      <c r="C1501">
        <v>2023</v>
      </c>
      <c r="D1501" t="s">
        <v>161</v>
      </c>
      <c r="E1501">
        <v>9</v>
      </c>
      <c r="F1501" t="s">
        <v>53</v>
      </c>
      <c r="G1501" t="s">
        <v>42</v>
      </c>
      <c r="H1501">
        <v>48.72</v>
      </c>
      <c r="I1501" t="s">
        <v>38</v>
      </c>
      <c r="J1501">
        <v>47</v>
      </c>
      <c r="K1501">
        <v>354</v>
      </c>
      <c r="L1501">
        <v>94.09</v>
      </c>
      <c r="M1501">
        <v>34.520000000000003</v>
      </c>
      <c r="N1501">
        <v>9.31</v>
      </c>
      <c r="O1501">
        <v>15.33</v>
      </c>
      <c r="P1501">
        <v>562.51</v>
      </c>
      <c r="Q1501">
        <v>1053</v>
      </c>
      <c r="R1501">
        <v>5</v>
      </c>
      <c r="S1501">
        <v>167</v>
      </c>
    </row>
    <row r="1502" spans="1:19" x14ac:dyDescent="0.3">
      <c r="A1502">
        <v>1501</v>
      </c>
      <c r="B1502" t="s">
        <v>932</v>
      </c>
      <c r="C1502">
        <v>2023</v>
      </c>
      <c r="D1502" t="s">
        <v>161</v>
      </c>
      <c r="E1502">
        <v>9</v>
      </c>
      <c r="F1502" t="s">
        <v>53</v>
      </c>
      <c r="G1502" t="s">
        <v>35</v>
      </c>
      <c r="H1502">
        <v>13.8</v>
      </c>
      <c r="I1502" t="s">
        <v>27</v>
      </c>
      <c r="J1502">
        <v>30</v>
      </c>
      <c r="K1502">
        <v>483</v>
      </c>
      <c r="L1502">
        <v>84.35</v>
      </c>
      <c r="M1502">
        <v>28.48</v>
      </c>
      <c r="N1502">
        <v>17.739999999999998</v>
      </c>
      <c r="O1502">
        <v>4.6900000000000004</v>
      </c>
      <c r="P1502">
        <v>294.85000000000002</v>
      </c>
      <c r="Q1502">
        <v>877</v>
      </c>
      <c r="R1502">
        <v>4</v>
      </c>
      <c r="S1502">
        <v>134</v>
      </c>
    </row>
    <row r="1503" spans="1:19" x14ac:dyDescent="0.3">
      <c r="A1503">
        <v>1502</v>
      </c>
      <c r="B1503" t="s">
        <v>929</v>
      </c>
      <c r="C1503">
        <v>2023</v>
      </c>
      <c r="D1503" t="s">
        <v>161</v>
      </c>
      <c r="E1503">
        <v>9</v>
      </c>
      <c r="F1503" t="s">
        <v>53</v>
      </c>
      <c r="G1503" t="s">
        <v>22</v>
      </c>
      <c r="H1503">
        <v>46.74</v>
      </c>
      <c r="I1503" t="s">
        <v>47</v>
      </c>
      <c r="J1503">
        <v>43</v>
      </c>
      <c r="K1503">
        <v>308</v>
      </c>
      <c r="L1503">
        <v>94.73</v>
      </c>
      <c r="M1503">
        <v>18.03</v>
      </c>
      <c r="N1503">
        <v>9.81</v>
      </c>
      <c r="O1503">
        <v>9.9600000000000009</v>
      </c>
      <c r="P1503">
        <v>366.58</v>
      </c>
      <c r="Q1503">
        <v>471</v>
      </c>
      <c r="R1503">
        <v>5</v>
      </c>
      <c r="S1503">
        <v>200</v>
      </c>
    </row>
    <row r="1504" spans="1:19" x14ac:dyDescent="0.3">
      <c r="A1504">
        <v>1503</v>
      </c>
      <c r="B1504" t="s">
        <v>933</v>
      </c>
      <c r="C1504">
        <v>2023</v>
      </c>
      <c r="D1504" t="s">
        <v>161</v>
      </c>
      <c r="E1504">
        <v>9</v>
      </c>
      <c r="F1504" t="s">
        <v>29</v>
      </c>
      <c r="G1504" t="s">
        <v>35</v>
      </c>
      <c r="H1504">
        <v>24.58</v>
      </c>
      <c r="I1504" t="s">
        <v>32</v>
      </c>
      <c r="J1504">
        <v>5</v>
      </c>
      <c r="K1504">
        <v>176</v>
      </c>
      <c r="L1504">
        <v>90.76</v>
      </c>
      <c r="M1504">
        <v>5.81</v>
      </c>
      <c r="N1504">
        <v>8.93</v>
      </c>
      <c r="O1504">
        <v>2.79</v>
      </c>
      <c r="P1504">
        <v>366.97</v>
      </c>
      <c r="Q1504">
        <v>354</v>
      </c>
      <c r="R1504">
        <v>2</v>
      </c>
      <c r="S1504">
        <v>61</v>
      </c>
    </row>
    <row r="1505" spans="1:19" x14ac:dyDescent="0.3">
      <c r="A1505">
        <v>1504</v>
      </c>
      <c r="B1505" t="s">
        <v>934</v>
      </c>
      <c r="C1505">
        <v>2023</v>
      </c>
      <c r="D1505" t="s">
        <v>161</v>
      </c>
      <c r="E1505">
        <v>9</v>
      </c>
      <c r="F1505" t="s">
        <v>29</v>
      </c>
      <c r="G1505" t="s">
        <v>42</v>
      </c>
      <c r="H1505">
        <v>42.51</v>
      </c>
      <c r="I1505" t="s">
        <v>38</v>
      </c>
      <c r="J1505">
        <v>50</v>
      </c>
      <c r="K1505">
        <v>394</v>
      </c>
      <c r="L1505">
        <v>86.5</v>
      </c>
      <c r="M1505">
        <v>12.78</v>
      </c>
      <c r="N1505">
        <v>10.37</v>
      </c>
      <c r="O1505">
        <v>11.6</v>
      </c>
      <c r="P1505">
        <v>184.83</v>
      </c>
      <c r="Q1505">
        <v>998</v>
      </c>
      <c r="R1505">
        <v>2</v>
      </c>
      <c r="S1505">
        <v>66</v>
      </c>
    </row>
    <row r="1506" spans="1:19" x14ac:dyDescent="0.3">
      <c r="A1506">
        <v>1505</v>
      </c>
      <c r="B1506" t="s">
        <v>935</v>
      </c>
      <c r="C1506">
        <v>2023</v>
      </c>
      <c r="D1506" t="s">
        <v>161</v>
      </c>
      <c r="E1506">
        <v>9</v>
      </c>
      <c r="F1506" t="s">
        <v>25</v>
      </c>
      <c r="G1506" t="s">
        <v>35</v>
      </c>
      <c r="H1506">
        <v>54.37</v>
      </c>
      <c r="I1506" t="s">
        <v>27</v>
      </c>
      <c r="J1506">
        <v>2</v>
      </c>
      <c r="K1506">
        <v>120</v>
      </c>
      <c r="L1506">
        <v>91.71</v>
      </c>
      <c r="M1506">
        <v>22.08</v>
      </c>
      <c r="N1506">
        <v>21.35</v>
      </c>
      <c r="O1506">
        <v>8.66</v>
      </c>
      <c r="P1506">
        <v>137.11000000000001</v>
      </c>
      <c r="Q1506">
        <v>1064</v>
      </c>
      <c r="R1506">
        <v>3</v>
      </c>
      <c r="S1506">
        <v>50</v>
      </c>
    </row>
    <row r="1507" spans="1:19" x14ac:dyDescent="0.3">
      <c r="A1507">
        <v>1506</v>
      </c>
      <c r="B1507" t="s">
        <v>936</v>
      </c>
      <c r="C1507">
        <v>2023</v>
      </c>
      <c r="D1507" t="s">
        <v>161</v>
      </c>
      <c r="E1507">
        <v>9</v>
      </c>
      <c r="F1507" t="s">
        <v>53</v>
      </c>
      <c r="G1507" t="s">
        <v>26</v>
      </c>
      <c r="H1507">
        <v>23.76</v>
      </c>
      <c r="I1507" t="s">
        <v>32</v>
      </c>
      <c r="J1507">
        <v>18</v>
      </c>
      <c r="K1507">
        <v>574</v>
      </c>
      <c r="L1507">
        <v>82.28</v>
      </c>
      <c r="M1507">
        <v>10.09</v>
      </c>
      <c r="N1507">
        <v>13.72</v>
      </c>
      <c r="O1507">
        <v>9.1</v>
      </c>
      <c r="P1507">
        <v>469.07</v>
      </c>
      <c r="Q1507">
        <v>414</v>
      </c>
      <c r="R1507">
        <v>3</v>
      </c>
      <c r="S1507">
        <v>140</v>
      </c>
    </row>
    <row r="1508" spans="1:19" x14ac:dyDescent="0.3">
      <c r="A1508">
        <v>1507</v>
      </c>
      <c r="B1508" t="s">
        <v>931</v>
      </c>
      <c r="C1508">
        <v>2023</v>
      </c>
      <c r="D1508" t="s">
        <v>161</v>
      </c>
      <c r="E1508">
        <v>9</v>
      </c>
      <c r="F1508" t="s">
        <v>25</v>
      </c>
      <c r="G1508" t="s">
        <v>35</v>
      </c>
      <c r="H1508">
        <v>35.99</v>
      </c>
      <c r="I1508" t="s">
        <v>38</v>
      </c>
      <c r="J1508">
        <v>27</v>
      </c>
      <c r="K1508">
        <v>331</v>
      </c>
      <c r="L1508">
        <v>83.02</v>
      </c>
      <c r="M1508">
        <v>29.76</v>
      </c>
      <c r="N1508">
        <v>9.24</v>
      </c>
      <c r="O1508">
        <v>5.27</v>
      </c>
      <c r="P1508">
        <v>347.67</v>
      </c>
      <c r="Q1508">
        <v>538</v>
      </c>
      <c r="R1508">
        <v>3</v>
      </c>
      <c r="S1508">
        <v>135</v>
      </c>
    </row>
    <row r="1509" spans="1:19" x14ac:dyDescent="0.3">
      <c r="A1509">
        <v>1508</v>
      </c>
      <c r="B1509" t="s">
        <v>929</v>
      </c>
      <c r="C1509">
        <v>2023</v>
      </c>
      <c r="D1509" t="s">
        <v>161</v>
      </c>
      <c r="E1509">
        <v>9</v>
      </c>
      <c r="F1509" t="s">
        <v>62</v>
      </c>
      <c r="G1509" t="s">
        <v>42</v>
      </c>
      <c r="H1509">
        <v>14.71</v>
      </c>
      <c r="I1509" t="s">
        <v>47</v>
      </c>
      <c r="J1509">
        <v>22</v>
      </c>
      <c r="K1509">
        <v>328</v>
      </c>
      <c r="L1509">
        <v>92.24</v>
      </c>
      <c r="M1509">
        <v>28.91</v>
      </c>
      <c r="N1509">
        <v>15.19</v>
      </c>
      <c r="O1509">
        <v>4.9800000000000004</v>
      </c>
      <c r="P1509">
        <v>408.12</v>
      </c>
      <c r="Q1509">
        <v>1092</v>
      </c>
      <c r="R1509">
        <v>3</v>
      </c>
      <c r="S1509">
        <v>229</v>
      </c>
    </row>
    <row r="1510" spans="1:19" x14ac:dyDescent="0.3">
      <c r="A1510">
        <v>1509</v>
      </c>
      <c r="B1510" t="s">
        <v>930</v>
      </c>
      <c r="C1510">
        <v>2023</v>
      </c>
      <c r="D1510" t="s">
        <v>161</v>
      </c>
      <c r="E1510">
        <v>9</v>
      </c>
      <c r="F1510" t="s">
        <v>62</v>
      </c>
      <c r="G1510" t="s">
        <v>22</v>
      </c>
      <c r="H1510">
        <v>20.37</v>
      </c>
      <c r="I1510" t="s">
        <v>47</v>
      </c>
      <c r="J1510">
        <v>32</v>
      </c>
      <c r="K1510">
        <v>368</v>
      </c>
      <c r="L1510">
        <v>88.45</v>
      </c>
      <c r="M1510">
        <v>13.27</v>
      </c>
      <c r="N1510">
        <v>16.28</v>
      </c>
      <c r="O1510">
        <v>9.76</v>
      </c>
      <c r="P1510">
        <v>202.72</v>
      </c>
      <c r="Q1510">
        <v>985</v>
      </c>
      <c r="R1510">
        <v>1</v>
      </c>
      <c r="S1510">
        <v>114</v>
      </c>
    </row>
    <row r="1511" spans="1:19" x14ac:dyDescent="0.3">
      <c r="A1511">
        <v>1510</v>
      </c>
      <c r="B1511" t="s">
        <v>937</v>
      </c>
      <c r="C1511">
        <v>2023</v>
      </c>
      <c r="D1511" t="s">
        <v>161</v>
      </c>
      <c r="E1511">
        <v>9</v>
      </c>
      <c r="F1511" t="s">
        <v>62</v>
      </c>
      <c r="G1511" t="s">
        <v>35</v>
      </c>
      <c r="H1511">
        <v>38.950000000000003</v>
      </c>
      <c r="I1511" t="s">
        <v>23</v>
      </c>
      <c r="J1511">
        <v>41</v>
      </c>
      <c r="K1511">
        <v>427</v>
      </c>
      <c r="L1511">
        <v>77.16</v>
      </c>
      <c r="M1511">
        <v>27.75</v>
      </c>
      <c r="N1511">
        <v>9.17</v>
      </c>
      <c r="O1511">
        <v>12.89</v>
      </c>
      <c r="P1511">
        <v>112.47</v>
      </c>
      <c r="Q1511">
        <v>338</v>
      </c>
      <c r="R1511">
        <v>2</v>
      </c>
      <c r="S1511">
        <v>173</v>
      </c>
    </row>
    <row r="1512" spans="1:19" x14ac:dyDescent="0.3">
      <c r="A1512">
        <v>1511</v>
      </c>
      <c r="B1512" t="s">
        <v>936</v>
      </c>
      <c r="C1512">
        <v>2023</v>
      </c>
      <c r="D1512" t="s">
        <v>161</v>
      </c>
      <c r="E1512">
        <v>9</v>
      </c>
      <c r="F1512" t="s">
        <v>29</v>
      </c>
      <c r="G1512" t="s">
        <v>42</v>
      </c>
      <c r="H1512">
        <v>5.92</v>
      </c>
      <c r="I1512" t="s">
        <v>27</v>
      </c>
      <c r="J1512">
        <v>12</v>
      </c>
      <c r="K1512">
        <v>312</v>
      </c>
      <c r="L1512">
        <v>75.06</v>
      </c>
      <c r="M1512">
        <v>8.65</v>
      </c>
      <c r="N1512">
        <v>16.29</v>
      </c>
      <c r="O1512">
        <v>13.81</v>
      </c>
      <c r="P1512">
        <v>417.32</v>
      </c>
      <c r="Q1512">
        <v>286</v>
      </c>
      <c r="R1512">
        <v>5</v>
      </c>
      <c r="S1512">
        <v>145</v>
      </c>
    </row>
    <row r="1513" spans="1:19" x14ac:dyDescent="0.3">
      <c r="A1513">
        <v>1512</v>
      </c>
      <c r="B1513" t="s">
        <v>938</v>
      </c>
      <c r="C1513">
        <v>2023</v>
      </c>
      <c r="D1513" t="s">
        <v>161</v>
      </c>
      <c r="E1513">
        <v>9</v>
      </c>
      <c r="F1513" t="s">
        <v>21</v>
      </c>
      <c r="G1513" t="s">
        <v>42</v>
      </c>
      <c r="H1513">
        <v>30.29</v>
      </c>
      <c r="I1513" t="s">
        <v>47</v>
      </c>
      <c r="J1513">
        <v>11</v>
      </c>
      <c r="K1513">
        <v>264</v>
      </c>
      <c r="L1513">
        <v>80.290000000000006</v>
      </c>
      <c r="M1513">
        <v>13.94</v>
      </c>
      <c r="N1513">
        <v>9.43</v>
      </c>
      <c r="O1513">
        <v>9.36</v>
      </c>
      <c r="P1513">
        <v>454.49</v>
      </c>
      <c r="Q1513">
        <v>873</v>
      </c>
      <c r="R1513">
        <v>4</v>
      </c>
      <c r="S1513">
        <v>148</v>
      </c>
    </row>
    <row r="1514" spans="1:19" x14ac:dyDescent="0.3">
      <c r="A1514">
        <v>1513</v>
      </c>
      <c r="B1514" t="s">
        <v>938</v>
      </c>
      <c r="C1514">
        <v>2023</v>
      </c>
      <c r="D1514" t="s">
        <v>161</v>
      </c>
      <c r="E1514">
        <v>9</v>
      </c>
      <c r="F1514" t="s">
        <v>37</v>
      </c>
      <c r="G1514" t="s">
        <v>26</v>
      </c>
      <c r="H1514">
        <v>24.49</v>
      </c>
      <c r="I1514" t="s">
        <v>32</v>
      </c>
      <c r="J1514">
        <v>20</v>
      </c>
      <c r="K1514">
        <v>523</v>
      </c>
      <c r="L1514">
        <v>79.08</v>
      </c>
      <c r="M1514">
        <v>25.83</v>
      </c>
      <c r="N1514">
        <v>6.72</v>
      </c>
      <c r="O1514">
        <v>8.84</v>
      </c>
      <c r="P1514">
        <v>311.67</v>
      </c>
      <c r="Q1514">
        <v>267</v>
      </c>
      <c r="R1514">
        <v>4</v>
      </c>
      <c r="S1514">
        <v>77</v>
      </c>
    </row>
    <row r="1515" spans="1:19" x14ac:dyDescent="0.3">
      <c r="A1515">
        <v>1514</v>
      </c>
      <c r="B1515" t="s">
        <v>939</v>
      </c>
      <c r="C1515">
        <v>2023</v>
      </c>
      <c r="D1515" t="s">
        <v>161</v>
      </c>
      <c r="E1515">
        <v>9</v>
      </c>
      <c r="F1515" t="s">
        <v>62</v>
      </c>
      <c r="G1515" t="s">
        <v>42</v>
      </c>
      <c r="H1515">
        <v>41.54</v>
      </c>
      <c r="I1515" t="s">
        <v>38</v>
      </c>
      <c r="J1515">
        <v>20</v>
      </c>
      <c r="K1515">
        <v>155</v>
      </c>
      <c r="L1515">
        <v>76.599999999999994</v>
      </c>
      <c r="M1515">
        <v>19.600000000000001</v>
      </c>
      <c r="N1515">
        <v>15.14</v>
      </c>
      <c r="O1515">
        <v>1.27</v>
      </c>
      <c r="P1515">
        <v>322.91000000000003</v>
      </c>
      <c r="Q1515">
        <v>710</v>
      </c>
      <c r="R1515">
        <v>1</v>
      </c>
      <c r="S1515">
        <v>202</v>
      </c>
    </row>
    <row r="1516" spans="1:19" x14ac:dyDescent="0.3">
      <c r="A1516">
        <v>1515</v>
      </c>
      <c r="B1516" t="s">
        <v>935</v>
      </c>
      <c r="C1516">
        <v>2023</v>
      </c>
      <c r="D1516" t="s">
        <v>161</v>
      </c>
      <c r="E1516">
        <v>9</v>
      </c>
      <c r="F1516" t="s">
        <v>21</v>
      </c>
      <c r="G1516" t="s">
        <v>40</v>
      </c>
      <c r="H1516">
        <v>5.88</v>
      </c>
      <c r="I1516" t="s">
        <v>27</v>
      </c>
      <c r="J1516">
        <v>28</v>
      </c>
      <c r="K1516">
        <v>416</v>
      </c>
      <c r="L1516">
        <v>88.83</v>
      </c>
      <c r="M1516">
        <v>25.72</v>
      </c>
      <c r="N1516">
        <v>21.08</v>
      </c>
      <c r="O1516">
        <v>15.82</v>
      </c>
      <c r="P1516">
        <v>558.92999999999995</v>
      </c>
      <c r="Q1516">
        <v>100</v>
      </c>
      <c r="R1516">
        <v>1</v>
      </c>
      <c r="S1516">
        <v>228</v>
      </c>
    </row>
    <row r="1517" spans="1:19" x14ac:dyDescent="0.3">
      <c r="A1517">
        <v>1516</v>
      </c>
      <c r="B1517" t="s">
        <v>936</v>
      </c>
      <c r="C1517">
        <v>2023</v>
      </c>
      <c r="D1517" t="s">
        <v>161</v>
      </c>
      <c r="E1517">
        <v>9</v>
      </c>
      <c r="F1517" t="s">
        <v>53</v>
      </c>
      <c r="G1517" t="s">
        <v>26</v>
      </c>
      <c r="H1517">
        <v>36.18</v>
      </c>
      <c r="I1517" t="s">
        <v>47</v>
      </c>
      <c r="J1517">
        <v>12</v>
      </c>
      <c r="K1517">
        <v>125</v>
      </c>
      <c r="L1517">
        <v>86.91</v>
      </c>
      <c r="M1517">
        <v>26.58</v>
      </c>
      <c r="N1517">
        <v>6.93</v>
      </c>
      <c r="O1517">
        <v>3</v>
      </c>
      <c r="P1517">
        <v>268.5</v>
      </c>
      <c r="Q1517">
        <v>443</v>
      </c>
      <c r="R1517">
        <v>2</v>
      </c>
      <c r="S1517">
        <v>238</v>
      </c>
    </row>
    <row r="1518" spans="1:19" x14ac:dyDescent="0.3">
      <c r="A1518">
        <v>1517</v>
      </c>
      <c r="B1518" t="s">
        <v>932</v>
      </c>
      <c r="C1518">
        <v>2023</v>
      </c>
      <c r="D1518" t="s">
        <v>161</v>
      </c>
      <c r="E1518">
        <v>9</v>
      </c>
      <c r="F1518" t="s">
        <v>34</v>
      </c>
      <c r="G1518" t="s">
        <v>40</v>
      </c>
      <c r="H1518">
        <v>36.61</v>
      </c>
      <c r="I1518" t="s">
        <v>32</v>
      </c>
      <c r="J1518">
        <v>28</v>
      </c>
      <c r="K1518">
        <v>582</v>
      </c>
      <c r="L1518">
        <v>77.95</v>
      </c>
      <c r="M1518">
        <v>19.579999999999998</v>
      </c>
      <c r="N1518">
        <v>4.3</v>
      </c>
      <c r="O1518">
        <v>9.32</v>
      </c>
      <c r="P1518">
        <v>170.32</v>
      </c>
      <c r="Q1518">
        <v>342</v>
      </c>
      <c r="R1518">
        <v>1</v>
      </c>
      <c r="S1518">
        <v>230</v>
      </c>
    </row>
    <row r="1519" spans="1:19" x14ac:dyDescent="0.3">
      <c r="A1519">
        <v>1518</v>
      </c>
      <c r="B1519" t="s">
        <v>940</v>
      </c>
      <c r="C1519">
        <v>2023</v>
      </c>
      <c r="D1519" t="s">
        <v>161</v>
      </c>
      <c r="E1519">
        <v>9</v>
      </c>
      <c r="F1519" t="s">
        <v>62</v>
      </c>
      <c r="G1519" t="s">
        <v>22</v>
      </c>
      <c r="H1519">
        <v>28.9</v>
      </c>
      <c r="I1519" t="s">
        <v>47</v>
      </c>
      <c r="J1519">
        <v>19</v>
      </c>
      <c r="K1519">
        <v>420</v>
      </c>
      <c r="L1519">
        <v>77.41</v>
      </c>
      <c r="M1519">
        <v>15.96</v>
      </c>
      <c r="N1519">
        <v>15.53</v>
      </c>
      <c r="O1519">
        <v>10.32</v>
      </c>
      <c r="P1519">
        <v>240.54</v>
      </c>
      <c r="Q1519">
        <v>328</v>
      </c>
      <c r="R1519">
        <v>3</v>
      </c>
      <c r="S1519">
        <v>76</v>
      </c>
    </row>
    <row r="1520" spans="1:19" x14ac:dyDescent="0.3">
      <c r="A1520">
        <v>1519</v>
      </c>
      <c r="B1520" t="s">
        <v>941</v>
      </c>
      <c r="C1520">
        <v>2023</v>
      </c>
      <c r="D1520" t="s">
        <v>161</v>
      </c>
      <c r="E1520">
        <v>9</v>
      </c>
      <c r="F1520" t="s">
        <v>62</v>
      </c>
      <c r="G1520" t="s">
        <v>22</v>
      </c>
      <c r="H1520">
        <v>27.87</v>
      </c>
      <c r="I1520" t="s">
        <v>27</v>
      </c>
      <c r="J1520">
        <v>3</v>
      </c>
      <c r="K1520">
        <v>283</v>
      </c>
      <c r="L1520">
        <v>81.010000000000005</v>
      </c>
      <c r="M1520">
        <v>18.100000000000001</v>
      </c>
      <c r="N1520">
        <v>15.17</v>
      </c>
      <c r="O1520">
        <v>7.43</v>
      </c>
      <c r="P1520">
        <v>228.68</v>
      </c>
      <c r="Q1520">
        <v>773</v>
      </c>
      <c r="R1520">
        <v>4</v>
      </c>
      <c r="S1520">
        <v>119</v>
      </c>
    </row>
    <row r="1521" spans="1:19" x14ac:dyDescent="0.3">
      <c r="A1521">
        <v>1520</v>
      </c>
      <c r="B1521" t="s">
        <v>942</v>
      </c>
      <c r="C1521">
        <v>2023</v>
      </c>
      <c r="D1521" t="s">
        <v>161</v>
      </c>
      <c r="E1521">
        <v>9</v>
      </c>
      <c r="F1521" t="s">
        <v>31</v>
      </c>
      <c r="G1521" t="s">
        <v>26</v>
      </c>
      <c r="H1521">
        <v>35.880000000000003</v>
      </c>
      <c r="I1521" t="s">
        <v>32</v>
      </c>
      <c r="J1521">
        <v>42</v>
      </c>
      <c r="K1521">
        <v>418</v>
      </c>
      <c r="L1521">
        <v>88.88</v>
      </c>
      <c r="M1521">
        <v>9.83</v>
      </c>
      <c r="N1521">
        <v>17.55</v>
      </c>
      <c r="O1521">
        <v>10.35</v>
      </c>
      <c r="P1521">
        <v>348.63</v>
      </c>
      <c r="Q1521">
        <v>107</v>
      </c>
      <c r="R1521">
        <v>4</v>
      </c>
      <c r="S1521">
        <v>90</v>
      </c>
    </row>
    <row r="1522" spans="1:19" x14ac:dyDescent="0.3">
      <c r="A1522">
        <v>1521</v>
      </c>
      <c r="B1522" t="s">
        <v>943</v>
      </c>
      <c r="C1522">
        <v>2023</v>
      </c>
      <c r="D1522" t="s">
        <v>161</v>
      </c>
      <c r="E1522">
        <v>9</v>
      </c>
      <c r="F1522" t="s">
        <v>62</v>
      </c>
      <c r="G1522" t="s">
        <v>40</v>
      </c>
      <c r="H1522">
        <v>38.72</v>
      </c>
      <c r="I1522" t="s">
        <v>27</v>
      </c>
      <c r="J1522">
        <v>18</v>
      </c>
      <c r="K1522">
        <v>149</v>
      </c>
      <c r="L1522">
        <v>77.849999999999994</v>
      </c>
      <c r="M1522">
        <v>27.66</v>
      </c>
      <c r="N1522">
        <v>15.8</v>
      </c>
      <c r="O1522">
        <v>4.17</v>
      </c>
      <c r="P1522">
        <v>454.44</v>
      </c>
      <c r="Q1522">
        <v>975</v>
      </c>
      <c r="R1522">
        <v>4</v>
      </c>
      <c r="S1522">
        <v>97</v>
      </c>
    </row>
    <row r="1523" spans="1:19" x14ac:dyDescent="0.3">
      <c r="A1523">
        <v>1522</v>
      </c>
      <c r="B1523" t="s">
        <v>935</v>
      </c>
      <c r="C1523">
        <v>2023</v>
      </c>
      <c r="D1523" t="s">
        <v>161</v>
      </c>
      <c r="E1523">
        <v>9</v>
      </c>
      <c r="F1523" t="s">
        <v>53</v>
      </c>
      <c r="G1523" t="s">
        <v>42</v>
      </c>
      <c r="H1523">
        <v>8.48</v>
      </c>
      <c r="I1523" t="s">
        <v>47</v>
      </c>
      <c r="J1523">
        <v>38</v>
      </c>
      <c r="K1523">
        <v>496</v>
      </c>
      <c r="L1523">
        <v>84.29</v>
      </c>
      <c r="M1523">
        <v>34.630000000000003</v>
      </c>
      <c r="N1523">
        <v>3.44</v>
      </c>
      <c r="O1523">
        <v>10.210000000000001</v>
      </c>
      <c r="P1523">
        <v>444.86</v>
      </c>
      <c r="Q1523">
        <v>710</v>
      </c>
      <c r="R1523">
        <v>2</v>
      </c>
      <c r="S1523">
        <v>129</v>
      </c>
    </row>
    <row r="1524" spans="1:19" x14ac:dyDescent="0.3">
      <c r="A1524">
        <v>1523</v>
      </c>
      <c r="B1524" t="s">
        <v>928</v>
      </c>
      <c r="C1524">
        <v>2023</v>
      </c>
      <c r="D1524" t="s">
        <v>161</v>
      </c>
      <c r="E1524">
        <v>9</v>
      </c>
      <c r="F1524" t="s">
        <v>34</v>
      </c>
      <c r="G1524" t="s">
        <v>26</v>
      </c>
      <c r="H1524">
        <v>8.1199999999999992</v>
      </c>
      <c r="I1524" t="s">
        <v>23</v>
      </c>
      <c r="J1524">
        <v>41</v>
      </c>
      <c r="K1524">
        <v>542</v>
      </c>
      <c r="L1524">
        <v>85.14</v>
      </c>
      <c r="M1524">
        <v>26.09</v>
      </c>
      <c r="N1524">
        <v>3.67</v>
      </c>
      <c r="O1524">
        <v>6.58</v>
      </c>
      <c r="P1524">
        <v>108.6</v>
      </c>
      <c r="Q1524">
        <v>1047</v>
      </c>
      <c r="R1524">
        <v>4</v>
      </c>
      <c r="S1524">
        <v>116</v>
      </c>
    </row>
    <row r="1525" spans="1:19" x14ac:dyDescent="0.3">
      <c r="A1525">
        <v>1524</v>
      </c>
      <c r="B1525" t="s">
        <v>936</v>
      </c>
      <c r="C1525">
        <v>2023</v>
      </c>
      <c r="D1525" t="s">
        <v>161</v>
      </c>
      <c r="E1525">
        <v>9</v>
      </c>
      <c r="F1525" t="s">
        <v>25</v>
      </c>
      <c r="G1525" t="s">
        <v>26</v>
      </c>
      <c r="H1525">
        <v>53.71</v>
      </c>
      <c r="I1525" t="s">
        <v>47</v>
      </c>
      <c r="J1525">
        <v>46</v>
      </c>
      <c r="K1525">
        <v>267</v>
      </c>
      <c r="L1525">
        <v>77.680000000000007</v>
      </c>
      <c r="M1525">
        <v>19.18</v>
      </c>
      <c r="N1525">
        <v>20.23</v>
      </c>
      <c r="O1525">
        <v>4.3899999999999997</v>
      </c>
      <c r="P1525">
        <v>257.29000000000002</v>
      </c>
      <c r="Q1525">
        <v>867</v>
      </c>
      <c r="R1525">
        <v>2</v>
      </c>
      <c r="S1525">
        <v>64</v>
      </c>
    </row>
    <row r="1526" spans="1:19" x14ac:dyDescent="0.3">
      <c r="A1526">
        <v>1525</v>
      </c>
      <c r="B1526" t="s">
        <v>936</v>
      </c>
      <c r="C1526">
        <v>2023</v>
      </c>
      <c r="D1526" t="s">
        <v>161</v>
      </c>
      <c r="E1526">
        <v>9</v>
      </c>
      <c r="F1526" t="s">
        <v>29</v>
      </c>
      <c r="G1526" t="s">
        <v>26</v>
      </c>
      <c r="H1526">
        <v>51.61</v>
      </c>
      <c r="I1526" t="s">
        <v>27</v>
      </c>
      <c r="J1526">
        <v>21</v>
      </c>
      <c r="K1526">
        <v>231</v>
      </c>
      <c r="L1526">
        <v>83.85</v>
      </c>
      <c r="M1526">
        <v>25.92</v>
      </c>
      <c r="N1526">
        <v>17.68</v>
      </c>
      <c r="O1526">
        <v>7.21</v>
      </c>
      <c r="P1526">
        <v>417.07</v>
      </c>
      <c r="Q1526">
        <v>249</v>
      </c>
      <c r="R1526">
        <v>1</v>
      </c>
      <c r="S1526">
        <v>203</v>
      </c>
    </row>
    <row r="1527" spans="1:19" x14ac:dyDescent="0.3">
      <c r="A1527">
        <v>1526</v>
      </c>
      <c r="B1527" t="s">
        <v>942</v>
      </c>
      <c r="C1527">
        <v>2023</v>
      </c>
      <c r="D1527" t="s">
        <v>161</v>
      </c>
      <c r="E1527">
        <v>9</v>
      </c>
      <c r="F1527" t="s">
        <v>53</v>
      </c>
      <c r="G1527" t="s">
        <v>35</v>
      </c>
      <c r="H1527">
        <v>7.34</v>
      </c>
      <c r="I1527" t="s">
        <v>23</v>
      </c>
      <c r="J1527">
        <v>11</v>
      </c>
      <c r="K1527">
        <v>447</v>
      </c>
      <c r="L1527">
        <v>85.88</v>
      </c>
      <c r="M1527">
        <v>14.73</v>
      </c>
      <c r="N1527">
        <v>10.6</v>
      </c>
      <c r="O1527">
        <v>6.01</v>
      </c>
      <c r="P1527">
        <v>314.33999999999997</v>
      </c>
      <c r="Q1527">
        <v>935</v>
      </c>
      <c r="R1527">
        <v>1</v>
      </c>
      <c r="S1527">
        <v>118</v>
      </c>
    </row>
    <row r="1528" spans="1:19" x14ac:dyDescent="0.3">
      <c r="A1528">
        <v>1527</v>
      </c>
      <c r="B1528" t="s">
        <v>929</v>
      </c>
      <c r="C1528">
        <v>2023</v>
      </c>
      <c r="D1528" t="s">
        <v>161</v>
      </c>
      <c r="E1528">
        <v>9</v>
      </c>
      <c r="F1528" t="s">
        <v>53</v>
      </c>
      <c r="G1528" t="s">
        <v>40</v>
      </c>
      <c r="H1528">
        <v>20.93</v>
      </c>
      <c r="I1528" t="s">
        <v>47</v>
      </c>
      <c r="J1528">
        <v>4</v>
      </c>
      <c r="K1528">
        <v>470</v>
      </c>
      <c r="L1528">
        <v>92.68</v>
      </c>
      <c r="M1528">
        <v>31.25</v>
      </c>
      <c r="N1528">
        <v>7.62</v>
      </c>
      <c r="O1528">
        <v>15.68</v>
      </c>
      <c r="P1528">
        <v>175.34</v>
      </c>
      <c r="Q1528">
        <v>603</v>
      </c>
      <c r="R1528">
        <v>5</v>
      </c>
      <c r="S1528">
        <v>158</v>
      </c>
    </row>
    <row r="1529" spans="1:19" x14ac:dyDescent="0.3">
      <c r="A1529">
        <v>1528</v>
      </c>
      <c r="B1529" t="s">
        <v>944</v>
      </c>
      <c r="C1529">
        <v>2023</v>
      </c>
      <c r="D1529" t="s">
        <v>161</v>
      </c>
      <c r="E1529">
        <v>9</v>
      </c>
      <c r="F1529" t="s">
        <v>37</v>
      </c>
      <c r="G1529" t="s">
        <v>35</v>
      </c>
      <c r="H1529">
        <v>29.94</v>
      </c>
      <c r="I1529" t="s">
        <v>32</v>
      </c>
      <c r="J1529">
        <v>47</v>
      </c>
      <c r="K1529">
        <v>385</v>
      </c>
      <c r="L1529">
        <v>92.96</v>
      </c>
      <c r="M1529">
        <v>10.62</v>
      </c>
      <c r="N1529">
        <v>14.31</v>
      </c>
      <c r="O1529">
        <v>9.89</v>
      </c>
      <c r="P1529">
        <v>456.77</v>
      </c>
      <c r="Q1529">
        <v>465</v>
      </c>
      <c r="R1529">
        <v>4</v>
      </c>
      <c r="S1529">
        <v>181</v>
      </c>
    </row>
    <row r="1530" spans="1:19" x14ac:dyDescent="0.3">
      <c r="A1530">
        <v>1529</v>
      </c>
      <c r="B1530" t="s">
        <v>937</v>
      </c>
      <c r="C1530">
        <v>2023</v>
      </c>
      <c r="D1530" t="s">
        <v>161</v>
      </c>
      <c r="E1530">
        <v>9</v>
      </c>
      <c r="F1530" t="s">
        <v>62</v>
      </c>
      <c r="G1530" t="s">
        <v>42</v>
      </c>
      <c r="H1530">
        <v>14.02</v>
      </c>
      <c r="I1530" t="s">
        <v>47</v>
      </c>
      <c r="J1530">
        <v>13</v>
      </c>
      <c r="K1530">
        <v>318</v>
      </c>
      <c r="L1530">
        <v>79.44</v>
      </c>
      <c r="M1530">
        <v>7.99</v>
      </c>
      <c r="N1530">
        <v>2.04</v>
      </c>
      <c r="O1530">
        <v>3.12</v>
      </c>
      <c r="P1530">
        <v>516.04999999999995</v>
      </c>
      <c r="Q1530">
        <v>754</v>
      </c>
      <c r="R1530">
        <v>2</v>
      </c>
      <c r="S1530">
        <v>61</v>
      </c>
    </row>
    <row r="1531" spans="1:19" x14ac:dyDescent="0.3">
      <c r="A1531">
        <v>1530</v>
      </c>
      <c r="B1531" t="s">
        <v>945</v>
      </c>
      <c r="C1531">
        <v>2023</v>
      </c>
      <c r="D1531" t="s">
        <v>161</v>
      </c>
      <c r="E1531">
        <v>9</v>
      </c>
      <c r="F1531" t="s">
        <v>37</v>
      </c>
      <c r="G1531" t="s">
        <v>40</v>
      </c>
      <c r="H1531">
        <v>51.05</v>
      </c>
      <c r="I1531" t="s">
        <v>27</v>
      </c>
      <c r="J1531">
        <v>16</v>
      </c>
      <c r="K1531">
        <v>482</v>
      </c>
      <c r="L1531">
        <v>79.11</v>
      </c>
      <c r="M1531">
        <v>5.84</v>
      </c>
      <c r="N1531">
        <v>13.58</v>
      </c>
      <c r="O1531">
        <v>11.74</v>
      </c>
      <c r="P1531">
        <v>205.49</v>
      </c>
      <c r="Q1531">
        <v>355</v>
      </c>
      <c r="R1531">
        <v>3</v>
      </c>
      <c r="S1531">
        <v>99</v>
      </c>
    </row>
    <row r="1532" spans="1:19" x14ac:dyDescent="0.3">
      <c r="A1532">
        <v>1531</v>
      </c>
      <c r="B1532" t="s">
        <v>946</v>
      </c>
      <c r="C1532">
        <v>2023</v>
      </c>
      <c r="D1532" t="s">
        <v>226</v>
      </c>
      <c r="E1532">
        <v>10</v>
      </c>
      <c r="F1532" t="s">
        <v>25</v>
      </c>
      <c r="G1532" t="s">
        <v>42</v>
      </c>
      <c r="H1532">
        <v>39.75</v>
      </c>
      <c r="I1532" t="s">
        <v>23</v>
      </c>
      <c r="J1532">
        <v>4</v>
      </c>
      <c r="K1532">
        <v>166</v>
      </c>
      <c r="L1532">
        <v>80.09</v>
      </c>
      <c r="M1532">
        <v>28.33</v>
      </c>
      <c r="N1532">
        <v>4.5999999999999996</v>
      </c>
      <c r="O1532">
        <v>7.02</v>
      </c>
      <c r="P1532">
        <v>283.47000000000003</v>
      </c>
      <c r="Q1532">
        <v>378</v>
      </c>
      <c r="R1532">
        <v>4</v>
      </c>
      <c r="S1532">
        <v>164</v>
      </c>
    </row>
    <row r="1533" spans="1:19" x14ac:dyDescent="0.3">
      <c r="A1533">
        <v>1532</v>
      </c>
      <c r="B1533" t="s">
        <v>947</v>
      </c>
      <c r="C1533">
        <v>2023</v>
      </c>
      <c r="D1533" t="s">
        <v>226</v>
      </c>
      <c r="E1533">
        <v>10</v>
      </c>
      <c r="F1533" t="s">
        <v>53</v>
      </c>
      <c r="G1533" t="s">
        <v>22</v>
      </c>
      <c r="H1533">
        <v>35.020000000000003</v>
      </c>
      <c r="I1533" t="s">
        <v>27</v>
      </c>
      <c r="J1533">
        <v>37</v>
      </c>
      <c r="K1533">
        <v>394</v>
      </c>
      <c r="L1533">
        <v>82.07</v>
      </c>
      <c r="M1533">
        <v>5.56</v>
      </c>
      <c r="N1533">
        <v>20.69</v>
      </c>
      <c r="O1533">
        <v>10.8</v>
      </c>
      <c r="P1533">
        <v>511.57</v>
      </c>
      <c r="Q1533">
        <v>331</v>
      </c>
      <c r="R1533">
        <v>5</v>
      </c>
      <c r="S1533">
        <v>234</v>
      </c>
    </row>
    <row r="1534" spans="1:19" x14ac:dyDescent="0.3">
      <c r="A1534">
        <v>1533</v>
      </c>
      <c r="B1534" t="s">
        <v>948</v>
      </c>
      <c r="C1534">
        <v>2023</v>
      </c>
      <c r="D1534" t="s">
        <v>226</v>
      </c>
      <c r="E1534">
        <v>10</v>
      </c>
      <c r="F1534" t="s">
        <v>37</v>
      </c>
      <c r="G1534" t="s">
        <v>40</v>
      </c>
      <c r="H1534">
        <v>11.06</v>
      </c>
      <c r="I1534" t="s">
        <v>47</v>
      </c>
      <c r="J1534">
        <v>33</v>
      </c>
      <c r="K1534">
        <v>245</v>
      </c>
      <c r="L1534">
        <v>86.51</v>
      </c>
      <c r="M1534">
        <v>24.14</v>
      </c>
      <c r="N1534">
        <v>4.5999999999999996</v>
      </c>
      <c r="O1534">
        <v>12.15</v>
      </c>
      <c r="P1534">
        <v>585.9</v>
      </c>
      <c r="Q1534">
        <v>558</v>
      </c>
      <c r="R1534">
        <v>3</v>
      </c>
      <c r="S1534">
        <v>143</v>
      </c>
    </row>
    <row r="1535" spans="1:19" x14ac:dyDescent="0.3">
      <c r="A1535">
        <v>1534</v>
      </c>
      <c r="B1535" t="s">
        <v>949</v>
      </c>
      <c r="C1535">
        <v>2023</v>
      </c>
      <c r="D1535" t="s">
        <v>226</v>
      </c>
      <c r="E1535">
        <v>10</v>
      </c>
      <c r="F1535" t="s">
        <v>21</v>
      </c>
      <c r="G1535" t="s">
        <v>35</v>
      </c>
      <c r="H1535">
        <v>39.17</v>
      </c>
      <c r="I1535" t="s">
        <v>27</v>
      </c>
      <c r="J1535">
        <v>36</v>
      </c>
      <c r="K1535">
        <v>563</v>
      </c>
      <c r="L1535">
        <v>79.98</v>
      </c>
      <c r="M1535">
        <v>12.19</v>
      </c>
      <c r="N1535">
        <v>10.38</v>
      </c>
      <c r="O1535">
        <v>11.99</v>
      </c>
      <c r="P1535">
        <v>556.79999999999995</v>
      </c>
      <c r="Q1535">
        <v>641</v>
      </c>
      <c r="R1535">
        <v>5</v>
      </c>
      <c r="S1535">
        <v>137</v>
      </c>
    </row>
    <row r="1536" spans="1:19" x14ac:dyDescent="0.3">
      <c r="A1536">
        <v>1535</v>
      </c>
      <c r="B1536" t="s">
        <v>950</v>
      </c>
      <c r="C1536">
        <v>2023</v>
      </c>
      <c r="D1536" t="s">
        <v>226</v>
      </c>
      <c r="E1536">
        <v>10</v>
      </c>
      <c r="F1536" t="s">
        <v>31</v>
      </c>
      <c r="G1536" t="s">
        <v>26</v>
      </c>
      <c r="H1536">
        <v>12.99</v>
      </c>
      <c r="I1536" t="s">
        <v>38</v>
      </c>
      <c r="J1536">
        <v>13</v>
      </c>
      <c r="K1536">
        <v>401</v>
      </c>
      <c r="L1536">
        <v>75.81</v>
      </c>
      <c r="M1536">
        <v>21.12</v>
      </c>
      <c r="N1536">
        <v>16</v>
      </c>
      <c r="O1536">
        <v>12.2</v>
      </c>
      <c r="P1536">
        <v>159.25</v>
      </c>
      <c r="Q1536">
        <v>401</v>
      </c>
      <c r="R1536">
        <v>2</v>
      </c>
      <c r="S1536">
        <v>165</v>
      </c>
    </row>
    <row r="1537" spans="1:19" x14ac:dyDescent="0.3">
      <c r="A1537">
        <v>1536</v>
      </c>
      <c r="B1537" t="s">
        <v>951</v>
      </c>
      <c r="C1537">
        <v>2023</v>
      </c>
      <c r="D1537" t="s">
        <v>226</v>
      </c>
      <c r="E1537">
        <v>10</v>
      </c>
      <c r="F1537" t="s">
        <v>31</v>
      </c>
      <c r="G1537" t="s">
        <v>42</v>
      </c>
      <c r="H1537">
        <v>33.909999999999997</v>
      </c>
      <c r="I1537" t="s">
        <v>47</v>
      </c>
      <c r="J1537">
        <v>9</v>
      </c>
      <c r="K1537">
        <v>300</v>
      </c>
      <c r="L1537">
        <v>79.92</v>
      </c>
      <c r="M1537">
        <v>23.3</v>
      </c>
      <c r="N1537">
        <v>9.2899999999999991</v>
      </c>
      <c r="O1537">
        <v>14.09</v>
      </c>
      <c r="P1537">
        <v>297.70999999999998</v>
      </c>
      <c r="Q1537">
        <v>606</v>
      </c>
      <c r="R1537">
        <v>4</v>
      </c>
      <c r="S1537">
        <v>106</v>
      </c>
    </row>
    <row r="1538" spans="1:19" x14ac:dyDescent="0.3">
      <c r="A1538">
        <v>1537</v>
      </c>
      <c r="B1538" t="s">
        <v>952</v>
      </c>
      <c r="C1538">
        <v>2023</v>
      </c>
      <c r="D1538" t="s">
        <v>226</v>
      </c>
      <c r="E1538">
        <v>10</v>
      </c>
      <c r="F1538" t="s">
        <v>34</v>
      </c>
      <c r="G1538" t="s">
        <v>26</v>
      </c>
      <c r="H1538">
        <v>45.04</v>
      </c>
      <c r="I1538" t="s">
        <v>32</v>
      </c>
      <c r="J1538">
        <v>13</v>
      </c>
      <c r="K1538">
        <v>117</v>
      </c>
      <c r="L1538">
        <v>90.84</v>
      </c>
      <c r="M1538">
        <v>26.79</v>
      </c>
      <c r="N1538">
        <v>10.76</v>
      </c>
      <c r="O1538">
        <v>7.57</v>
      </c>
      <c r="P1538">
        <v>437.2</v>
      </c>
      <c r="Q1538">
        <v>131</v>
      </c>
      <c r="R1538">
        <v>1</v>
      </c>
      <c r="S1538">
        <v>204</v>
      </c>
    </row>
    <row r="1539" spans="1:19" x14ac:dyDescent="0.3">
      <c r="A1539">
        <v>1538</v>
      </c>
      <c r="B1539" t="s">
        <v>951</v>
      </c>
      <c r="C1539">
        <v>2023</v>
      </c>
      <c r="D1539" t="s">
        <v>226</v>
      </c>
      <c r="E1539">
        <v>10</v>
      </c>
      <c r="F1539" t="s">
        <v>62</v>
      </c>
      <c r="G1539" t="s">
        <v>26</v>
      </c>
      <c r="H1539">
        <v>9.67</v>
      </c>
      <c r="I1539" t="s">
        <v>27</v>
      </c>
      <c r="J1539">
        <v>2</v>
      </c>
      <c r="K1539">
        <v>257</v>
      </c>
      <c r="L1539">
        <v>76.69</v>
      </c>
      <c r="M1539">
        <v>17.28</v>
      </c>
      <c r="N1539">
        <v>5.7</v>
      </c>
      <c r="O1539">
        <v>10.89</v>
      </c>
      <c r="P1539">
        <v>521.41999999999996</v>
      </c>
      <c r="Q1539">
        <v>518</v>
      </c>
      <c r="R1539">
        <v>3</v>
      </c>
      <c r="S1539">
        <v>84</v>
      </c>
    </row>
    <row r="1540" spans="1:19" x14ac:dyDescent="0.3">
      <c r="A1540">
        <v>1539</v>
      </c>
      <c r="B1540" t="s">
        <v>952</v>
      </c>
      <c r="C1540">
        <v>2023</v>
      </c>
      <c r="D1540" t="s">
        <v>226</v>
      </c>
      <c r="E1540">
        <v>10</v>
      </c>
      <c r="F1540" t="s">
        <v>21</v>
      </c>
      <c r="G1540" t="s">
        <v>26</v>
      </c>
      <c r="H1540">
        <v>33.96</v>
      </c>
      <c r="I1540" t="s">
        <v>27</v>
      </c>
      <c r="J1540">
        <v>7</v>
      </c>
      <c r="K1540">
        <v>503</v>
      </c>
      <c r="L1540">
        <v>91.48</v>
      </c>
      <c r="M1540">
        <v>17.25</v>
      </c>
      <c r="N1540">
        <v>21.67</v>
      </c>
      <c r="O1540">
        <v>4.79</v>
      </c>
      <c r="P1540">
        <v>555.1</v>
      </c>
      <c r="Q1540">
        <v>994</v>
      </c>
      <c r="R1540">
        <v>3</v>
      </c>
      <c r="S1540">
        <v>111</v>
      </c>
    </row>
    <row r="1541" spans="1:19" x14ac:dyDescent="0.3">
      <c r="A1541">
        <v>1540</v>
      </c>
      <c r="B1541" t="s">
        <v>953</v>
      </c>
      <c r="C1541">
        <v>2023</v>
      </c>
      <c r="D1541" t="s">
        <v>226</v>
      </c>
      <c r="E1541">
        <v>10</v>
      </c>
      <c r="F1541" t="s">
        <v>37</v>
      </c>
      <c r="G1541" t="s">
        <v>22</v>
      </c>
      <c r="H1541">
        <v>10.24</v>
      </c>
      <c r="I1541" t="s">
        <v>32</v>
      </c>
      <c r="J1541">
        <v>45</v>
      </c>
      <c r="K1541">
        <v>467</v>
      </c>
      <c r="L1541">
        <v>78.099999999999994</v>
      </c>
      <c r="M1541">
        <v>15.19</v>
      </c>
      <c r="N1541">
        <v>18.97</v>
      </c>
      <c r="O1541">
        <v>14.55</v>
      </c>
      <c r="P1541">
        <v>304.91000000000003</v>
      </c>
      <c r="Q1541">
        <v>522</v>
      </c>
      <c r="R1541">
        <v>3</v>
      </c>
      <c r="S1541">
        <v>189</v>
      </c>
    </row>
    <row r="1542" spans="1:19" x14ac:dyDescent="0.3">
      <c r="A1542">
        <v>1541</v>
      </c>
      <c r="B1542" t="s">
        <v>954</v>
      </c>
      <c r="C1542">
        <v>2023</v>
      </c>
      <c r="D1542" t="s">
        <v>226</v>
      </c>
      <c r="E1542">
        <v>10</v>
      </c>
      <c r="F1542" t="s">
        <v>37</v>
      </c>
      <c r="G1542" t="s">
        <v>40</v>
      </c>
      <c r="H1542">
        <v>37.409999999999997</v>
      </c>
      <c r="I1542" t="s">
        <v>47</v>
      </c>
      <c r="J1542">
        <v>36</v>
      </c>
      <c r="K1542">
        <v>325</v>
      </c>
      <c r="L1542">
        <v>91.58</v>
      </c>
      <c r="M1542">
        <v>28.42</v>
      </c>
      <c r="N1542">
        <v>10.92</v>
      </c>
      <c r="O1542">
        <v>9.77</v>
      </c>
      <c r="P1542">
        <v>129.37</v>
      </c>
      <c r="Q1542">
        <v>131</v>
      </c>
      <c r="R1542">
        <v>2</v>
      </c>
      <c r="S1542">
        <v>60</v>
      </c>
    </row>
    <row r="1543" spans="1:19" x14ac:dyDescent="0.3">
      <c r="A1543">
        <v>1542</v>
      </c>
      <c r="B1543" t="s">
        <v>953</v>
      </c>
      <c r="C1543">
        <v>2023</v>
      </c>
      <c r="D1543" t="s">
        <v>226</v>
      </c>
      <c r="E1543">
        <v>10</v>
      </c>
      <c r="F1543" t="s">
        <v>21</v>
      </c>
      <c r="G1543" t="s">
        <v>42</v>
      </c>
      <c r="H1543">
        <v>53.28</v>
      </c>
      <c r="I1543" t="s">
        <v>38</v>
      </c>
      <c r="J1543">
        <v>30</v>
      </c>
      <c r="K1543">
        <v>157</v>
      </c>
      <c r="L1543">
        <v>81.150000000000006</v>
      </c>
      <c r="M1543">
        <v>28.38</v>
      </c>
      <c r="N1543">
        <v>4.3499999999999996</v>
      </c>
      <c r="O1543">
        <v>8.26</v>
      </c>
      <c r="P1543">
        <v>481.07</v>
      </c>
      <c r="Q1543">
        <v>116</v>
      </c>
      <c r="R1543">
        <v>3</v>
      </c>
      <c r="S1543">
        <v>210</v>
      </c>
    </row>
    <row r="1544" spans="1:19" x14ac:dyDescent="0.3">
      <c r="A1544">
        <v>1543</v>
      </c>
      <c r="B1544" t="s">
        <v>955</v>
      </c>
      <c r="C1544">
        <v>2023</v>
      </c>
      <c r="D1544" t="s">
        <v>226</v>
      </c>
      <c r="E1544">
        <v>10</v>
      </c>
      <c r="F1544" t="s">
        <v>21</v>
      </c>
      <c r="G1544" t="s">
        <v>35</v>
      </c>
      <c r="H1544">
        <v>33.07</v>
      </c>
      <c r="I1544" t="s">
        <v>32</v>
      </c>
      <c r="J1544">
        <v>50</v>
      </c>
      <c r="K1544">
        <v>491</v>
      </c>
      <c r="L1544">
        <v>93.53</v>
      </c>
      <c r="M1544">
        <v>8.93</v>
      </c>
      <c r="N1544">
        <v>15.17</v>
      </c>
      <c r="O1544">
        <v>9.4600000000000009</v>
      </c>
      <c r="P1544">
        <v>306.88</v>
      </c>
      <c r="Q1544">
        <v>829</v>
      </c>
      <c r="R1544">
        <v>3</v>
      </c>
      <c r="S1544">
        <v>207</v>
      </c>
    </row>
    <row r="1545" spans="1:19" x14ac:dyDescent="0.3">
      <c r="A1545">
        <v>1544</v>
      </c>
      <c r="B1545" t="s">
        <v>956</v>
      </c>
      <c r="C1545">
        <v>2023</v>
      </c>
      <c r="D1545" t="s">
        <v>226</v>
      </c>
      <c r="E1545">
        <v>10</v>
      </c>
      <c r="F1545" t="s">
        <v>62</v>
      </c>
      <c r="G1545" t="s">
        <v>26</v>
      </c>
      <c r="H1545">
        <v>21.49</v>
      </c>
      <c r="I1545" t="s">
        <v>38</v>
      </c>
      <c r="J1545">
        <v>29</v>
      </c>
      <c r="K1545">
        <v>113</v>
      </c>
      <c r="L1545">
        <v>91.46</v>
      </c>
      <c r="M1545">
        <v>17.329999999999998</v>
      </c>
      <c r="N1545">
        <v>4.1399999999999997</v>
      </c>
      <c r="O1545">
        <v>11.72</v>
      </c>
      <c r="P1545">
        <v>252.37</v>
      </c>
      <c r="Q1545">
        <v>316</v>
      </c>
      <c r="R1545">
        <v>3</v>
      </c>
      <c r="S1545">
        <v>87</v>
      </c>
    </row>
    <row r="1546" spans="1:19" x14ac:dyDescent="0.3">
      <c r="A1546">
        <v>1545</v>
      </c>
      <c r="B1546" t="s">
        <v>956</v>
      </c>
      <c r="C1546">
        <v>2023</v>
      </c>
      <c r="D1546" t="s">
        <v>226</v>
      </c>
      <c r="E1546">
        <v>10</v>
      </c>
      <c r="F1546" t="s">
        <v>34</v>
      </c>
      <c r="G1546" t="s">
        <v>26</v>
      </c>
      <c r="H1546">
        <v>8.8000000000000007</v>
      </c>
      <c r="I1546" t="s">
        <v>27</v>
      </c>
      <c r="J1546">
        <v>13</v>
      </c>
      <c r="K1546">
        <v>242</v>
      </c>
      <c r="L1546">
        <v>81.47</v>
      </c>
      <c r="M1546">
        <v>32.01</v>
      </c>
      <c r="N1546">
        <v>16.47</v>
      </c>
      <c r="O1546">
        <v>13.05</v>
      </c>
      <c r="P1546">
        <v>349.74</v>
      </c>
      <c r="Q1546">
        <v>179</v>
      </c>
      <c r="R1546">
        <v>4</v>
      </c>
      <c r="S1546">
        <v>214</v>
      </c>
    </row>
    <row r="1547" spans="1:19" x14ac:dyDescent="0.3">
      <c r="A1547">
        <v>1546</v>
      </c>
      <c r="B1547" t="s">
        <v>951</v>
      </c>
      <c r="C1547">
        <v>2023</v>
      </c>
      <c r="D1547" t="s">
        <v>226</v>
      </c>
      <c r="E1547">
        <v>10</v>
      </c>
      <c r="F1547" t="s">
        <v>25</v>
      </c>
      <c r="G1547" t="s">
        <v>40</v>
      </c>
      <c r="H1547">
        <v>43.21</v>
      </c>
      <c r="I1547" t="s">
        <v>47</v>
      </c>
      <c r="J1547">
        <v>33</v>
      </c>
      <c r="K1547">
        <v>357</v>
      </c>
      <c r="L1547">
        <v>86.02</v>
      </c>
      <c r="M1547">
        <v>6.28</v>
      </c>
      <c r="N1547">
        <v>17.61</v>
      </c>
      <c r="O1547">
        <v>15.84</v>
      </c>
      <c r="P1547">
        <v>350.13</v>
      </c>
      <c r="Q1547">
        <v>286</v>
      </c>
      <c r="R1547">
        <v>2</v>
      </c>
      <c r="S1547">
        <v>105</v>
      </c>
    </row>
    <row r="1548" spans="1:19" x14ac:dyDescent="0.3">
      <c r="A1548">
        <v>1547</v>
      </c>
      <c r="B1548" t="s">
        <v>957</v>
      </c>
      <c r="C1548">
        <v>2023</v>
      </c>
      <c r="D1548" t="s">
        <v>226</v>
      </c>
      <c r="E1548">
        <v>10</v>
      </c>
      <c r="F1548" t="s">
        <v>31</v>
      </c>
      <c r="G1548" t="s">
        <v>40</v>
      </c>
      <c r="H1548">
        <v>51.36</v>
      </c>
      <c r="I1548" t="s">
        <v>32</v>
      </c>
      <c r="J1548">
        <v>9</v>
      </c>
      <c r="K1548">
        <v>122</v>
      </c>
      <c r="L1548">
        <v>83.51</v>
      </c>
      <c r="M1548">
        <v>19.18</v>
      </c>
      <c r="N1548">
        <v>4.66</v>
      </c>
      <c r="O1548">
        <v>2.04</v>
      </c>
      <c r="P1548">
        <v>243.58</v>
      </c>
      <c r="Q1548">
        <v>463</v>
      </c>
      <c r="R1548">
        <v>3</v>
      </c>
      <c r="S1548">
        <v>230</v>
      </c>
    </row>
    <row r="1549" spans="1:19" x14ac:dyDescent="0.3">
      <c r="A1549">
        <v>1548</v>
      </c>
      <c r="B1549" t="s">
        <v>958</v>
      </c>
      <c r="C1549">
        <v>2023</v>
      </c>
      <c r="D1549" t="s">
        <v>226</v>
      </c>
      <c r="E1549">
        <v>10</v>
      </c>
      <c r="F1549" t="s">
        <v>29</v>
      </c>
      <c r="G1549" t="s">
        <v>35</v>
      </c>
      <c r="H1549">
        <v>11.36</v>
      </c>
      <c r="I1549" t="s">
        <v>47</v>
      </c>
      <c r="J1549">
        <v>32</v>
      </c>
      <c r="K1549">
        <v>126</v>
      </c>
      <c r="L1549">
        <v>77.33</v>
      </c>
      <c r="M1549">
        <v>29.82</v>
      </c>
      <c r="N1549">
        <v>17.739999999999998</v>
      </c>
      <c r="O1549">
        <v>14.34</v>
      </c>
      <c r="P1549">
        <v>110.42</v>
      </c>
      <c r="Q1549">
        <v>759</v>
      </c>
      <c r="R1549">
        <v>5</v>
      </c>
      <c r="S1549">
        <v>124</v>
      </c>
    </row>
    <row r="1550" spans="1:19" x14ac:dyDescent="0.3">
      <c r="A1550">
        <v>1549</v>
      </c>
      <c r="B1550" t="s">
        <v>959</v>
      </c>
      <c r="C1550">
        <v>2023</v>
      </c>
      <c r="D1550" t="s">
        <v>226</v>
      </c>
      <c r="E1550">
        <v>10</v>
      </c>
      <c r="F1550" t="s">
        <v>37</v>
      </c>
      <c r="G1550" t="s">
        <v>42</v>
      </c>
      <c r="H1550">
        <v>18.88</v>
      </c>
      <c r="I1550" t="s">
        <v>23</v>
      </c>
      <c r="J1550">
        <v>24</v>
      </c>
      <c r="K1550">
        <v>117</v>
      </c>
      <c r="L1550">
        <v>93.24</v>
      </c>
      <c r="M1550">
        <v>34.06</v>
      </c>
      <c r="N1550">
        <v>18.38</v>
      </c>
      <c r="O1550">
        <v>10.050000000000001</v>
      </c>
      <c r="P1550">
        <v>517.73</v>
      </c>
      <c r="Q1550">
        <v>805</v>
      </c>
      <c r="R1550">
        <v>1</v>
      </c>
      <c r="S1550">
        <v>134</v>
      </c>
    </row>
    <row r="1551" spans="1:19" x14ac:dyDescent="0.3">
      <c r="A1551">
        <v>1550</v>
      </c>
      <c r="B1551" t="s">
        <v>954</v>
      </c>
      <c r="C1551">
        <v>2023</v>
      </c>
      <c r="D1551" t="s">
        <v>226</v>
      </c>
      <c r="E1551">
        <v>10</v>
      </c>
      <c r="F1551" t="s">
        <v>25</v>
      </c>
      <c r="G1551" t="s">
        <v>42</v>
      </c>
      <c r="H1551">
        <v>24.47</v>
      </c>
      <c r="I1551" t="s">
        <v>38</v>
      </c>
      <c r="J1551">
        <v>36</v>
      </c>
      <c r="K1551">
        <v>186</v>
      </c>
      <c r="L1551">
        <v>79.16</v>
      </c>
      <c r="M1551">
        <v>23.83</v>
      </c>
      <c r="N1551">
        <v>3.18</v>
      </c>
      <c r="O1551">
        <v>14.39</v>
      </c>
      <c r="P1551">
        <v>383.96</v>
      </c>
      <c r="Q1551">
        <v>459</v>
      </c>
      <c r="R1551">
        <v>5</v>
      </c>
      <c r="S1551">
        <v>168</v>
      </c>
    </row>
    <row r="1552" spans="1:19" x14ac:dyDescent="0.3">
      <c r="A1552">
        <v>1551</v>
      </c>
      <c r="B1552" t="s">
        <v>950</v>
      </c>
      <c r="C1552">
        <v>2023</v>
      </c>
      <c r="D1552" t="s">
        <v>226</v>
      </c>
      <c r="E1552">
        <v>10</v>
      </c>
      <c r="F1552" t="s">
        <v>21</v>
      </c>
      <c r="G1552" t="s">
        <v>40</v>
      </c>
      <c r="H1552">
        <v>8.8000000000000007</v>
      </c>
      <c r="I1552" t="s">
        <v>32</v>
      </c>
      <c r="J1552">
        <v>23</v>
      </c>
      <c r="K1552">
        <v>396</v>
      </c>
      <c r="L1552">
        <v>75.08</v>
      </c>
      <c r="M1552">
        <v>20.76</v>
      </c>
      <c r="N1552">
        <v>9.4700000000000006</v>
      </c>
      <c r="O1552">
        <v>3.42</v>
      </c>
      <c r="P1552">
        <v>592.05999999999995</v>
      </c>
      <c r="Q1552">
        <v>166</v>
      </c>
      <c r="R1552">
        <v>2</v>
      </c>
      <c r="S1552">
        <v>95</v>
      </c>
    </row>
    <row r="1553" spans="1:19" x14ac:dyDescent="0.3">
      <c r="A1553">
        <v>1552</v>
      </c>
      <c r="B1553" t="s">
        <v>956</v>
      </c>
      <c r="C1553">
        <v>2023</v>
      </c>
      <c r="D1553" t="s">
        <v>226</v>
      </c>
      <c r="E1553">
        <v>10</v>
      </c>
      <c r="F1553" t="s">
        <v>29</v>
      </c>
      <c r="G1553" t="s">
        <v>26</v>
      </c>
      <c r="H1553">
        <v>32.549999999999997</v>
      </c>
      <c r="I1553" t="s">
        <v>23</v>
      </c>
      <c r="J1553">
        <v>15</v>
      </c>
      <c r="K1553">
        <v>414</v>
      </c>
      <c r="L1553">
        <v>86.3</v>
      </c>
      <c r="M1553">
        <v>13.74</v>
      </c>
      <c r="N1553">
        <v>15.4</v>
      </c>
      <c r="O1553">
        <v>2.86</v>
      </c>
      <c r="P1553">
        <v>381.84</v>
      </c>
      <c r="Q1553">
        <v>785</v>
      </c>
      <c r="R1553">
        <v>5</v>
      </c>
      <c r="S1553">
        <v>133</v>
      </c>
    </row>
    <row r="1554" spans="1:19" x14ac:dyDescent="0.3">
      <c r="A1554">
        <v>1553</v>
      </c>
      <c r="B1554" t="s">
        <v>960</v>
      </c>
      <c r="C1554">
        <v>2023</v>
      </c>
      <c r="D1554" t="s">
        <v>226</v>
      </c>
      <c r="E1554">
        <v>10</v>
      </c>
      <c r="F1554" t="s">
        <v>37</v>
      </c>
      <c r="G1554" t="s">
        <v>26</v>
      </c>
      <c r="H1554">
        <v>53.84</v>
      </c>
      <c r="I1554" t="s">
        <v>32</v>
      </c>
      <c r="J1554">
        <v>23</v>
      </c>
      <c r="K1554">
        <v>313</v>
      </c>
      <c r="L1554">
        <v>82.18</v>
      </c>
      <c r="M1554">
        <v>6.49</v>
      </c>
      <c r="N1554">
        <v>15.64</v>
      </c>
      <c r="O1554">
        <v>10.09</v>
      </c>
      <c r="P1554">
        <v>508.4</v>
      </c>
      <c r="Q1554">
        <v>880</v>
      </c>
      <c r="R1554">
        <v>2</v>
      </c>
      <c r="S1554">
        <v>153</v>
      </c>
    </row>
    <row r="1555" spans="1:19" x14ac:dyDescent="0.3">
      <c r="A1555">
        <v>1554</v>
      </c>
      <c r="B1555" t="s">
        <v>958</v>
      </c>
      <c r="C1555">
        <v>2023</v>
      </c>
      <c r="D1555" t="s">
        <v>226</v>
      </c>
      <c r="E1555">
        <v>10</v>
      </c>
      <c r="F1555" t="s">
        <v>25</v>
      </c>
      <c r="G1555" t="s">
        <v>35</v>
      </c>
      <c r="H1555">
        <v>48.79</v>
      </c>
      <c r="I1555" t="s">
        <v>23</v>
      </c>
      <c r="J1555">
        <v>9</v>
      </c>
      <c r="K1555">
        <v>353</v>
      </c>
      <c r="L1555">
        <v>84.1</v>
      </c>
      <c r="M1555">
        <v>26.48</v>
      </c>
      <c r="N1555">
        <v>11.83</v>
      </c>
      <c r="O1555">
        <v>2.08</v>
      </c>
      <c r="P1555">
        <v>503.75</v>
      </c>
      <c r="Q1555">
        <v>487</v>
      </c>
      <c r="R1555">
        <v>2</v>
      </c>
      <c r="S1555">
        <v>87</v>
      </c>
    </row>
    <row r="1556" spans="1:19" x14ac:dyDescent="0.3">
      <c r="A1556">
        <v>1555</v>
      </c>
      <c r="B1556" t="s">
        <v>961</v>
      </c>
      <c r="C1556">
        <v>2023</v>
      </c>
      <c r="D1556" t="s">
        <v>226</v>
      </c>
      <c r="E1556">
        <v>10</v>
      </c>
      <c r="F1556" t="s">
        <v>25</v>
      </c>
      <c r="G1556" t="s">
        <v>22</v>
      </c>
      <c r="H1556">
        <v>12.76</v>
      </c>
      <c r="I1556" t="s">
        <v>32</v>
      </c>
      <c r="J1556">
        <v>12</v>
      </c>
      <c r="K1556">
        <v>257</v>
      </c>
      <c r="L1556">
        <v>84.99</v>
      </c>
      <c r="M1556">
        <v>14.5</v>
      </c>
      <c r="N1556">
        <v>20.010000000000002</v>
      </c>
      <c r="O1556">
        <v>6.6</v>
      </c>
      <c r="P1556">
        <v>325.01</v>
      </c>
      <c r="Q1556">
        <v>139</v>
      </c>
      <c r="R1556">
        <v>2</v>
      </c>
      <c r="S1556">
        <v>96</v>
      </c>
    </row>
    <row r="1557" spans="1:19" x14ac:dyDescent="0.3">
      <c r="A1557">
        <v>1556</v>
      </c>
      <c r="B1557" t="s">
        <v>956</v>
      </c>
      <c r="C1557">
        <v>2023</v>
      </c>
      <c r="D1557" t="s">
        <v>226</v>
      </c>
      <c r="E1557">
        <v>10</v>
      </c>
      <c r="F1557" t="s">
        <v>34</v>
      </c>
      <c r="G1557" t="s">
        <v>40</v>
      </c>
      <c r="H1557">
        <v>49.76</v>
      </c>
      <c r="I1557" t="s">
        <v>27</v>
      </c>
      <c r="J1557">
        <v>40</v>
      </c>
      <c r="K1557">
        <v>357</v>
      </c>
      <c r="L1557">
        <v>88.92</v>
      </c>
      <c r="M1557">
        <v>9.11</v>
      </c>
      <c r="N1557">
        <v>5.67</v>
      </c>
      <c r="O1557">
        <v>14.91</v>
      </c>
      <c r="P1557">
        <v>532.15</v>
      </c>
      <c r="Q1557">
        <v>412</v>
      </c>
      <c r="R1557">
        <v>1</v>
      </c>
      <c r="S1557">
        <v>73</v>
      </c>
    </row>
    <row r="1558" spans="1:19" x14ac:dyDescent="0.3">
      <c r="A1558">
        <v>1557</v>
      </c>
      <c r="B1558" t="s">
        <v>962</v>
      </c>
      <c r="C1558">
        <v>2023</v>
      </c>
      <c r="D1558" t="s">
        <v>226</v>
      </c>
      <c r="E1558">
        <v>10</v>
      </c>
      <c r="F1558" t="s">
        <v>37</v>
      </c>
      <c r="G1558" t="s">
        <v>26</v>
      </c>
      <c r="H1558">
        <v>28.24</v>
      </c>
      <c r="I1558" t="s">
        <v>38</v>
      </c>
      <c r="J1558">
        <v>32</v>
      </c>
      <c r="K1558">
        <v>536</v>
      </c>
      <c r="L1558">
        <v>93.88</v>
      </c>
      <c r="M1558">
        <v>19.79</v>
      </c>
      <c r="N1558">
        <v>8.3699999999999992</v>
      </c>
      <c r="O1558">
        <v>9.26</v>
      </c>
      <c r="P1558">
        <v>150.82</v>
      </c>
      <c r="Q1558">
        <v>533</v>
      </c>
      <c r="R1558">
        <v>5</v>
      </c>
      <c r="S1558">
        <v>161</v>
      </c>
    </row>
    <row r="1559" spans="1:19" x14ac:dyDescent="0.3">
      <c r="A1559">
        <v>1558</v>
      </c>
      <c r="B1559" t="s">
        <v>963</v>
      </c>
      <c r="C1559">
        <v>2023</v>
      </c>
      <c r="D1559" t="s">
        <v>226</v>
      </c>
      <c r="E1559">
        <v>10</v>
      </c>
      <c r="F1559" t="s">
        <v>29</v>
      </c>
      <c r="G1559" t="s">
        <v>26</v>
      </c>
      <c r="H1559">
        <v>32.1</v>
      </c>
      <c r="I1559" t="s">
        <v>23</v>
      </c>
      <c r="J1559">
        <v>50</v>
      </c>
      <c r="K1559">
        <v>418</v>
      </c>
      <c r="L1559">
        <v>83.88</v>
      </c>
      <c r="M1559">
        <v>8.99</v>
      </c>
      <c r="N1559">
        <v>12.83</v>
      </c>
      <c r="O1559">
        <v>1.81</v>
      </c>
      <c r="P1559">
        <v>171.51</v>
      </c>
      <c r="Q1559">
        <v>447</v>
      </c>
      <c r="R1559">
        <v>4</v>
      </c>
      <c r="S1559">
        <v>168</v>
      </c>
    </row>
    <row r="1560" spans="1:19" x14ac:dyDescent="0.3">
      <c r="A1560">
        <v>1559</v>
      </c>
      <c r="B1560" t="s">
        <v>959</v>
      </c>
      <c r="C1560">
        <v>2023</v>
      </c>
      <c r="D1560" t="s">
        <v>226</v>
      </c>
      <c r="E1560">
        <v>10</v>
      </c>
      <c r="F1560" t="s">
        <v>25</v>
      </c>
      <c r="G1560" t="s">
        <v>42</v>
      </c>
      <c r="H1560">
        <v>37.549999999999997</v>
      </c>
      <c r="I1560" t="s">
        <v>47</v>
      </c>
      <c r="J1560">
        <v>28</v>
      </c>
      <c r="K1560">
        <v>350</v>
      </c>
      <c r="L1560">
        <v>93.89</v>
      </c>
      <c r="M1560">
        <v>7.93</v>
      </c>
      <c r="N1560">
        <v>17.62</v>
      </c>
      <c r="O1560">
        <v>12.33</v>
      </c>
      <c r="P1560">
        <v>353.31</v>
      </c>
      <c r="Q1560">
        <v>621</v>
      </c>
      <c r="R1560">
        <v>2</v>
      </c>
      <c r="S1560">
        <v>175</v>
      </c>
    </row>
    <row r="1561" spans="1:19" x14ac:dyDescent="0.3">
      <c r="A1561">
        <v>1560</v>
      </c>
      <c r="B1561" t="s">
        <v>964</v>
      </c>
      <c r="C1561">
        <v>2023</v>
      </c>
      <c r="D1561" t="s">
        <v>226</v>
      </c>
      <c r="E1561">
        <v>10</v>
      </c>
      <c r="F1561" t="s">
        <v>37</v>
      </c>
      <c r="G1561" t="s">
        <v>22</v>
      </c>
      <c r="H1561">
        <v>17.739999999999998</v>
      </c>
      <c r="I1561" t="s">
        <v>23</v>
      </c>
      <c r="J1561">
        <v>19</v>
      </c>
      <c r="K1561">
        <v>435</v>
      </c>
      <c r="L1561">
        <v>89.11</v>
      </c>
      <c r="M1561">
        <v>33.270000000000003</v>
      </c>
      <c r="N1561">
        <v>5.77</v>
      </c>
      <c r="O1561">
        <v>3.43</v>
      </c>
      <c r="P1561">
        <v>131.29</v>
      </c>
      <c r="Q1561">
        <v>1035</v>
      </c>
      <c r="R1561">
        <v>1</v>
      </c>
      <c r="S1561">
        <v>81</v>
      </c>
    </row>
    <row r="1562" spans="1:19" x14ac:dyDescent="0.3">
      <c r="A1562">
        <v>1561</v>
      </c>
      <c r="B1562" t="s">
        <v>965</v>
      </c>
      <c r="C1562">
        <v>2023</v>
      </c>
      <c r="D1562" t="s">
        <v>226</v>
      </c>
      <c r="E1562">
        <v>10</v>
      </c>
      <c r="F1562" t="s">
        <v>25</v>
      </c>
      <c r="G1562" t="s">
        <v>42</v>
      </c>
      <c r="H1562">
        <v>15.37</v>
      </c>
      <c r="I1562" t="s">
        <v>47</v>
      </c>
      <c r="J1562">
        <v>18</v>
      </c>
      <c r="K1562">
        <v>336</v>
      </c>
      <c r="L1562">
        <v>78.36</v>
      </c>
      <c r="M1562">
        <v>13.26</v>
      </c>
      <c r="N1562">
        <v>8.19</v>
      </c>
      <c r="O1562">
        <v>3.63</v>
      </c>
      <c r="P1562">
        <v>436.17</v>
      </c>
      <c r="Q1562">
        <v>215</v>
      </c>
      <c r="R1562">
        <v>2</v>
      </c>
      <c r="S1562">
        <v>180</v>
      </c>
    </row>
    <row r="1563" spans="1:19" x14ac:dyDescent="0.3">
      <c r="A1563">
        <v>1562</v>
      </c>
      <c r="B1563" t="s">
        <v>948</v>
      </c>
      <c r="C1563">
        <v>2023</v>
      </c>
      <c r="D1563" t="s">
        <v>226</v>
      </c>
      <c r="E1563">
        <v>10</v>
      </c>
      <c r="F1563" t="s">
        <v>31</v>
      </c>
      <c r="G1563" t="s">
        <v>22</v>
      </c>
      <c r="H1563">
        <v>38.5</v>
      </c>
      <c r="I1563" t="s">
        <v>47</v>
      </c>
      <c r="J1563">
        <v>29</v>
      </c>
      <c r="K1563">
        <v>233</v>
      </c>
      <c r="L1563">
        <v>78.680000000000007</v>
      </c>
      <c r="M1563">
        <v>16.34</v>
      </c>
      <c r="N1563">
        <v>7.53</v>
      </c>
      <c r="O1563">
        <v>11.95</v>
      </c>
      <c r="P1563">
        <v>279.13</v>
      </c>
      <c r="Q1563">
        <v>885</v>
      </c>
      <c r="R1563">
        <v>4</v>
      </c>
      <c r="S1563">
        <v>136</v>
      </c>
    </row>
    <row r="1564" spans="1:19" x14ac:dyDescent="0.3">
      <c r="A1564">
        <v>1563</v>
      </c>
      <c r="B1564" t="s">
        <v>958</v>
      </c>
      <c r="C1564">
        <v>2023</v>
      </c>
      <c r="D1564" t="s">
        <v>226</v>
      </c>
      <c r="E1564">
        <v>10</v>
      </c>
      <c r="F1564" t="s">
        <v>34</v>
      </c>
      <c r="G1564" t="s">
        <v>35</v>
      </c>
      <c r="H1564">
        <v>48.2</v>
      </c>
      <c r="I1564" t="s">
        <v>38</v>
      </c>
      <c r="J1564">
        <v>46</v>
      </c>
      <c r="K1564">
        <v>114</v>
      </c>
      <c r="L1564">
        <v>81.16</v>
      </c>
      <c r="M1564">
        <v>9.57</v>
      </c>
      <c r="N1564">
        <v>9.52</v>
      </c>
      <c r="O1564">
        <v>8.69</v>
      </c>
      <c r="P1564">
        <v>234.57</v>
      </c>
      <c r="Q1564">
        <v>610</v>
      </c>
      <c r="R1564">
        <v>3</v>
      </c>
      <c r="S1564">
        <v>150</v>
      </c>
    </row>
    <row r="1565" spans="1:19" x14ac:dyDescent="0.3">
      <c r="A1565">
        <v>1564</v>
      </c>
      <c r="B1565" t="s">
        <v>952</v>
      </c>
      <c r="C1565">
        <v>2023</v>
      </c>
      <c r="D1565" t="s">
        <v>226</v>
      </c>
      <c r="E1565">
        <v>10</v>
      </c>
      <c r="F1565" t="s">
        <v>31</v>
      </c>
      <c r="G1565" t="s">
        <v>26</v>
      </c>
      <c r="H1565">
        <v>25.14</v>
      </c>
      <c r="I1565" t="s">
        <v>38</v>
      </c>
      <c r="J1565">
        <v>2</v>
      </c>
      <c r="K1565">
        <v>224</v>
      </c>
      <c r="L1565">
        <v>82.79</v>
      </c>
      <c r="M1565">
        <v>26</v>
      </c>
      <c r="N1565">
        <v>7.73</v>
      </c>
      <c r="O1565">
        <v>10.029999999999999</v>
      </c>
      <c r="P1565">
        <v>254</v>
      </c>
      <c r="Q1565">
        <v>447</v>
      </c>
      <c r="R1565">
        <v>5</v>
      </c>
      <c r="S1565">
        <v>192</v>
      </c>
    </row>
    <row r="1566" spans="1:19" x14ac:dyDescent="0.3">
      <c r="A1566">
        <v>1565</v>
      </c>
      <c r="B1566" t="s">
        <v>966</v>
      </c>
      <c r="C1566">
        <v>2023</v>
      </c>
      <c r="D1566" t="s">
        <v>226</v>
      </c>
      <c r="E1566">
        <v>11</v>
      </c>
      <c r="F1566" t="s">
        <v>31</v>
      </c>
      <c r="G1566" t="s">
        <v>22</v>
      </c>
      <c r="H1566">
        <v>10.29</v>
      </c>
      <c r="I1566" t="s">
        <v>38</v>
      </c>
      <c r="J1566">
        <v>7</v>
      </c>
      <c r="K1566">
        <v>183</v>
      </c>
      <c r="L1566">
        <v>76.94</v>
      </c>
      <c r="M1566">
        <v>9.11</v>
      </c>
      <c r="N1566">
        <v>18.21</v>
      </c>
      <c r="O1566">
        <v>12.52</v>
      </c>
      <c r="P1566">
        <v>117.33</v>
      </c>
      <c r="Q1566">
        <v>951</v>
      </c>
      <c r="R1566">
        <v>4</v>
      </c>
      <c r="S1566">
        <v>157</v>
      </c>
    </row>
    <row r="1567" spans="1:19" x14ac:dyDescent="0.3">
      <c r="A1567">
        <v>1566</v>
      </c>
      <c r="B1567" t="s">
        <v>967</v>
      </c>
      <c r="C1567">
        <v>2023</v>
      </c>
      <c r="D1567" t="s">
        <v>226</v>
      </c>
      <c r="E1567">
        <v>11</v>
      </c>
      <c r="F1567" t="s">
        <v>25</v>
      </c>
      <c r="G1567" t="s">
        <v>40</v>
      </c>
      <c r="H1567">
        <v>47.78</v>
      </c>
      <c r="I1567" t="s">
        <v>47</v>
      </c>
      <c r="J1567">
        <v>31</v>
      </c>
      <c r="K1567">
        <v>253</v>
      </c>
      <c r="L1567">
        <v>81.2</v>
      </c>
      <c r="M1567">
        <v>34.950000000000003</v>
      </c>
      <c r="N1567">
        <v>14.1</v>
      </c>
      <c r="O1567">
        <v>4.54</v>
      </c>
      <c r="P1567">
        <v>566.33000000000004</v>
      </c>
      <c r="Q1567">
        <v>1092</v>
      </c>
      <c r="R1567">
        <v>2</v>
      </c>
      <c r="S1567">
        <v>90</v>
      </c>
    </row>
    <row r="1568" spans="1:19" x14ac:dyDescent="0.3">
      <c r="A1568">
        <v>1567</v>
      </c>
      <c r="B1568" t="s">
        <v>968</v>
      </c>
      <c r="C1568">
        <v>2023</v>
      </c>
      <c r="D1568" t="s">
        <v>226</v>
      </c>
      <c r="E1568">
        <v>11</v>
      </c>
      <c r="F1568" t="s">
        <v>62</v>
      </c>
      <c r="G1568" t="s">
        <v>26</v>
      </c>
      <c r="H1568">
        <v>10.58</v>
      </c>
      <c r="I1568" t="s">
        <v>47</v>
      </c>
      <c r="J1568">
        <v>33</v>
      </c>
      <c r="K1568">
        <v>454</v>
      </c>
      <c r="L1568">
        <v>84.68</v>
      </c>
      <c r="M1568">
        <v>24.23</v>
      </c>
      <c r="N1568">
        <v>9.2799999999999994</v>
      </c>
      <c r="O1568">
        <v>9.33</v>
      </c>
      <c r="P1568">
        <v>296.04000000000002</v>
      </c>
      <c r="Q1568">
        <v>461</v>
      </c>
      <c r="R1568">
        <v>3</v>
      </c>
      <c r="S1568">
        <v>210</v>
      </c>
    </row>
    <row r="1569" spans="1:19" x14ac:dyDescent="0.3">
      <c r="A1569">
        <v>1568</v>
      </c>
      <c r="B1569" t="s">
        <v>968</v>
      </c>
      <c r="C1569">
        <v>2023</v>
      </c>
      <c r="D1569" t="s">
        <v>226</v>
      </c>
      <c r="E1569">
        <v>11</v>
      </c>
      <c r="F1569" t="s">
        <v>31</v>
      </c>
      <c r="G1569" t="s">
        <v>26</v>
      </c>
      <c r="H1569">
        <v>35.43</v>
      </c>
      <c r="I1569" t="s">
        <v>38</v>
      </c>
      <c r="J1569">
        <v>50</v>
      </c>
      <c r="K1569">
        <v>502</v>
      </c>
      <c r="L1569">
        <v>76.290000000000006</v>
      </c>
      <c r="M1569">
        <v>34.06</v>
      </c>
      <c r="N1569">
        <v>8.3000000000000007</v>
      </c>
      <c r="O1569">
        <v>1.83</v>
      </c>
      <c r="P1569">
        <v>433.11</v>
      </c>
      <c r="Q1569">
        <v>555</v>
      </c>
      <c r="R1569">
        <v>2</v>
      </c>
      <c r="S1569">
        <v>158</v>
      </c>
    </row>
    <row r="1570" spans="1:19" x14ac:dyDescent="0.3">
      <c r="A1570">
        <v>1569</v>
      </c>
      <c r="B1570" t="s">
        <v>969</v>
      </c>
      <c r="C1570">
        <v>2023</v>
      </c>
      <c r="D1570" t="s">
        <v>226</v>
      </c>
      <c r="E1570">
        <v>11</v>
      </c>
      <c r="F1570" t="s">
        <v>21</v>
      </c>
      <c r="G1570" t="s">
        <v>42</v>
      </c>
      <c r="H1570">
        <v>33.299999999999997</v>
      </c>
      <c r="I1570" t="s">
        <v>23</v>
      </c>
      <c r="J1570">
        <v>35</v>
      </c>
      <c r="K1570">
        <v>288</v>
      </c>
      <c r="L1570">
        <v>81.64</v>
      </c>
      <c r="M1570">
        <v>20.43</v>
      </c>
      <c r="N1570">
        <v>13.17</v>
      </c>
      <c r="O1570">
        <v>9.35</v>
      </c>
      <c r="P1570">
        <v>302.02</v>
      </c>
      <c r="Q1570">
        <v>220</v>
      </c>
      <c r="R1570">
        <v>1</v>
      </c>
      <c r="S1570">
        <v>186</v>
      </c>
    </row>
    <row r="1571" spans="1:19" x14ac:dyDescent="0.3">
      <c r="A1571">
        <v>1570</v>
      </c>
      <c r="B1571" t="s">
        <v>969</v>
      </c>
      <c r="C1571">
        <v>2023</v>
      </c>
      <c r="D1571" t="s">
        <v>226</v>
      </c>
      <c r="E1571">
        <v>11</v>
      </c>
      <c r="F1571" t="s">
        <v>25</v>
      </c>
      <c r="G1571" t="s">
        <v>40</v>
      </c>
      <c r="H1571">
        <v>5.17</v>
      </c>
      <c r="I1571" t="s">
        <v>47</v>
      </c>
      <c r="J1571">
        <v>13</v>
      </c>
      <c r="K1571">
        <v>362</v>
      </c>
      <c r="L1571">
        <v>82.65</v>
      </c>
      <c r="M1571">
        <v>29.41</v>
      </c>
      <c r="N1571">
        <v>2.97</v>
      </c>
      <c r="O1571">
        <v>13.11</v>
      </c>
      <c r="P1571">
        <v>320.56</v>
      </c>
      <c r="Q1571">
        <v>511</v>
      </c>
      <c r="R1571">
        <v>2</v>
      </c>
      <c r="S1571">
        <v>79</v>
      </c>
    </row>
    <row r="1572" spans="1:19" x14ac:dyDescent="0.3">
      <c r="A1572">
        <v>1571</v>
      </c>
      <c r="B1572" t="s">
        <v>970</v>
      </c>
      <c r="C1572">
        <v>2023</v>
      </c>
      <c r="D1572" t="s">
        <v>226</v>
      </c>
      <c r="E1572">
        <v>11</v>
      </c>
      <c r="F1572" t="s">
        <v>31</v>
      </c>
      <c r="G1572" t="s">
        <v>35</v>
      </c>
      <c r="H1572">
        <v>47.45</v>
      </c>
      <c r="I1572" t="s">
        <v>32</v>
      </c>
      <c r="J1572">
        <v>32</v>
      </c>
      <c r="K1572">
        <v>454</v>
      </c>
      <c r="L1572">
        <v>76.099999999999994</v>
      </c>
      <c r="M1572">
        <v>25.06</v>
      </c>
      <c r="N1572">
        <v>2.1</v>
      </c>
      <c r="O1572">
        <v>15.45</v>
      </c>
      <c r="P1572">
        <v>131.97</v>
      </c>
      <c r="Q1572">
        <v>335</v>
      </c>
      <c r="R1572">
        <v>3</v>
      </c>
      <c r="S1572">
        <v>142</v>
      </c>
    </row>
    <row r="1573" spans="1:19" x14ac:dyDescent="0.3">
      <c r="A1573">
        <v>1572</v>
      </c>
      <c r="B1573" t="s">
        <v>971</v>
      </c>
      <c r="C1573">
        <v>2023</v>
      </c>
      <c r="D1573" t="s">
        <v>226</v>
      </c>
      <c r="E1573">
        <v>11</v>
      </c>
      <c r="F1573" t="s">
        <v>31</v>
      </c>
      <c r="G1573" t="s">
        <v>35</v>
      </c>
      <c r="H1573">
        <v>27.11</v>
      </c>
      <c r="I1573" t="s">
        <v>38</v>
      </c>
      <c r="J1573">
        <v>11</v>
      </c>
      <c r="K1573">
        <v>165</v>
      </c>
      <c r="L1573">
        <v>90.11</v>
      </c>
      <c r="M1573">
        <v>32.39</v>
      </c>
      <c r="N1573">
        <v>8.86</v>
      </c>
      <c r="O1573">
        <v>9.39</v>
      </c>
      <c r="P1573">
        <v>245.58</v>
      </c>
      <c r="Q1573">
        <v>1047</v>
      </c>
      <c r="R1573">
        <v>3</v>
      </c>
      <c r="S1573">
        <v>81</v>
      </c>
    </row>
    <row r="1574" spans="1:19" x14ac:dyDescent="0.3">
      <c r="A1574">
        <v>1573</v>
      </c>
      <c r="B1574" t="s">
        <v>972</v>
      </c>
      <c r="C1574">
        <v>2023</v>
      </c>
      <c r="D1574" t="s">
        <v>226</v>
      </c>
      <c r="E1574">
        <v>11</v>
      </c>
      <c r="F1574" t="s">
        <v>53</v>
      </c>
      <c r="G1574" t="s">
        <v>22</v>
      </c>
      <c r="H1574">
        <v>40.47</v>
      </c>
      <c r="I1574" t="s">
        <v>27</v>
      </c>
      <c r="J1574">
        <v>38</v>
      </c>
      <c r="K1574">
        <v>472</v>
      </c>
      <c r="L1574">
        <v>85.19</v>
      </c>
      <c r="M1574">
        <v>17.850000000000001</v>
      </c>
      <c r="N1574">
        <v>11.5</v>
      </c>
      <c r="O1574">
        <v>5.59</v>
      </c>
      <c r="P1574">
        <v>174.74</v>
      </c>
      <c r="Q1574">
        <v>645</v>
      </c>
      <c r="R1574">
        <v>2</v>
      </c>
      <c r="S1574">
        <v>153</v>
      </c>
    </row>
    <row r="1575" spans="1:19" x14ac:dyDescent="0.3">
      <c r="A1575">
        <v>1574</v>
      </c>
      <c r="B1575" t="s">
        <v>966</v>
      </c>
      <c r="C1575">
        <v>2023</v>
      </c>
      <c r="D1575" t="s">
        <v>226</v>
      </c>
      <c r="E1575">
        <v>11</v>
      </c>
      <c r="F1575" t="s">
        <v>37</v>
      </c>
      <c r="G1575" t="s">
        <v>35</v>
      </c>
      <c r="H1575">
        <v>26.34</v>
      </c>
      <c r="I1575" t="s">
        <v>38</v>
      </c>
      <c r="J1575">
        <v>35</v>
      </c>
      <c r="K1575">
        <v>208</v>
      </c>
      <c r="L1575">
        <v>76.66</v>
      </c>
      <c r="M1575">
        <v>33.83</v>
      </c>
      <c r="N1575">
        <v>16.329999999999998</v>
      </c>
      <c r="O1575">
        <v>4.58</v>
      </c>
      <c r="P1575">
        <v>468.72</v>
      </c>
      <c r="Q1575">
        <v>967</v>
      </c>
      <c r="R1575">
        <v>2</v>
      </c>
      <c r="S1575">
        <v>215</v>
      </c>
    </row>
    <row r="1576" spans="1:19" x14ac:dyDescent="0.3">
      <c r="A1576">
        <v>1575</v>
      </c>
      <c r="B1576" t="s">
        <v>966</v>
      </c>
      <c r="C1576">
        <v>2023</v>
      </c>
      <c r="D1576" t="s">
        <v>226</v>
      </c>
      <c r="E1576">
        <v>11</v>
      </c>
      <c r="F1576" t="s">
        <v>29</v>
      </c>
      <c r="G1576" t="s">
        <v>42</v>
      </c>
      <c r="H1576">
        <v>23.22</v>
      </c>
      <c r="I1576" t="s">
        <v>38</v>
      </c>
      <c r="J1576">
        <v>43</v>
      </c>
      <c r="K1576">
        <v>384</v>
      </c>
      <c r="L1576">
        <v>94.88</v>
      </c>
      <c r="M1576">
        <v>16.170000000000002</v>
      </c>
      <c r="N1576">
        <v>12.08</v>
      </c>
      <c r="O1576">
        <v>13.7</v>
      </c>
      <c r="P1576">
        <v>572.65</v>
      </c>
      <c r="Q1576">
        <v>800</v>
      </c>
      <c r="R1576">
        <v>4</v>
      </c>
      <c r="S1576">
        <v>120</v>
      </c>
    </row>
    <row r="1577" spans="1:19" x14ac:dyDescent="0.3">
      <c r="A1577">
        <v>1576</v>
      </c>
      <c r="B1577" t="s">
        <v>973</v>
      </c>
      <c r="C1577">
        <v>2023</v>
      </c>
      <c r="D1577" t="s">
        <v>226</v>
      </c>
      <c r="E1577">
        <v>11</v>
      </c>
      <c r="F1577" t="s">
        <v>62</v>
      </c>
      <c r="G1577" t="s">
        <v>22</v>
      </c>
      <c r="H1577">
        <v>19.8</v>
      </c>
      <c r="I1577" t="s">
        <v>27</v>
      </c>
      <c r="J1577">
        <v>14</v>
      </c>
      <c r="K1577">
        <v>257</v>
      </c>
      <c r="L1577">
        <v>93.76</v>
      </c>
      <c r="M1577">
        <v>17.93</v>
      </c>
      <c r="N1577">
        <v>19.440000000000001</v>
      </c>
      <c r="O1577">
        <v>4.08</v>
      </c>
      <c r="P1577">
        <v>557.47</v>
      </c>
      <c r="Q1577">
        <v>821</v>
      </c>
      <c r="R1577">
        <v>5</v>
      </c>
      <c r="S1577">
        <v>100</v>
      </c>
    </row>
    <row r="1578" spans="1:19" x14ac:dyDescent="0.3">
      <c r="A1578">
        <v>1577</v>
      </c>
      <c r="B1578" t="s">
        <v>974</v>
      </c>
      <c r="C1578">
        <v>2023</v>
      </c>
      <c r="D1578" t="s">
        <v>226</v>
      </c>
      <c r="E1578">
        <v>11</v>
      </c>
      <c r="F1578" t="s">
        <v>25</v>
      </c>
      <c r="G1578" t="s">
        <v>22</v>
      </c>
      <c r="H1578">
        <v>22.3</v>
      </c>
      <c r="I1578" t="s">
        <v>23</v>
      </c>
      <c r="J1578">
        <v>31</v>
      </c>
      <c r="K1578">
        <v>397</v>
      </c>
      <c r="L1578">
        <v>76.599999999999994</v>
      </c>
      <c r="M1578">
        <v>28.28</v>
      </c>
      <c r="N1578">
        <v>7.67</v>
      </c>
      <c r="O1578">
        <v>13.35</v>
      </c>
      <c r="P1578">
        <v>259.83</v>
      </c>
      <c r="Q1578">
        <v>650</v>
      </c>
      <c r="R1578">
        <v>4</v>
      </c>
      <c r="S1578">
        <v>69</v>
      </c>
    </row>
    <row r="1579" spans="1:19" x14ac:dyDescent="0.3">
      <c r="A1579">
        <v>1578</v>
      </c>
      <c r="B1579" t="s">
        <v>968</v>
      </c>
      <c r="C1579">
        <v>2023</v>
      </c>
      <c r="D1579" t="s">
        <v>226</v>
      </c>
      <c r="E1579">
        <v>11</v>
      </c>
      <c r="F1579" t="s">
        <v>62</v>
      </c>
      <c r="G1579" t="s">
        <v>42</v>
      </c>
      <c r="H1579">
        <v>16.55</v>
      </c>
      <c r="I1579" t="s">
        <v>47</v>
      </c>
      <c r="J1579">
        <v>25</v>
      </c>
      <c r="K1579">
        <v>165</v>
      </c>
      <c r="L1579">
        <v>87.98</v>
      </c>
      <c r="M1579">
        <v>12.1</v>
      </c>
      <c r="N1579">
        <v>11.71</v>
      </c>
      <c r="O1579">
        <v>2.39</v>
      </c>
      <c r="P1579">
        <v>198.51</v>
      </c>
      <c r="Q1579">
        <v>307</v>
      </c>
      <c r="R1579">
        <v>5</v>
      </c>
      <c r="S1579">
        <v>202</v>
      </c>
    </row>
    <row r="1580" spans="1:19" x14ac:dyDescent="0.3">
      <c r="A1580">
        <v>1579</v>
      </c>
      <c r="B1580" t="s">
        <v>975</v>
      </c>
      <c r="C1580">
        <v>2023</v>
      </c>
      <c r="D1580" t="s">
        <v>226</v>
      </c>
      <c r="E1580">
        <v>11</v>
      </c>
      <c r="F1580" t="s">
        <v>62</v>
      </c>
      <c r="G1580" t="s">
        <v>35</v>
      </c>
      <c r="H1580">
        <v>24.67</v>
      </c>
      <c r="I1580" t="s">
        <v>38</v>
      </c>
      <c r="J1580">
        <v>34</v>
      </c>
      <c r="K1580">
        <v>489</v>
      </c>
      <c r="L1580">
        <v>85.5</v>
      </c>
      <c r="M1580">
        <v>29.59</v>
      </c>
      <c r="N1580">
        <v>10.28</v>
      </c>
      <c r="O1580">
        <v>3.56</v>
      </c>
      <c r="P1580">
        <v>508.21</v>
      </c>
      <c r="Q1580">
        <v>768</v>
      </c>
      <c r="R1580">
        <v>5</v>
      </c>
      <c r="S1580">
        <v>175</v>
      </c>
    </row>
    <row r="1581" spans="1:19" x14ac:dyDescent="0.3">
      <c r="A1581">
        <v>1580</v>
      </c>
      <c r="B1581" t="s">
        <v>976</v>
      </c>
      <c r="C1581">
        <v>2023</v>
      </c>
      <c r="D1581" t="s">
        <v>226</v>
      </c>
      <c r="E1581">
        <v>11</v>
      </c>
      <c r="F1581" t="s">
        <v>34</v>
      </c>
      <c r="G1581" t="s">
        <v>22</v>
      </c>
      <c r="H1581">
        <v>52.96</v>
      </c>
      <c r="I1581" t="s">
        <v>23</v>
      </c>
      <c r="J1581">
        <v>14</v>
      </c>
      <c r="K1581">
        <v>308</v>
      </c>
      <c r="L1581">
        <v>92.35</v>
      </c>
      <c r="M1581">
        <v>18.18</v>
      </c>
      <c r="N1581">
        <v>21.17</v>
      </c>
      <c r="O1581">
        <v>2.35</v>
      </c>
      <c r="P1581">
        <v>591.36</v>
      </c>
      <c r="Q1581">
        <v>1029</v>
      </c>
      <c r="R1581">
        <v>5</v>
      </c>
      <c r="S1581">
        <v>211</v>
      </c>
    </row>
    <row r="1582" spans="1:19" x14ac:dyDescent="0.3">
      <c r="A1582">
        <v>1581</v>
      </c>
      <c r="B1582" t="s">
        <v>977</v>
      </c>
      <c r="C1582">
        <v>2023</v>
      </c>
      <c r="D1582" t="s">
        <v>226</v>
      </c>
      <c r="E1582">
        <v>11</v>
      </c>
      <c r="F1582" t="s">
        <v>31</v>
      </c>
      <c r="G1582" t="s">
        <v>26</v>
      </c>
      <c r="H1582">
        <v>24.12</v>
      </c>
      <c r="I1582" t="s">
        <v>23</v>
      </c>
      <c r="J1582">
        <v>44</v>
      </c>
      <c r="K1582">
        <v>197</v>
      </c>
      <c r="L1582">
        <v>87.68</v>
      </c>
      <c r="M1582">
        <v>9.36</v>
      </c>
      <c r="N1582">
        <v>11.49</v>
      </c>
      <c r="O1582">
        <v>9.84</v>
      </c>
      <c r="P1582">
        <v>273.49</v>
      </c>
      <c r="Q1582">
        <v>621</v>
      </c>
      <c r="R1582">
        <v>3</v>
      </c>
      <c r="S1582">
        <v>233</v>
      </c>
    </row>
    <row r="1583" spans="1:19" x14ac:dyDescent="0.3">
      <c r="A1583">
        <v>1582</v>
      </c>
      <c r="B1583" t="s">
        <v>978</v>
      </c>
      <c r="C1583">
        <v>2023</v>
      </c>
      <c r="D1583" t="s">
        <v>226</v>
      </c>
      <c r="E1583">
        <v>11</v>
      </c>
      <c r="F1583" t="s">
        <v>31</v>
      </c>
      <c r="G1583" t="s">
        <v>22</v>
      </c>
      <c r="H1583">
        <v>49.77</v>
      </c>
      <c r="I1583" t="s">
        <v>27</v>
      </c>
      <c r="J1583">
        <v>20</v>
      </c>
      <c r="K1583">
        <v>180</v>
      </c>
      <c r="L1583">
        <v>83.03</v>
      </c>
      <c r="M1583">
        <v>23.56</v>
      </c>
      <c r="N1583">
        <v>8.51</v>
      </c>
      <c r="O1583">
        <v>13.33</v>
      </c>
      <c r="P1583">
        <v>234.03</v>
      </c>
      <c r="Q1583">
        <v>782</v>
      </c>
      <c r="R1583">
        <v>2</v>
      </c>
      <c r="S1583">
        <v>72</v>
      </c>
    </row>
    <row r="1584" spans="1:19" x14ac:dyDescent="0.3">
      <c r="A1584">
        <v>1583</v>
      </c>
      <c r="B1584" t="s">
        <v>971</v>
      </c>
      <c r="C1584">
        <v>2023</v>
      </c>
      <c r="D1584" t="s">
        <v>226</v>
      </c>
      <c r="E1584">
        <v>11</v>
      </c>
      <c r="F1584" t="s">
        <v>53</v>
      </c>
      <c r="G1584" t="s">
        <v>35</v>
      </c>
      <c r="H1584">
        <v>6.87</v>
      </c>
      <c r="I1584" t="s">
        <v>32</v>
      </c>
      <c r="J1584">
        <v>50</v>
      </c>
      <c r="K1584">
        <v>542</v>
      </c>
      <c r="L1584">
        <v>88.1</v>
      </c>
      <c r="M1584">
        <v>28.46</v>
      </c>
      <c r="N1584">
        <v>9.48</v>
      </c>
      <c r="O1584">
        <v>9.9499999999999993</v>
      </c>
      <c r="P1584">
        <v>107.34</v>
      </c>
      <c r="Q1584">
        <v>526</v>
      </c>
      <c r="R1584">
        <v>4</v>
      </c>
      <c r="S1584">
        <v>100</v>
      </c>
    </row>
    <row r="1585" spans="1:19" x14ac:dyDescent="0.3">
      <c r="A1585">
        <v>1584</v>
      </c>
      <c r="B1585" t="s">
        <v>979</v>
      </c>
      <c r="C1585">
        <v>2023</v>
      </c>
      <c r="D1585" t="s">
        <v>226</v>
      </c>
      <c r="E1585">
        <v>11</v>
      </c>
      <c r="F1585" t="s">
        <v>34</v>
      </c>
      <c r="G1585" t="s">
        <v>22</v>
      </c>
      <c r="H1585">
        <v>40.56</v>
      </c>
      <c r="I1585" t="s">
        <v>38</v>
      </c>
      <c r="J1585">
        <v>37</v>
      </c>
      <c r="K1585">
        <v>253</v>
      </c>
      <c r="L1585">
        <v>77.53</v>
      </c>
      <c r="M1585">
        <v>34.869999999999997</v>
      </c>
      <c r="N1585">
        <v>17.95</v>
      </c>
      <c r="O1585">
        <v>1.59</v>
      </c>
      <c r="P1585">
        <v>424.91</v>
      </c>
      <c r="Q1585">
        <v>387</v>
      </c>
      <c r="R1585">
        <v>3</v>
      </c>
      <c r="S1585">
        <v>94</v>
      </c>
    </row>
    <row r="1586" spans="1:19" x14ac:dyDescent="0.3">
      <c r="A1586">
        <v>1585</v>
      </c>
      <c r="B1586" t="s">
        <v>980</v>
      </c>
      <c r="C1586">
        <v>2023</v>
      </c>
      <c r="D1586" t="s">
        <v>226</v>
      </c>
      <c r="E1586">
        <v>11</v>
      </c>
      <c r="F1586" t="s">
        <v>21</v>
      </c>
      <c r="G1586" t="s">
        <v>40</v>
      </c>
      <c r="H1586">
        <v>33.72</v>
      </c>
      <c r="I1586" t="s">
        <v>27</v>
      </c>
      <c r="J1586">
        <v>50</v>
      </c>
      <c r="K1586">
        <v>322</v>
      </c>
      <c r="L1586">
        <v>76.760000000000005</v>
      </c>
      <c r="M1586">
        <v>21.67</v>
      </c>
      <c r="N1586">
        <v>21.97</v>
      </c>
      <c r="O1586">
        <v>4.97</v>
      </c>
      <c r="P1586">
        <v>481.65</v>
      </c>
      <c r="Q1586">
        <v>731</v>
      </c>
      <c r="R1586">
        <v>1</v>
      </c>
      <c r="S1586">
        <v>80</v>
      </c>
    </row>
    <row r="1587" spans="1:19" x14ac:dyDescent="0.3">
      <c r="A1587">
        <v>1586</v>
      </c>
      <c r="B1587" t="s">
        <v>978</v>
      </c>
      <c r="C1587">
        <v>2023</v>
      </c>
      <c r="D1587" t="s">
        <v>226</v>
      </c>
      <c r="E1587">
        <v>11</v>
      </c>
      <c r="F1587" t="s">
        <v>29</v>
      </c>
      <c r="G1587" t="s">
        <v>40</v>
      </c>
      <c r="H1587">
        <v>50.58</v>
      </c>
      <c r="I1587" t="s">
        <v>27</v>
      </c>
      <c r="J1587">
        <v>38</v>
      </c>
      <c r="K1587">
        <v>570</v>
      </c>
      <c r="L1587">
        <v>78.349999999999994</v>
      </c>
      <c r="M1587">
        <v>30.31</v>
      </c>
      <c r="N1587">
        <v>11.48</v>
      </c>
      <c r="O1587">
        <v>4.32</v>
      </c>
      <c r="P1587">
        <v>247.96</v>
      </c>
      <c r="Q1587">
        <v>741</v>
      </c>
      <c r="R1587">
        <v>5</v>
      </c>
      <c r="S1587">
        <v>65</v>
      </c>
    </row>
    <row r="1588" spans="1:19" x14ac:dyDescent="0.3">
      <c r="A1588">
        <v>1587</v>
      </c>
      <c r="B1588" t="s">
        <v>981</v>
      </c>
      <c r="C1588">
        <v>2023</v>
      </c>
      <c r="D1588" t="s">
        <v>226</v>
      </c>
      <c r="E1588">
        <v>11</v>
      </c>
      <c r="F1588" t="s">
        <v>37</v>
      </c>
      <c r="G1588" t="s">
        <v>35</v>
      </c>
      <c r="H1588">
        <v>38.83</v>
      </c>
      <c r="I1588" t="s">
        <v>23</v>
      </c>
      <c r="J1588">
        <v>34</v>
      </c>
      <c r="K1588">
        <v>574</v>
      </c>
      <c r="L1588">
        <v>78.66</v>
      </c>
      <c r="M1588">
        <v>10.69</v>
      </c>
      <c r="N1588">
        <v>6.13</v>
      </c>
      <c r="O1588">
        <v>4.5</v>
      </c>
      <c r="P1588">
        <v>401.88</v>
      </c>
      <c r="Q1588">
        <v>1090</v>
      </c>
      <c r="R1588">
        <v>1</v>
      </c>
      <c r="S1588">
        <v>112</v>
      </c>
    </row>
    <row r="1589" spans="1:19" x14ac:dyDescent="0.3">
      <c r="A1589">
        <v>1588</v>
      </c>
      <c r="B1589" t="s">
        <v>982</v>
      </c>
      <c r="C1589">
        <v>2023</v>
      </c>
      <c r="D1589" t="s">
        <v>226</v>
      </c>
      <c r="E1589">
        <v>11</v>
      </c>
      <c r="F1589" t="s">
        <v>53</v>
      </c>
      <c r="G1589" t="s">
        <v>35</v>
      </c>
      <c r="H1589">
        <v>18.53</v>
      </c>
      <c r="I1589" t="s">
        <v>47</v>
      </c>
      <c r="J1589">
        <v>41</v>
      </c>
      <c r="K1589">
        <v>361</v>
      </c>
      <c r="L1589">
        <v>78.33</v>
      </c>
      <c r="M1589">
        <v>23.1</v>
      </c>
      <c r="N1589">
        <v>3.8</v>
      </c>
      <c r="O1589">
        <v>12.31</v>
      </c>
      <c r="P1589">
        <v>318.56</v>
      </c>
      <c r="Q1589">
        <v>261</v>
      </c>
      <c r="R1589">
        <v>3</v>
      </c>
      <c r="S1589">
        <v>226</v>
      </c>
    </row>
    <row r="1590" spans="1:19" x14ac:dyDescent="0.3">
      <c r="A1590">
        <v>1589</v>
      </c>
      <c r="B1590" t="s">
        <v>967</v>
      </c>
      <c r="C1590">
        <v>2023</v>
      </c>
      <c r="D1590" t="s">
        <v>226</v>
      </c>
      <c r="E1590">
        <v>11</v>
      </c>
      <c r="F1590" t="s">
        <v>31</v>
      </c>
      <c r="G1590" t="s">
        <v>42</v>
      </c>
      <c r="H1590">
        <v>34.9</v>
      </c>
      <c r="I1590" t="s">
        <v>32</v>
      </c>
      <c r="J1590">
        <v>3</v>
      </c>
      <c r="K1590">
        <v>213</v>
      </c>
      <c r="L1590">
        <v>82.82</v>
      </c>
      <c r="M1590">
        <v>30.3</v>
      </c>
      <c r="N1590">
        <v>19.36</v>
      </c>
      <c r="O1590">
        <v>9.9</v>
      </c>
      <c r="P1590">
        <v>205.11</v>
      </c>
      <c r="Q1590">
        <v>367</v>
      </c>
      <c r="R1590">
        <v>5</v>
      </c>
      <c r="S1590">
        <v>241</v>
      </c>
    </row>
    <row r="1591" spans="1:19" x14ac:dyDescent="0.3">
      <c r="A1591">
        <v>1590</v>
      </c>
      <c r="B1591" t="s">
        <v>983</v>
      </c>
      <c r="C1591">
        <v>2023</v>
      </c>
      <c r="D1591" t="s">
        <v>226</v>
      </c>
      <c r="E1591">
        <v>11</v>
      </c>
      <c r="F1591" t="s">
        <v>29</v>
      </c>
      <c r="G1591" t="s">
        <v>26</v>
      </c>
      <c r="H1591">
        <v>38.81</v>
      </c>
      <c r="I1591" t="s">
        <v>47</v>
      </c>
      <c r="J1591">
        <v>39</v>
      </c>
      <c r="K1591">
        <v>483</v>
      </c>
      <c r="L1591">
        <v>79.11</v>
      </c>
      <c r="M1591">
        <v>15.49</v>
      </c>
      <c r="N1591">
        <v>9.06</v>
      </c>
      <c r="O1591">
        <v>10.119999999999999</v>
      </c>
      <c r="P1591">
        <v>483.28</v>
      </c>
      <c r="Q1591">
        <v>548</v>
      </c>
      <c r="R1591">
        <v>1</v>
      </c>
      <c r="S1591">
        <v>249</v>
      </c>
    </row>
    <row r="1592" spans="1:19" x14ac:dyDescent="0.3">
      <c r="A1592">
        <v>1591</v>
      </c>
      <c r="B1592" t="s">
        <v>982</v>
      </c>
      <c r="C1592">
        <v>2023</v>
      </c>
      <c r="D1592" t="s">
        <v>226</v>
      </c>
      <c r="E1592">
        <v>11</v>
      </c>
      <c r="F1592" t="s">
        <v>37</v>
      </c>
      <c r="G1592" t="s">
        <v>26</v>
      </c>
      <c r="H1592">
        <v>6.07</v>
      </c>
      <c r="I1592" t="s">
        <v>23</v>
      </c>
      <c r="J1592">
        <v>5</v>
      </c>
      <c r="K1592">
        <v>504</v>
      </c>
      <c r="L1592">
        <v>76.260000000000005</v>
      </c>
      <c r="M1592">
        <v>5.35</v>
      </c>
      <c r="N1592">
        <v>3.55</v>
      </c>
      <c r="O1592">
        <v>15.2</v>
      </c>
      <c r="P1592">
        <v>509.17</v>
      </c>
      <c r="Q1592">
        <v>319</v>
      </c>
      <c r="R1592">
        <v>5</v>
      </c>
      <c r="S1592">
        <v>195</v>
      </c>
    </row>
    <row r="1593" spans="1:19" x14ac:dyDescent="0.3">
      <c r="A1593">
        <v>1592</v>
      </c>
      <c r="B1593" t="s">
        <v>984</v>
      </c>
      <c r="C1593">
        <v>2023</v>
      </c>
      <c r="D1593" t="s">
        <v>226</v>
      </c>
      <c r="E1593">
        <v>11</v>
      </c>
      <c r="F1593" t="s">
        <v>34</v>
      </c>
      <c r="G1593" t="s">
        <v>42</v>
      </c>
      <c r="H1593">
        <v>23.06</v>
      </c>
      <c r="I1593" t="s">
        <v>27</v>
      </c>
      <c r="J1593">
        <v>15</v>
      </c>
      <c r="K1593">
        <v>557</v>
      </c>
      <c r="L1593">
        <v>86.59</v>
      </c>
      <c r="M1593">
        <v>15.43</v>
      </c>
      <c r="N1593">
        <v>16.239999999999998</v>
      </c>
      <c r="O1593">
        <v>12.3</v>
      </c>
      <c r="P1593">
        <v>489.64</v>
      </c>
      <c r="Q1593">
        <v>1006</v>
      </c>
      <c r="R1593">
        <v>3</v>
      </c>
      <c r="S1593">
        <v>73</v>
      </c>
    </row>
    <row r="1594" spans="1:19" x14ac:dyDescent="0.3">
      <c r="A1594">
        <v>1593</v>
      </c>
      <c r="B1594" t="s">
        <v>985</v>
      </c>
      <c r="C1594">
        <v>2023</v>
      </c>
      <c r="D1594" t="s">
        <v>226</v>
      </c>
      <c r="E1594">
        <v>11</v>
      </c>
      <c r="F1594" t="s">
        <v>62</v>
      </c>
      <c r="G1594" t="s">
        <v>26</v>
      </c>
      <c r="H1594">
        <v>17.62</v>
      </c>
      <c r="I1594" t="s">
        <v>38</v>
      </c>
      <c r="J1594">
        <v>15</v>
      </c>
      <c r="K1594">
        <v>392</v>
      </c>
      <c r="L1594">
        <v>75.989999999999995</v>
      </c>
      <c r="M1594">
        <v>11.33</v>
      </c>
      <c r="N1594">
        <v>9.52</v>
      </c>
      <c r="O1594">
        <v>9.57</v>
      </c>
      <c r="P1594">
        <v>215.85</v>
      </c>
      <c r="Q1594">
        <v>854</v>
      </c>
      <c r="R1594">
        <v>5</v>
      </c>
      <c r="S1594">
        <v>121</v>
      </c>
    </row>
    <row r="1595" spans="1:19" x14ac:dyDescent="0.3">
      <c r="A1595">
        <v>1594</v>
      </c>
      <c r="B1595" t="s">
        <v>966</v>
      </c>
      <c r="C1595">
        <v>2023</v>
      </c>
      <c r="D1595" t="s">
        <v>226</v>
      </c>
      <c r="E1595">
        <v>11</v>
      </c>
      <c r="F1595" t="s">
        <v>29</v>
      </c>
      <c r="G1595" t="s">
        <v>42</v>
      </c>
      <c r="H1595">
        <v>6.5</v>
      </c>
      <c r="I1595" t="s">
        <v>27</v>
      </c>
      <c r="J1595">
        <v>1</v>
      </c>
      <c r="K1595">
        <v>482</v>
      </c>
      <c r="L1595">
        <v>81.39</v>
      </c>
      <c r="M1595">
        <v>18.760000000000002</v>
      </c>
      <c r="N1595">
        <v>11.41</v>
      </c>
      <c r="O1595">
        <v>1.58</v>
      </c>
      <c r="P1595">
        <v>570.63</v>
      </c>
      <c r="Q1595">
        <v>168</v>
      </c>
      <c r="R1595">
        <v>2</v>
      </c>
      <c r="S1595">
        <v>96</v>
      </c>
    </row>
    <row r="1596" spans="1:19" x14ac:dyDescent="0.3">
      <c r="A1596">
        <v>1595</v>
      </c>
      <c r="B1596" t="s">
        <v>986</v>
      </c>
      <c r="C1596">
        <v>2023</v>
      </c>
      <c r="D1596" t="s">
        <v>226</v>
      </c>
      <c r="E1596">
        <v>11</v>
      </c>
      <c r="F1596" t="s">
        <v>29</v>
      </c>
      <c r="G1596" t="s">
        <v>35</v>
      </c>
      <c r="H1596">
        <v>20.97</v>
      </c>
      <c r="I1596" t="s">
        <v>23</v>
      </c>
      <c r="J1596">
        <v>19</v>
      </c>
      <c r="K1596">
        <v>335</v>
      </c>
      <c r="L1596">
        <v>89.42</v>
      </c>
      <c r="M1596">
        <v>28.32</v>
      </c>
      <c r="N1596">
        <v>20.46</v>
      </c>
      <c r="O1596">
        <v>15.92</v>
      </c>
      <c r="P1596">
        <v>137.6</v>
      </c>
      <c r="Q1596">
        <v>960</v>
      </c>
      <c r="R1596">
        <v>3</v>
      </c>
      <c r="S1596">
        <v>127</v>
      </c>
    </row>
    <row r="1597" spans="1:19" x14ac:dyDescent="0.3">
      <c r="A1597">
        <v>1596</v>
      </c>
      <c r="B1597" t="s">
        <v>978</v>
      </c>
      <c r="C1597">
        <v>2023</v>
      </c>
      <c r="D1597" t="s">
        <v>226</v>
      </c>
      <c r="E1597">
        <v>11</v>
      </c>
      <c r="F1597" t="s">
        <v>25</v>
      </c>
      <c r="G1597" t="s">
        <v>40</v>
      </c>
      <c r="H1597">
        <v>29.26</v>
      </c>
      <c r="I1597" t="s">
        <v>32</v>
      </c>
      <c r="J1597">
        <v>1</v>
      </c>
      <c r="K1597">
        <v>163</v>
      </c>
      <c r="L1597">
        <v>85.42</v>
      </c>
      <c r="M1597">
        <v>25.38</v>
      </c>
      <c r="N1597">
        <v>10.1</v>
      </c>
      <c r="O1597">
        <v>15.47</v>
      </c>
      <c r="P1597">
        <v>175.37</v>
      </c>
      <c r="Q1597">
        <v>323</v>
      </c>
      <c r="R1597">
        <v>3</v>
      </c>
      <c r="S1597">
        <v>82</v>
      </c>
    </row>
    <row r="1598" spans="1:19" x14ac:dyDescent="0.3">
      <c r="A1598">
        <v>1597</v>
      </c>
      <c r="B1598" t="s">
        <v>974</v>
      </c>
      <c r="C1598">
        <v>2023</v>
      </c>
      <c r="D1598" t="s">
        <v>226</v>
      </c>
      <c r="E1598">
        <v>11</v>
      </c>
      <c r="F1598" t="s">
        <v>53</v>
      </c>
      <c r="G1598" t="s">
        <v>42</v>
      </c>
      <c r="H1598">
        <v>15.92</v>
      </c>
      <c r="I1598" t="s">
        <v>27</v>
      </c>
      <c r="J1598">
        <v>10</v>
      </c>
      <c r="K1598">
        <v>590</v>
      </c>
      <c r="L1598">
        <v>87.31</v>
      </c>
      <c r="M1598">
        <v>18.010000000000002</v>
      </c>
      <c r="N1598">
        <v>11.07</v>
      </c>
      <c r="O1598">
        <v>4.3499999999999996</v>
      </c>
      <c r="P1598">
        <v>301.73</v>
      </c>
      <c r="Q1598">
        <v>691</v>
      </c>
      <c r="R1598">
        <v>2</v>
      </c>
      <c r="S1598">
        <v>127</v>
      </c>
    </row>
    <row r="1599" spans="1:19" x14ac:dyDescent="0.3">
      <c r="A1599">
        <v>1598</v>
      </c>
      <c r="B1599" t="s">
        <v>981</v>
      </c>
      <c r="C1599">
        <v>2023</v>
      </c>
      <c r="D1599" t="s">
        <v>226</v>
      </c>
      <c r="E1599">
        <v>11</v>
      </c>
      <c r="F1599" t="s">
        <v>34</v>
      </c>
      <c r="G1599" t="s">
        <v>26</v>
      </c>
      <c r="H1599">
        <v>9.25</v>
      </c>
      <c r="I1599" t="s">
        <v>32</v>
      </c>
      <c r="J1599">
        <v>19</v>
      </c>
      <c r="K1599">
        <v>141</v>
      </c>
      <c r="L1599">
        <v>90.12</v>
      </c>
      <c r="M1599">
        <v>12.7</v>
      </c>
      <c r="N1599">
        <v>20.78</v>
      </c>
      <c r="O1599">
        <v>6.1</v>
      </c>
      <c r="P1599">
        <v>523.27</v>
      </c>
      <c r="Q1599">
        <v>174</v>
      </c>
      <c r="R1599">
        <v>2</v>
      </c>
      <c r="S1599">
        <v>140</v>
      </c>
    </row>
    <row r="1600" spans="1:19" x14ac:dyDescent="0.3">
      <c r="A1600">
        <v>1599</v>
      </c>
      <c r="B1600" t="s">
        <v>987</v>
      </c>
      <c r="C1600">
        <v>2023</v>
      </c>
      <c r="D1600" t="s">
        <v>226</v>
      </c>
      <c r="E1600">
        <v>12</v>
      </c>
      <c r="F1600" t="s">
        <v>21</v>
      </c>
      <c r="G1600" t="s">
        <v>40</v>
      </c>
      <c r="H1600">
        <v>51.72</v>
      </c>
      <c r="I1600" t="s">
        <v>32</v>
      </c>
      <c r="J1600">
        <v>21</v>
      </c>
      <c r="K1600">
        <v>450</v>
      </c>
      <c r="L1600">
        <v>90.1</v>
      </c>
      <c r="M1600">
        <v>30.09</v>
      </c>
      <c r="N1600">
        <v>14.26</v>
      </c>
      <c r="O1600">
        <v>1.38</v>
      </c>
      <c r="P1600">
        <v>329.25</v>
      </c>
      <c r="Q1600">
        <v>327</v>
      </c>
      <c r="R1600">
        <v>2</v>
      </c>
      <c r="S1600">
        <v>91</v>
      </c>
    </row>
    <row r="1601" spans="1:19" x14ac:dyDescent="0.3">
      <c r="A1601">
        <v>1600</v>
      </c>
      <c r="B1601" t="s">
        <v>988</v>
      </c>
      <c r="C1601">
        <v>2023</v>
      </c>
      <c r="D1601" t="s">
        <v>226</v>
      </c>
      <c r="E1601">
        <v>12</v>
      </c>
      <c r="F1601" t="s">
        <v>53</v>
      </c>
      <c r="G1601" t="s">
        <v>40</v>
      </c>
      <c r="H1601">
        <v>19.010000000000002</v>
      </c>
      <c r="I1601" t="s">
        <v>47</v>
      </c>
      <c r="J1601">
        <v>2</v>
      </c>
      <c r="K1601">
        <v>247</v>
      </c>
      <c r="L1601">
        <v>80.930000000000007</v>
      </c>
      <c r="M1601">
        <v>29.99</v>
      </c>
      <c r="N1601">
        <v>4.1100000000000003</v>
      </c>
      <c r="O1601">
        <v>5.12</v>
      </c>
      <c r="P1601">
        <v>127.9</v>
      </c>
      <c r="Q1601">
        <v>983</v>
      </c>
      <c r="R1601">
        <v>2</v>
      </c>
      <c r="S1601">
        <v>100</v>
      </c>
    </row>
    <row r="1602" spans="1:19" x14ac:dyDescent="0.3">
      <c r="A1602">
        <v>1601</v>
      </c>
      <c r="B1602" t="s">
        <v>989</v>
      </c>
      <c r="C1602">
        <v>2023</v>
      </c>
      <c r="D1602" t="s">
        <v>226</v>
      </c>
      <c r="E1602">
        <v>12</v>
      </c>
      <c r="F1602" t="s">
        <v>25</v>
      </c>
      <c r="G1602" t="s">
        <v>42</v>
      </c>
      <c r="H1602">
        <v>40.94</v>
      </c>
      <c r="I1602" t="s">
        <v>27</v>
      </c>
      <c r="J1602">
        <v>37</v>
      </c>
      <c r="K1602">
        <v>273</v>
      </c>
      <c r="L1602">
        <v>86.51</v>
      </c>
      <c r="M1602">
        <v>28.41</v>
      </c>
      <c r="N1602">
        <v>7.66</v>
      </c>
      <c r="O1602">
        <v>5.96</v>
      </c>
      <c r="P1602">
        <v>129.97999999999999</v>
      </c>
      <c r="Q1602">
        <v>102</v>
      </c>
      <c r="R1602">
        <v>1</v>
      </c>
      <c r="S1602">
        <v>232</v>
      </c>
    </row>
    <row r="1603" spans="1:19" x14ac:dyDescent="0.3">
      <c r="A1603">
        <v>1602</v>
      </c>
      <c r="B1603" t="s">
        <v>990</v>
      </c>
      <c r="C1603">
        <v>2023</v>
      </c>
      <c r="D1603" t="s">
        <v>226</v>
      </c>
      <c r="E1603">
        <v>12</v>
      </c>
      <c r="F1603" t="s">
        <v>25</v>
      </c>
      <c r="G1603" t="s">
        <v>35</v>
      </c>
      <c r="H1603">
        <v>47.01</v>
      </c>
      <c r="I1603" t="s">
        <v>38</v>
      </c>
      <c r="J1603">
        <v>27</v>
      </c>
      <c r="K1603">
        <v>457</v>
      </c>
      <c r="L1603">
        <v>78.89</v>
      </c>
      <c r="M1603">
        <v>25.02</v>
      </c>
      <c r="N1603">
        <v>4.97</v>
      </c>
      <c r="O1603">
        <v>2.92</v>
      </c>
      <c r="P1603">
        <v>398.82</v>
      </c>
      <c r="Q1603">
        <v>495</v>
      </c>
      <c r="R1603">
        <v>5</v>
      </c>
      <c r="S1603">
        <v>95</v>
      </c>
    </row>
    <row r="1604" spans="1:19" x14ac:dyDescent="0.3">
      <c r="A1604">
        <v>1603</v>
      </c>
      <c r="B1604" t="s">
        <v>991</v>
      </c>
      <c r="C1604">
        <v>2023</v>
      </c>
      <c r="D1604" t="s">
        <v>226</v>
      </c>
      <c r="E1604">
        <v>12</v>
      </c>
      <c r="F1604" t="s">
        <v>53</v>
      </c>
      <c r="G1604" t="s">
        <v>26</v>
      </c>
      <c r="H1604">
        <v>5.52</v>
      </c>
      <c r="I1604" t="s">
        <v>38</v>
      </c>
      <c r="J1604">
        <v>25</v>
      </c>
      <c r="K1604">
        <v>349</v>
      </c>
      <c r="L1604">
        <v>84.5</v>
      </c>
      <c r="M1604">
        <v>30.22</v>
      </c>
      <c r="N1604">
        <v>13.9</v>
      </c>
      <c r="O1604">
        <v>3.99</v>
      </c>
      <c r="P1604">
        <v>129.26</v>
      </c>
      <c r="Q1604">
        <v>745</v>
      </c>
      <c r="R1604">
        <v>5</v>
      </c>
      <c r="S1604">
        <v>108</v>
      </c>
    </row>
    <row r="1605" spans="1:19" x14ac:dyDescent="0.3">
      <c r="A1605">
        <v>1604</v>
      </c>
      <c r="B1605" t="s">
        <v>992</v>
      </c>
      <c r="C1605">
        <v>2023</v>
      </c>
      <c r="D1605" t="s">
        <v>226</v>
      </c>
      <c r="E1605">
        <v>12</v>
      </c>
      <c r="F1605" t="s">
        <v>37</v>
      </c>
      <c r="G1605" t="s">
        <v>35</v>
      </c>
      <c r="H1605">
        <v>32.82</v>
      </c>
      <c r="I1605" t="s">
        <v>47</v>
      </c>
      <c r="J1605">
        <v>11</v>
      </c>
      <c r="K1605">
        <v>326</v>
      </c>
      <c r="L1605">
        <v>94.28</v>
      </c>
      <c r="M1605">
        <v>32.61</v>
      </c>
      <c r="N1605">
        <v>2.61</v>
      </c>
      <c r="O1605">
        <v>8.66</v>
      </c>
      <c r="P1605">
        <v>475.49</v>
      </c>
      <c r="Q1605">
        <v>199</v>
      </c>
      <c r="R1605">
        <v>1</v>
      </c>
      <c r="S1605">
        <v>248</v>
      </c>
    </row>
    <row r="1606" spans="1:19" x14ac:dyDescent="0.3">
      <c r="A1606">
        <v>1605</v>
      </c>
      <c r="B1606" t="s">
        <v>993</v>
      </c>
      <c r="C1606">
        <v>2023</v>
      </c>
      <c r="D1606" t="s">
        <v>226</v>
      </c>
      <c r="E1606">
        <v>12</v>
      </c>
      <c r="F1606" t="s">
        <v>29</v>
      </c>
      <c r="G1606" t="s">
        <v>22</v>
      </c>
      <c r="H1606">
        <v>39.21</v>
      </c>
      <c r="I1606" t="s">
        <v>32</v>
      </c>
      <c r="J1606">
        <v>45</v>
      </c>
      <c r="K1606">
        <v>597</v>
      </c>
      <c r="L1606">
        <v>78.11</v>
      </c>
      <c r="M1606">
        <v>17.98</v>
      </c>
      <c r="N1606">
        <v>16.7</v>
      </c>
      <c r="O1606">
        <v>14.41</v>
      </c>
      <c r="P1606">
        <v>379.38</v>
      </c>
      <c r="Q1606">
        <v>249</v>
      </c>
      <c r="R1606">
        <v>1</v>
      </c>
      <c r="S1606">
        <v>219</v>
      </c>
    </row>
    <row r="1607" spans="1:19" x14ac:dyDescent="0.3">
      <c r="A1607">
        <v>1606</v>
      </c>
      <c r="B1607" t="s">
        <v>992</v>
      </c>
      <c r="C1607">
        <v>2023</v>
      </c>
      <c r="D1607" t="s">
        <v>226</v>
      </c>
      <c r="E1607">
        <v>12</v>
      </c>
      <c r="F1607" t="s">
        <v>62</v>
      </c>
      <c r="G1607" t="s">
        <v>22</v>
      </c>
      <c r="H1607">
        <v>53.68</v>
      </c>
      <c r="I1607" t="s">
        <v>38</v>
      </c>
      <c r="J1607">
        <v>15</v>
      </c>
      <c r="K1607">
        <v>200</v>
      </c>
      <c r="L1607">
        <v>91.9</v>
      </c>
      <c r="M1607">
        <v>29.1</v>
      </c>
      <c r="N1607">
        <v>10.76</v>
      </c>
      <c r="O1607">
        <v>2.11</v>
      </c>
      <c r="P1607">
        <v>162.61000000000001</v>
      </c>
      <c r="Q1607">
        <v>907</v>
      </c>
      <c r="R1607">
        <v>2</v>
      </c>
      <c r="S1607">
        <v>198</v>
      </c>
    </row>
    <row r="1608" spans="1:19" x14ac:dyDescent="0.3">
      <c r="A1608">
        <v>1607</v>
      </c>
      <c r="B1608" t="s">
        <v>990</v>
      </c>
      <c r="C1608">
        <v>2023</v>
      </c>
      <c r="D1608" t="s">
        <v>226</v>
      </c>
      <c r="E1608">
        <v>12</v>
      </c>
      <c r="F1608" t="s">
        <v>29</v>
      </c>
      <c r="G1608" t="s">
        <v>42</v>
      </c>
      <c r="H1608">
        <v>29.12</v>
      </c>
      <c r="I1608" t="s">
        <v>23</v>
      </c>
      <c r="J1608">
        <v>50</v>
      </c>
      <c r="K1608">
        <v>435</v>
      </c>
      <c r="L1608">
        <v>84.58</v>
      </c>
      <c r="M1608">
        <v>17.440000000000001</v>
      </c>
      <c r="N1608">
        <v>19.93</v>
      </c>
      <c r="O1608">
        <v>4.41</v>
      </c>
      <c r="P1608">
        <v>244.43</v>
      </c>
      <c r="Q1608">
        <v>167</v>
      </c>
      <c r="R1608">
        <v>2</v>
      </c>
      <c r="S1608">
        <v>203</v>
      </c>
    </row>
    <row r="1609" spans="1:19" x14ac:dyDescent="0.3">
      <c r="A1609">
        <v>1608</v>
      </c>
      <c r="B1609" t="s">
        <v>994</v>
      </c>
      <c r="C1609">
        <v>2023</v>
      </c>
      <c r="D1609" t="s">
        <v>226</v>
      </c>
      <c r="E1609">
        <v>12</v>
      </c>
      <c r="F1609" t="s">
        <v>25</v>
      </c>
      <c r="G1609" t="s">
        <v>40</v>
      </c>
      <c r="H1609">
        <v>13.77</v>
      </c>
      <c r="I1609" t="s">
        <v>38</v>
      </c>
      <c r="J1609">
        <v>28</v>
      </c>
      <c r="K1609">
        <v>291</v>
      </c>
      <c r="L1609">
        <v>80.11</v>
      </c>
      <c r="M1609">
        <v>18.059999999999999</v>
      </c>
      <c r="N1609">
        <v>13.52</v>
      </c>
      <c r="O1609">
        <v>11.43</v>
      </c>
      <c r="P1609">
        <v>365.93</v>
      </c>
      <c r="Q1609">
        <v>209</v>
      </c>
      <c r="R1609">
        <v>2</v>
      </c>
      <c r="S1609">
        <v>185</v>
      </c>
    </row>
    <row r="1610" spans="1:19" x14ac:dyDescent="0.3">
      <c r="A1610">
        <v>1609</v>
      </c>
      <c r="B1610" t="s">
        <v>995</v>
      </c>
      <c r="C1610">
        <v>2023</v>
      </c>
      <c r="D1610" t="s">
        <v>226</v>
      </c>
      <c r="E1610">
        <v>12</v>
      </c>
      <c r="F1610" t="s">
        <v>21</v>
      </c>
      <c r="G1610" t="s">
        <v>35</v>
      </c>
      <c r="H1610">
        <v>9.7200000000000006</v>
      </c>
      <c r="I1610" t="s">
        <v>32</v>
      </c>
      <c r="J1610">
        <v>41</v>
      </c>
      <c r="K1610">
        <v>239</v>
      </c>
      <c r="L1610">
        <v>83.77</v>
      </c>
      <c r="M1610">
        <v>26.85</v>
      </c>
      <c r="N1610">
        <v>5.56</v>
      </c>
      <c r="O1610">
        <v>8.17</v>
      </c>
      <c r="P1610">
        <v>123.07</v>
      </c>
      <c r="Q1610">
        <v>1036</v>
      </c>
      <c r="R1610">
        <v>5</v>
      </c>
      <c r="S1610">
        <v>94</v>
      </c>
    </row>
    <row r="1611" spans="1:19" x14ac:dyDescent="0.3">
      <c r="A1611">
        <v>1610</v>
      </c>
      <c r="B1611" t="s">
        <v>996</v>
      </c>
      <c r="C1611">
        <v>2023</v>
      </c>
      <c r="D1611" t="s">
        <v>226</v>
      </c>
      <c r="E1611">
        <v>12</v>
      </c>
      <c r="F1611" t="s">
        <v>53</v>
      </c>
      <c r="G1611" t="s">
        <v>40</v>
      </c>
      <c r="H1611">
        <v>52.12</v>
      </c>
      <c r="I1611" t="s">
        <v>27</v>
      </c>
      <c r="J1611">
        <v>24</v>
      </c>
      <c r="K1611">
        <v>246</v>
      </c>
      <c r="L1611">
        <v>85.86</v>
      </c>
      <c r="M1611">
        <v>23.39</v>
      </c>
      <c r="N1611">
        <v>17.77</v>
      </c>
      <c r="O1611">
        <v>4.09</v>
      </c>
      <c r="P1611">
        <v>389.46</v>
      </c>
      <c r="Q1611">
        <v>201</v>
      </c>
      <c r="R1611">
        <v>4</v>
      </c>
      <c r="S1611">
        <v>240</v>
      </c>
    </row>
    <row r="1612" spans="1:19" x14ac:dyDescent="0.3">
      <c r="A1612">
        <v>1611</v>
      </c>
      <c r="B1612" t="s">
        <v>997</v>
      </c>
      <c r="C1612">
        <v>2023</v>
      </c>
      <c r="D1612" t="s">
        <v>226</v>
      </c>
      <c r="E1612">
        <v>12</v>
      </c>
      <c r="F1612" t="s">
        <v>31</v>
      </c>
      <c r="G1612" t="s">
        <v>42</v>
      </c>
      <c r="H1612">
        <v>19</v>
      </c>
      <c r="I1612" t="s">
        <v>47</v>
      </c>
      <c r="J1612">
        <v>31</v>
      </c>
      <c r="K1612">
        <v>224</v>
      </c>
      <c r="L1612">
        <v>76.25</v>
      </c>
      <c r="M1612">
        <v>33.630000000000003</v>
      </c>
      <c r="N1612">
        <v>8.26</v>
      </c>
      <c r="O1612">
        <v>13.92</v>
      </c>
      <c r="P1612">
        <v>167.31</v>
      </c>
      <c r="Q1612">
        <v>1014</v>
      </c>
      <c r="R1612">
        <v>5</v>
      </c>
      <c r="S1612">
        <v>57</v>
      </c>
    </row>
    <row r="1613" spans="1:19" x14ac:dyDescent="0.3">
      <c r="A1613">
        <v>1612</v>
      </c>
      <c r="B1613" t="s">
        <v>994</v>
      </c>
      <c r="C1613">
        <v>2023</v>
      </c>
      <c r="D1613" t="s">
        <v>226</v>
      </c>
      <c r="E1613">
        <v>12</v>
      </c>
      <c r="F1613" t="s">
        <v>62</v>
      </c>
      <c r="G1613" t="s">
        <v>42</v>
      </c>
      <c r="H1613">
        <v>15.33</v>
      </c>
      <c r="I1613" t="s">
        <v>47</v>
      </c>
      <c r="J1613">
        <v>20</v>
      </c>
      <c r="K1613">
        <v>437</v>
      </c>
      <c r="L1613">
        <v>84.3</v>
      </c>
      <c r="M1613">
        <v>15.19</v>
      </c>
      <c r="N1613">
        <v>9.93</v>
      </c>
      <c r="O1613">
        <v>10.18</v>
      </c>
      <c r="P1613">
        <v>555.48</v>
      </c>
      <c r="Q1613">
        <v>675</v>
      </c>
      <c r="R1613">
        <v>4</v>
      </c>
      <c r="S1613">
        <v>226</v>
      </c>
    </row>
    <row r="1614" spans="1:19" x14ac:dyDescent="0.3">
      <c r="A1614">
        <v>1613</v>
      </c>
      <c r="B1614" t="s">
        <v>998</v>
      </c>
      <c r="C1614">
        <v>2023</v>
      </c>
      <c r="D1614" t="s">
        <v>226</v>
      </c>
      <c r="E1614">
        <v>12</v>
      </c>
      <c r="F1614" t="s">
        <v>31</v>
      </c>
      <c r="G1614" t="s">
        <v>42</v>
      </c>
      <c r="H1614">
        <v>54.45</v>
      </c>
      <c r="I1614" t="s">
        <v>27</v>
      </c>
      <c r="J1614">
        <v>45</v>
      </c>
      <c r="K1614">
        <v>548</v>
      </c>
      <c r="L1614">
        <v>84.71</v>
      </c>
      <c r="M1614">
        <v>12.12</v>
      </c>
      <c r="N1614">
        <v>3.73</v>
      </c>
      <c r="O1614">
        <v>9.32</v>
      </c>
      <c r="P1614">
        <v>488.59</v>
      </c>
      <c r="Q1614">
        <v>522</v>
      </c>
      <c r="R1614">
        <v>3</v>
      </c>
      <c r="S1614">
        <v>191</v>
      </c>
    </row>
    <row r="1615" spans="1:19" x14ac:dyDescent="0.3">
      <c r="A1615">
        <v>1614</v>
      </c>
      <c r="B1615" t="s">
        <v>990</v>
      </c>
      <c r="C1615">
        <v>2023</v>
      </c>
      <c r="D1615" t="s">
        <v>226</v>
      </c>
      <c r="E1615">
        <v>12</v>
      </c>
      <c r="F1615" t="s">
        <v>62</v>
      </c>
      <c r="G1615" t="s">
        <v>40</v>
      </c>
      <c r="H1615">
        <v>18.489999999999998</v>
      </c>
      <c r="I1615" t="s">
        <v>23</v>
      </c>
      <c r="J1615">
        <v>5</v>
      </c>
      <c r="K1615">
        <v>193</v>
      </c>
      <c r="L1615">
        <v>82.93</v>
      </c>
      <c r="M1615">
        <v>13.54</v>
      </c>
      <c r="N1615">
        <v>9.1</v>
      </c>
      <c r="O1615">
        <v>6.87</v>
      </c>
      <c r="P1615">
        <v>218.54</v>
      </c>
      <c r="Q1615">
        <v>463</v>
      </c>
      <c r="R1615">
        <v>5</v>
      </c>
      <c r="S1615">
        <v>80</v>
      </c>
    </row>
    <row r="1616" spans="1:19" x14ac:dyDescent="0.3">
      <c r="A1616">
        <v>1615</v>
      </c>
      <c r="B1616" t="s">
        <v>999</v>
      </c>
      <c r="C1616">
        <v>2023</v>
      </c>
      <c r="D1616" t="s">
        <v>226</v>
      </c>
      <c r="E1616">
        <v>12</v>
      </c>
      <c r="F1616" t="s">
        <v>21</v>
      </c>
      <c r="G1616" t="s">
        <v>26</v>
      </c>
      <c r="H1616">
        <v>5.94</v>
      </c>
      <c r="I1616" t="s">
        <v>32</v>
      </c>
      <c r="J1616">
        <v>42</v>
      </c>
      <c r="K1616">
        <v>499</v>
      </c>
      <c r="L1616">
        <v>87.68</v>
      </c>
      <c r="M1616">
        <v>21.68</v>
      </c>
      <c r="N1616">
        <v>19.93</v>
      </c>
      <c r="O1616">
        <v>10.57</v>
      </c>
      <c r="P1616">
        <v>120.88</v>
      </c>
      <c r="Q1616">
        <v>1063</v>
      </c>
      <c r="R1616">
        <v>4</v>
      </c>
      <c r="S1616">
        <v>178</v>
      </c>
    </row>
    <row r="1617" spans="1:19" x14ac:dyDescent="0.3">
      <c r="A1617">
        <v>1616</v>
      </c>
      <c r="B1617" t="s">
        <v>1000</v>
      </c>
      <c r="C1617">
        <v>2023</v>
      </c>
      <c r="D1617" t="s">
        <v>226</v>
      </c>
      <c r="E1617">
        <v>12</v>
      </c>
      <c r="F1617" t="s">
        <v>25</v>
      </c>
      <c r="G1617" t="s">
        <v>22</v>
      </c>
      <c r="H1617">
        <v>24.4</v>
      </c>
      <c r="I1617" t="s">
        <v>32</v>
      </c>
      <c r="J1617">
        <v>50</v>
      </c>
      <c r="K1617">
        <v>358</v>
      </c>
      <c r="L1617">
        <v>89.97</v>
      </c>
      <c r="M1617">
        <v>24.74</v>
      </c>
      <c r="N1617">
        <v>6.74</v>
      </c>
      <c r="O1617">
        <v>10.92</v>
      </c>
      <c r="P1617">
        <v>498.75</v>
      </c>
      <c r="Q1617">
        <v>118</v>
      </c>
      <c r="R1617">
        <v>5</v>
      </c>
      <c r="S1617">
        <v>127</v>
      </c>
    </row>
    <row r="1618" spans="1:19" x14ac:dyDescent="0.3">
      <c r="A1618">
        <v>1617</v>
      </c>
      <c r="B1618" t="s">
        <v>1001</v>
      </c>
      <c r="C1618">
        <v>2023</v>
      </c>
      <c r="D1618" t="s">
        <v>226</v>
      </c>
      <c r="E1618">
        <v>12</v>
      </c>
      <c r="F1618" t="s">
        <v>34</v>
      </c>
      <c r="G1618" t="s">
        <v>35</v>
      </c>
      <c r="H1618">
        <v>51.87</v>
      </c>
      <c r="I1618" t="s">
        <v>38</v>
      </c>
      <c r="J1618">
        <v>7</v>
      </c>
      <c r="K1618">
        <v>541</v>
      </c>
      <c r="L1618">
        <v>76.400000000000006</v>
      </c>
      <c r="M1618">
        <v>14.18</v>
      </c>
      <c r="N1618">
        <v>9.1199999999999992</v>
      </c>
      <c r="O1618">
        <v>8.5399999999999991</v>
      </c>
      <c r="P1618">
        <v>445.89</v>
      </c>
      <c r="Q1618">
        <v>327</v>
      </c>
      <c r="R1618">
        <v>1</v>
      </c>
      <c r="S1618">
        <v>131</v>
      </c>
    </row>
    <row r="1619" spans="1:19" x14ac:dyDescent="0.3">
      <c r="A1619">
        <v>1618</v>
      </c>
      <c r="B1619" t="s">
        <v>1002</v>
      </c>
      <c r="C1619">
        <v>2023</v>
      </c>
      <c r="D1619" t="s">
        <v>226</v>
      </c>
      <c r="E1619">
        <v>12</v>
      </c>
      <c r="F1619" t="s">
        <v>25</v>
      </c>
      <c r="G1619" t="s">
        <v>26</v>
      </c>
      <c r="H1619">
        <v>24.43</v>
      </c>
      <c r="I1619" t="s">
        <v>27</v>
      </c>
      <c r="J1619">
        <v>33</v>
      </c>
      <c r="K1619">
        <v>416</v>
      </c>
      <c r="L1619">
        <v>90.59</v>
      </c>
      <c r="M1619">
        <v>15.46</v>
      </c>
      <c r="N1619">
        <v>11.28</v>
      </c>
      <c r="O1619">
        <v>6.73</v>
      </c>
      <c r="P1619">
        <v>458.17</v>
      </c>
      <c r="Q1619">
        <v>567</v>
      </c>
      <c r="R1619">
        <v>2</v>
      </c>
      <c r="S1619">
        <v>65</v>
      </c>
    </row>
    <row r="1620" spans="1:19" x14ac:dyDescent="0.3">
      <c r="A1620">
        <v>1619</v>
      </c>
      <c r="B1620" t="s">
        <v>1003</v>
      </c>
      <c r="C1620">
        <v>2023</v>
      </c>
      <c r="D1620" t="s">
        <v>226</v>
      </c>
      <c r="E1620">
        <v>12</v>
      </c>
      <c r="F1620" t="s">
        <v>37</v>
      </c>
      <c r="G1620" t="s">
        <v>42</v>
      </c>
      <c r="H1620">
        <v>21.05</v>
      </c>
      <c r="I1620" t="s">
        <v>27</v>
      </c>
      <c r="J1620">
        <v>29</v>
      </c>
      <c r="K1620">
        <v>383</v>
      </c>
      <c r="L1620">
        <v>92.64</v>
      </c>
      <c r="M1620">
        <v>18.190000000000001</v>
      </c>
      <c r="N1620">
        <v>3.59</v>
      </c>
      <c r="O1620">
        <v>15.1</v>
      </c>
      <c r="P1620">
        <v>102.55</v>
      </c>
      <c r="Q1620">
        <v>868</v>
      </c>
      <c r="R1620">
        <v>4</v>
      </c>
      <c r="S1620">
        <v>91</v>
      </c>
    </row>
    <row r="1621" spans="1:19" x14ac:dyDescent="0.3">
      <c r="A1621">
        <v>1620</v>
      </c>
      <c r="B1621" t="s">
        <v>995</v>
      </c>
      <c r="C1621">
        <v>2023</v>
      </c>
      <c r="D1621" t="s">
        <v>226</v>
      </c>
      <c r="E1621">
        <v>12</v>
      </c>
      <c r="F1621" t="s">
        <v>21</v>
      </c>
      <c r="G1621" t="s">
        <v>22</v>
      </c>
      <c r="H1621">
        <v>25.05</v>
      </c>
      <c r="I1621" t="s">
        <v>38</v>
      </c>
      <c r="J1621">
        <v>22</v>
      </c>
      <c r="K1621">
        <v>164</v>
      </c>
      <c r="L1621">
        <v>79.069999999999993</v>
      </c>
      <c r="M1621">
        <v>9.1300000000000008</v>
      </c>
      <c r="N1621">
        <v>16.510000000000002</v>
      </c>
      <c r="O1621">
        <v>10.84</v>
      </c>
      <c r="P1621">
        <v>535.72</v>
      </c>
      <c r="Q1621">
        <v>970</v>
      </c>
      <c r="R1621">
        <v>3</v>
      </c>
      <c r="S1621">
        <v>166</v>
      </c>
    </row>
    <row r="1622" spans="1:19" x14ac:dyDescent="0.3">
      <c r="A1622">
        <v>1621</v>
      </c>
      <c r="B1622" t="s">
        <v>994</v>
      </c>
      <c r="C1622">
        <v>2023</v>
      </c>
      <c r="D1622" t="s">
        <v>226</v>
      </c>
      <c r="E1622">
        <v>12</v>
      </c>
      <c r="F1622" t="s">
        <v>62</v>
      </c>
      <c r="G1622" t="s">
        <v>35</v>
      </c>
      <c r="H1622">
        <v>39.42</v>
      </c>
      <c r="I1622" t="s">
        <v>38</v>
      </c>
      <c r="J1622">
        <v>14</v>
      </c>
      <c r="K1622">
        <v>172</v>
      </c>
      <c r="L1622">
        <v>88.43</v>
      </c>
      <c r="M1622">
        <v>9.51</v>
      </c>
      <c r="N1622">
        <v>2.13</v>
      </c>
      <c r="O1622">
        <v>1.38</v>
      </c>
      <c r="P1622">
        <v>489.24</v>
      </c>
      <c r="Q1622">
        <v>763</v>
      </c>
      <c r="R1622">
        <v>4</v>
      </c>
      <c r="S1622">
        <v>171</v>
      </c>
    </row>
    <row r="1623" spans="1:19" x14ac:dyDescent="0.3">
      <c r="A1623">
        <v>1622</v>
      </c>
      <c r="B1623" t="s">
        <v>1004</v>
      </c>
      <c r="C1623">
        <v>2023</v>
      </c>
      <c r="D1623" t="s">
        <v>226</v>
      </c>
      <c r="E1623">
        <v>12</v>
      </c>
      <c r="F1623" t="s">
        <v>62</v>
      </c>
      <c r="G1623" t="s">
        <v>40</v>
      </c>
      <c r="H1623">
        <v>54.59</v>
      </c>
      <c r="I1623" t="s">
        <v>23</v>
      </c>
      <c r="J1623">
        <v>12</v>
      </c>
      <c r="K1623">
        <v>458</v>
      </c>
      <c r="L1623">
        <v>79.64</v>
      </c>
      <c r="M1623">
        <v>19.260000000000002</v>
      </c>
      <c r="N1623">
        <v>7.91</v>
      </c>
      <c r="O1623">
        <v>12.33</v>
      </c>
      <c r="P1623">
        <v>261.66000000000003</v>
      </c>
      <c r="Q1623">
        <v>278</v>
      </c>
      <c r="R1623">
        <v>5</v>
      </c>
      <c r="S1623">
        <v>194</v>
      </c>
    </row>
    <row r="1624" spans="1:19" x14ac:dyDescent="0.3">
      <c r="A1624">
        <v>1623</v>
      </c>
      <c r="B1624" t="s">
        <v>1005</v>
      </c>
      <c r="C1624">
        <v>2023</v>
      </c>
      <c r="D1624" t="s">
        <v>226</v>
      </c>
      <c r="E1624">
        <v>12</v>
      </c>
      <c r="F1624" t="s">
        <v>29</v>
      </c>
      <c r="G1624" t="s">
        <v>22</v>
      </c>
      <c r="H1624">
        <v>44.84</v>
      </c>
      <c r="I1624" t="s">
        <v>38</v>
      </c>
      <c r="J1624">
        <v>26</v>
      </c>
      <c r="K1624">
        <v>156</v>
      </c>
      <c r="L1624">
        <v>76.819999999999993</v>
      </c>
      <c r="M1624">
        <v>20.49</v>
      </c>
      <c r="N1624">
        <v>19.03</v>
      </c>
      <c r="O1624">
        <v>12.04</v>
      </c>
      <c r="P1624">
        <v>503.22</v>
      </c>
      <c r="Q1624">
        <v>952</v>
      </c>
      <c r="R1624">
        <v>4</v>
      </c>
      <c r="S1624">
        <v>219</v>
      </c>
    </row>
    <row r="1625" spans="1:19" x14ac:dyDescent="0.3">
      <c r="A1625">
        <v>1624</v>
      </c>
      <c r="B1625" t="s">
        <v>997</v>
      </c>
      <c r="C1625">
        <v>2023</v>
      </c>
      <c r="D1625" t="s">
        <v>226</v>
      </c>
      <c r="E1625">
        <v>12</v>
      </c>
      <c r="F1625" t="s">
        <v>31</v>
      </c>
      <c r="G1625" t="s">
        <v>22</v>
      </c>
      <c r="H1625">
        <v>17.66</v>
      </c>
      <c r="I1625" t="s">
        <v>23</v>
      </c>
      <c r="J1625">
        <v>21</v>
      </c>
      <c r="K1625">
        <v>482</v>
      </c>
      <c r="L1625">
        <v>88.05</v>
      </c>
      <c r="M1625">
        <v>16.53</v>
      </c>
      <c r="N1625">
        <v>20.67</v>
      </c>
      <c r="O1625">
        <v>15.55</v>
      </c>
      <c r="P1625">
        <v>455.08</v>
      </c>
      <c r="Q1625">
        <v>1096</v>
      </c>
      <c r="R1625">
        <v>4</v>
      </c>
      <c r="S1625">
        <v>227</v>
      </c>
    </row>
    <row r="1626" spans="1:19" x14ac:dyDescent="0.3">
      <c r="A1626">
        <v>1625</v>
      </c>
      <c r="B1626" t="s">
        <v>1006</v>
      </c>
      <c r="C1626">
        <v>2023</v>
      </c>
      <c r="D1626" t="s">
        <v>226</v>
      </c>
      <c r="E1626">
        <v>12</v>
      </c>
      <c r="F1626" t="s">
        <v>37</v>
      </c>
      <c r="G1626" t="s">
        <v>22</v>
      </c>
      <c r="H1626">
        <v>37.44</v>
      </c>
      <c r="I1626" t="s">
        <v>27</v>
      </c>
      <c r="J1626">
        <v>24</v>
      </c>
      <c r="K1626">
        <v>526</v>
      </c>
      <c r="L1626">
        <v>93.86</v>
      </c>
      <c r="M1626">
        <v>8.51</v>
      </c>
      <c r="N1626">
        <v>8.83</v>
      </c>
      <c r="O1626">
        <v>15.36</v>
      </c>
      <c r="P1626">
        <v>335.46</v>
      </c>
      <c r="Q1626">
        <v>544</v>
      </c>
      <c r="R1626">
        <v>2</v>
      </c>
      <c r="S1626">
        <v>183</v>
      </c>
    </row>
    <row r="1627" spans="1:19" x14ac:dyDescent="0.3">
      <c r="A1627">
        <v>1626</v>
      </c>
      <c r="B1627" t="s">
        <v>993</v>
      </c>
      <c r="C1627">
        <v>2023</v>
      </c>
      <c r="D1627" t="s">
        <v>226</v>
      </c>
      <c r="E1627">
        <v>12</v>
      </c>
      <c r="F1627" t="s">
        <v>25</v>
      </c>
      <c r="G1627" t="s">
        <v>42</v>
      </c>
      <c r="H1627">
        <v>35.770000000000003</v>
      </c>
      <c r="I1627" t="s">
        <v>27</v>
      </c>
      <c r="J1627">
        <v>4</v>
      </c>
      <c r="K1627">
        <v>293</v>
      </c>
      <c r="L1627">
        <v>93</v>
      </c>
      <c r="M1627">
        <v>19.45</v>
      </c>
      <c r="N1627">
        <v>8.1999999999999993</v>
      </c>
      <c r="O1627">
        <v>14.71</v>
      </c>
      <c r="P1627">
        <v>543.29</v>
      </c>
      <c r="Q1627">
        <v>129</v>
      </c>
      <c r="R1627">
        <v>3</v>
      </c>
      <c r="S1627">
        <v>138</v>
      </c>
    </row>
    <row r="1628" spans="1:19" x14ac:dyDescent="0.3">
      <c r="A1628">
        <v>1627</v>
      </c>
      <c r="B1628" t="s">
        <v>1007</v>
      </c>
      <c r="C1628">
        <v>2023</v>
      </c>
      <c r="D1628" t="s">
        <v>226</v>
      </c>
      <c r="E1628">
        <v>12</v>
      </c>
      <c r="F1628" t="s">
        <v>21</v>
      </c>
      <c r="G1628" t="s">
        <v>26</v>
      </c>
      <c r="H1628">
        <v>47.15</v>
      </c>
      <c r="I1628" t="s">
        <v>32</v>
      </c>
      <c r="J1628">
        <v>35</v>
      </c>
      <c r="K1628">
        <v>308</v>
      </c>
      <c r="L1628">
        <v>89.18</v>
      </c>
      <c r="M1628">
        <v>31.97</v>
      </c>
      <c r="N1628">
        <v>12.98</v>
      </c>
      <c r="O1628">
        <v>3.25</v>
      </c>
      <c r="P1628">
        <v>450.15</v>
      </c>
      <c r="Q1628">
        <v>950</v>
      </c>
      <c r="R1628">
        <v>4</v>
      </c>
      <c r="S1628">
        <v>193</v>
      </c>
    </row>
    <row r="1629" spans="1:19" x14ac:dyDescent="0.3">
      <c r="A1629">
        <v>1628</v>
      </c>
      <c r="B1629" t="s">
        <v>998</v>
      </c>
      <c r="C1629">
        <v>2023</v>
      </c>
      <c r="D1629" t="s">
        <v>226</v>
      </c>
      <c r="E1629">
        <v>12</v>
      </c>
      <c r="F1629" t="s">
        <v>29</v>
      </c>
      <c r="G1629" t="s">
        <v>42</v>
      </c>
      <c r="H1629">
        <v>18.55</v>
      </c>
      <c r="I1629" t="s">
        <v>38</v>
      </c>
      <c r="J1629">
        <v>47</v>
      </c>
      <c r="K1629">
        <v>198</v>
      </c>
      <c r="L1629">
        <v>85.77</v>
      </c>
      <c r="M1629">
        <v>24.43</v>
      </c>
      <c r="N1629">
        <v>10.73</v>
      </c>
      <c r="O1629">
        <v>5.87</v>
      </c>
      <c r="P1629">
        <v>351.83</v>
      </c>
      <c r="Q1629">
        <v>809</v>
      </c>
      <c r="R1629">
        <v>1</v>
      </c>
      <c r="S1629">
        <v>180</v>
      </c>
    </row>
    <row r="1630" spans="1:19" x14ac:dyDescent="0.3">
      <c r="A1630">
        <v>1629</v>
      </c>
      <c r="B1630" t="s">
        <v>1002</v>
      </c>
      <c r="C1630">
        <v>2023</v>
      </c>
      <c r="D1630" t="s">
        <v>226</v>
      </c>
      <c r="E1630">
        <v>12</v>
      </c>
      <c r="F1630" t="s">
        <v>31</v>
      </c>
      <c r="G1630" t="s">
        <v>40</v>
      </c>
      <c r="H1630">
        <v>27.47</v>
      </c>
      <c r="I1630" t="s">
        <v>38</v>
      </c>
      <c r="J1630">
        <v>14</v>
      </c>
      <c r="K1630">
        <v>557</v>
      </c>
      <c r="L1630">
        <v>81.81</v>
      </c>
      <c r="M1630">
        <v>34.32</v>
      </c>
      <c r="N1630">
        <v>12.84</v>
      </c>
      <c r="O1630">
        <v>12.34</v>
      </c>
      <c r="P1630">
        <v>242.42</v>
      </c>
      <c r="Q1630">
        <v>364</v>
      </c>
      <c r="R1630">
        <v>1</v>
      </c>
      <c r="S1630">
        <v>125</v>
      </c>
    </row>
    <row r="1631" spans="1:19" x14ac:dyDescent="0.3">
      <c r="A1631">
        <v>1630</v>
      </c>
      <c r="B1631" t="s">
        <v>996</v>
      </c>
      <c r="C1631">
        <v>2023</v>
      </c>
      <c r="D1631" t="s">
        <v>226</v>
      </c>
      <c r="E1631">
        <v>12</v>
      </c>
      <c r="F1631" t="s">
        <v>37</v>
      </c>
      <c r="G1631" t="s">
        <v>35</v>
      </c>
      <c r="H1631">
        <v>10.23</v>
      </c>
      <c r="I1631" t="s">
        <v>38</v>
      </c>
      <c r="J1631">
        <v>33</v>
      </c>
      <c r="K1631">
        <v>438</v>
      </c>
      <c r="L1631">
        <v>89.5</v>
      </c>
      <c r="M1631">
        <v>16.079999999999998</v>
      </c>
      <c r="N1631">
        <v>2.04</v>
      </c>
      <c r="O1631">
        <v>3.67</v>
      </c>
      <c r="P1631">
        <v>500.24</v>
      </c>
      <c r="Q1631">
        <v>704</v>
      </c>
      <c r="R1631">
        <v>2</v>
      </c>
      <c r="S1631">
        <v>167</v>
      </c>
    </row>
    <row r="1632" spans="1:19" x14ac:dyDescent="0.3">
      <c r="A1632">
        <v>1631</v>
      </c>
      <c r="B1632" t="s">
        <v>988</v>
      </c>
      <c r="C1632">
        <v>2023</v>
      </c>
      <c r="D1632" t="s">
        <v>226</v>
      </c>
      <c r="E1632">
        <v>12</v>
      </c>
      <c r="F1632" t="s">
        <v>53</v>
      </c>
      <c r="G1632" t="s">
        <v>42</v>
      </c>
      <c r="H1632">
        <v>14.41</v>
      </c>
      <c r="I1632" t="s">
        <v>27</v>
      </c>
      <c r="J1632">
        <v>14</v>
      </c>
      <c r="K1632">
        <v>536</v>
      </c>
      <c r="L1632">
        <v>93.17</v>
      </c>
      <c r="M1632">
        <v>33.5</v>
      </c>
      <c r="N1632">
        <v>18.39</v>
      </c>
      <c r="O1632">
        <v>7.06</v>
      </c>
      <c r="P1632">
        <v>411.69</v>
      </c>
      <c r="Q1632">
        <v>819</v>
      </c>
      <c r="R1632">
        <v>1</v>
      </c>
      <c r="S1632">
        <v>50</v>
      </c>
    </row>
    <row r="1633" spans="1:19" x14ac:dyDescent="0.3">
      <c r="A1633">
        <v>1632</v>
      </c>
      <c r="B1633" t="s">
        <v>1002</v>
      </c>
      <c r="C1633">
        <v>2023</v>
      </c>
      <c r="D1633" t="s">
        <v>226</v>
      </c>
      <c r="E1633">
        <v>12</v>
      </c>
      <c r="F1633" t="s">
        <v>37</v>
      </c>
      <c r="G1633" t="s">
        <v>40</v>
      </c>
      <c r="H1633">
        <v>18.329999999999998</v>
      </c>
      <c r="I1633" t="s">
        <v>47</v>
      </c>
      <c r="J1633">
        <v>28</v>
      </c>
      <c r="K1633">
        <v>599</v>
      </c>
      <c r="L1633">
        <v>80.430000000000007</v>
      </c>
      <c r="M1633">
        <v>13.68</v>
      </c>
      <c r="N1633">
        <v>10.33</v>
      </c>
      <c r="O1633">
        <v>14.28</v>
      </c>
      <c r="P1633">
        <v>239.71</v>
      </c>
      <c r="Q1633">
        <v>861</v>
      </c>
      <c r="R1633">
        <v>2</v>
      </c>
      <c r="S1633">
        <v>120</v>
      </c>
    </row>
    <row r="1634" spans="1:19" x14ac:dyDescent="0.3">
      <c r="A1634">
        <v>1633</v>
      </c>
      <c r="B1634" t="s">
        <v>1008</v>
      </c>
      <c r="C1634">
        <v>2024</v>
      </c>
      <c r="D1634" t="s">
        <v>20</v>
      </c>
      <c r="E1634">
        <v>1</v>
      </c>
      <c r="F1634" t="s">
        <v>29</v>
      </c>
      <c r="G1634" t="s">
        <v>42</v>
      </c>
      <c r="H1634">
        <v>8.44</v>
      </c>
      <c r="I1634" t="s">
        <v>47</v>
      </c>
      <c r="J1634">
        <v>6</v>
      </c>
      <c r="K1634">
        <v>581</v>
      </c>
      <c r="L1634">
        <v>88.71</v>
      </c>
      <c r="M1634">
        <v>15.15</v>
      </c>
      <c r="N1634">
        <v>8.52</v>
      </c>
      <c r="O1634">
        <v>3.33</v>
      </c>
      <c r="P1634">
        <v>169.65</v>
      </c>
      <c r="Q1634">
        <v>962</v>
      </c>
      <c r="R1634">
        <v>5</v>
      </c>
      <c r="S1634">
        <v>182</v>
      </c>
    </row>
    <row r="1635" spans="1:19" x14ac:dyDescent="0.3">
      <c r="A1635">
        <v>1634</v>
      </c>
      <c r="B1635" t="s">
        <v>1009</v>
      </c>
      <c r="C1635">
        <v>2024</v>
      </c>
      <c r="D1635" t="s">
        <v>20</v>
      </c>
      <c r="E1635">
        <v>1</v>
      </c>
      <c r="F1635" t="s">
        <v>29</v>
      </c>
      <c r="G1635" t="s">
        <v>22</v>
      </c>
      <c r="H1635">
        <v>45.99</v>
      </c>
      <c r="I1635" t="s">
        <v>32</v>
      </c>
      <c r="J1635">
        <v>20</v>
      </c>
      <c r="K1635">
        <v>204</v>
      </c>
      <c r="L1635">
        <v>89.03</v>
      </c>
      <c r="M1635">
        <v>28.17</v>
      </c>
      <c r="N1635">
        <v>12.91</v>
      </c>
      <c r="O1635">
        <v>6.77</v>
      </c>
      <c r="P1635">
        <v>363.63</v>
      </c>
      <c r="Q1635">
        <v>186</v>
      </c>
      <c r="R1635">
        <v>3</v>
      </c>
      <c r="S1635">
        <v>122</v>
      </c>
    </row>
    <row r="1636" spans="1:19" x14ac:dyDescent="0.3">
      <c r="A1636">
        <v>1635</v>
      </c>
      <c r="B1636" t="s">
        <v>1010</v>
      </c>
      <c r="C1636">
        <v>2024</v>
      </c>
      <c r="D1636" t="s">
        <v>20</v>
      </c>
      <c r="E1636">
        <v>1</v>
      </c>
      <c r="F1636" t="s">
        <v>34</v>
      </c>
      <c r="G1636" t="s">
        <v>22</v>
      </c>
      <c r="H1636">
        <v>16.68</v>
      </c>
      <c r="I1636" t="s">
        <v>27</v>
      </c>
      <c r="J1636">
        <v>37</v>
      </c>
      <c r="K1636">
        <v>324</v>
      </c>
      <c r="L1636">
        <v>84.76</v>
      </c>
      <c r="M1636">
        <v>12.78</v>
      </c>
      <c r="N1636">
        <v>9.5</v>
      </c>
      <c r="O1636">
        <v>10.43</v>
      </c>
      <c r="P1636">
        <v>398.77</v>
      </c>
      <c r="Q1636">
        <v>566</v>
      </c>
      <c r="R1636">
        <v>5</v>
      </c>
      <c r="S1636">
        <v>138</v>
      </c>
    </row>
    <row r="1637" spans="1:19" x14ac:dyDescent="0.3">
      <c r="A1637">
        <v>1636</v>
      </c>
      <c r="B1637" t="s">
        <v>1011</v>
      </c>
      <c r="C1637">
        <v>2024</v>
      </c>
      <c r="D1637" t="s">
        <v>20</v>
      </c>
      <c r="E1637">
        <v>1</v>
      </c>
      <c r="F1637" t="s">
        <v>25</v>
      </c>
      <c r="G1637" t="s">
        <v>35</v>
      </c>
      <c r="H1637">
        <v>13.81</v>
      </c>
      <c r="I1637" t="s">
        <v>23</v>
      </c>
      <c r="J1637">
        <v>20</v>
      </c>
      <c r="K1637">
        <v>574</v>
      </c>
      <c r="L1637">
        <v>78.91</v>
      </c>
      <c r="M1637">
        <v>30.47</v>
      </c>
      <c r="N1637">
        <v>5.15</v>
      </c>
      <c r="O1637">
        <v>4.33</v>
      </c>
      <c r="P1637">
        <v>131.69</v>
      </c>
      <c r="Q1637">
        <v>114</v>
      </c>
      <c r="R1637">
        <v>4</v>
      </c>
      <c r="S1637">
        <v>236</v>
      </c>
    </row>
    <row r="1638" spans="1:19" x14ac:dyDescent="0.3">
      <c r="A1638">
        <v>1637</v>
      </c>
      <c r="B1638" t="s">
        <v>1012</v>
      </c>
      <c r="C1638">
        <v>2024</v>
      </c>
      <c r="D1638" t="s">
        <v>20</v>
      </c>
      <c r="E1638">
        <v>1</v>
      </c>
      <c r="F1638" t="s">
        <v>29</v>
      </c>
      <c r="G1638" t="s">
        <v>42</v>
      </c>
      <c r="H1638">
        <v>32.9</v>
      </c>
      <c r="I1638" t="s">
        <v>38</v>
      </c>
      <c r="J1638">
        <v>11</v>
      </c>
      <c r="K1638">
        <v>280</v>
      </c>
      <c r="L1638">
        <v>93.77</v>
      </c>
      <c r="M1638">
        <v>9.1199999999999992</v>
      </c>
      <c r="N1638">
        <v>3.4</v>
      </c>
      <c r="O1638">
        <v>9.7200000000000006</v>
      </c>
      <c r="P1638">
        <v>414.3</v>
      </c>
      <c r="Q1638">
        <v>294</v>
      </c>
      <c r="R1638">
        <v>5</v>
      </c>
      <c r="S1638">
        <v>186</v>
      </c>
    </row>
    <row r="1639" spans="1:19" x14ac:dyDescent="0.3">
      <c r="A1639">
        <v>1638</v>
      </c>
      <c r="B1639" t="s">
        <v>1013</v>
      </c>
      <c r="C1639">
        <v>2024</v>
      </c>
      <c r="D1639" t="s">
        <v>20</v>
      </c>
      <c r="E1639">
        <v>1</v>
      </c>
      <c r="F1639" t="s">
        <v>21</v>
      </c>
      <c r="G1639" t="s">
        <v>35</v>
      </c>
      <c r="H1639">
        <v>39.369999999999997</v>
      </c>
      <c r="I1639" t="s">
        <v>38</v>
      </c>
      <c r="J1639">
        <v>26</v>
      </c>
      <c r="K1639">
        <v>474</v>
      </c>
      <c r="L1639">
        <v>88.58</v>
      </c>
      <c r="M1639">
        <v>12.11</v>
      </c>
      <c r="N1639">
        <v>7.67</v>
      </c>
      <c r="O1639">
        <v>4.3600000000000003</v>
      </c>
      <c r="P1639">
        <v>524.86</v>
      </c>
      <c r="Q1639">
        <v>367</v>
      </c>
      <c r="R1639">
        <v>1</v>
      </c>
      <c r="S1639">
        <v>155</v>
      </c>
    </row>
    <row r="1640" spans="1:19" x14ac:dyDescent="0.3">
      <c r="A1640">
        <v>1639</v>
      </c>
      <c r="B1640" t="s">
        <v>1014</v>
      </c>
      <c r="C1640">
        <v>2024</v>
      </c>
      <c r="D1640" t="s">
        <v>20</v>
      </c>
      <c r="E1640">
        <v>1</v>
      </c>
      <c r="F1640" t="s">
        <v>29</v>
      </c>
      <c r="G1640" t="s">
        <v>22</v>
      </c>
      <c r="H1640">
        <v>51.22</v>
      </c>
      <c r="I1640" t="s">
        <v>47</v>
      </c>
      <c r="J1640">
        <v>22</v>
      </c>
      <c r="K1640">
        <v>523</v>
      </c>
      <c r="L1640">
        <v>81.33</v>
      </c>
      <c r="M1640">
        <v>14.49</v>
      </c>
      <c r="N1640">
        <v>9.0500000000000007</v>
      </c>
      <c r="O1640">
        <v>4.66</v>
      </c>
      <c r="P1640">
        <v>481.93</v>
      </c>
      <c r="Q1640">
        <v>544</v>
      </c>
      <c r="R1640">
        <v>4</v>
      </c>
      <c r="S1640">
        <v>96</v>
      </c>
    </row>
    <row r="1641" spans="1:19" x14ac:dyDescent="0.3">
      <c r="A1641">
        <v>1640</v>
      </c>
      <c r="B1641" t="s">
        <v>1015</v>
      </c>
      <c r="C1641">
        <v>2024</v>
      </c>
      <c r="D1641" t="s">
        <v>20</v>
      </c>
      <c r="E1641">
        <v>1</v>
      </c>
      <c r="F1641" t="s">
        <v>37</v>
      </c>
      <c r="G1641" t="s">
        <v>42</v>
      </c>
      <c r="H1641">
        <v>29.3</v>
      </c>
      <c r="I1641" t="s">
        <v>32</v>
      </c>
      <c r="J1641">
        <v>6</v>
      </c>
      <c r="K1641">
        <v>599</v>
      </c>
      <c r="L1641">
        <v>76.03</v>
      </c>
      <c r="M1641">
        <v>30.79</v>
      </c>
      <c r="N1641">
        <v>3.44</v>
      </c>
      <c r="O1641">
        <v>3.74</v>
      </c>
      <c r="P1641">
        <v>493.8</v>
      </c>
      <c r="Q1641">
        <v>1033</v>
      </c>
      <c r="R1641">
        <v>3</v>
      </c>
      <c r="S1641">
        <v>244</v>
      </c>
    </row>
    <row r="1642" spans="1:19" x14ac:dyDescent="0.3">
      <c r="A1642">
        <v>1641</v>
      </c>
      <c r="B1642" t="s">
        <v>1008</v>
      </c>
      <c r="C1642">
        <v>2024</v>
      </c>
      <c r="D1642" t="s">
        <v>20</v>
      </c>
      <c r="E1642">
        <v>1</v>
      </c>
      <c r="F1642" t="s">
        <v>53</v>
      </c>
      <c r="G1642" t="s">
        <v>22</v>
      </c>
      <c r="H1642">
        <v>32.159999999999997</v>
      </c>
      <c r="I1642" t="s">
        <v>23</v>
      </c>
      <c r="J1642">
        <v>39</v>
      </c>
      <c r="K1642">
        <v>219</v>
      </c>
      <c r="L1642">
        <v>75.08</v>
      </c>
      <c r="M1642">
        <v>17.510000000000002</v>
      </c>
      <c r="N1642">
        <v>15.11</v>
      </c>
      <c r="O1642">
        <v>10.86</v>
      </c>
      <c r="P1642">
        <v>266.74</v>
      </c>
      <c r="Q1642">
        <v>915</v>
      </c>
      <c r="R1642">
        <v>3</v>
      </c>
      <c r="S1642">
        <v>170</v>
      </c>
    </row>
    <row r="1643" spans="1:19" x14ac:dyDescent="0.3">
      <c r="A1643">
        <v>1642</v>
      </c>
      <c r="B1643" t="s">
        <v>1016</v>
      </c>
      <c r="C1643">
        <v>2024</v>
      </c>
      <c r="D1643" t="s">
        <v>20</v>
      </c>
      <c r="E1643">
        <v>1</v>
      </c>
      <c r="F1643" t="s">
        <v>62</v>
      </c>
      <c r="G1643" t="s">
        <v>35</v>
      </c>
      <c r="H1643">
        <v>30.04</v>
      </c>
      <c r="I1643" t="s">
        <v>32</v>
      </c>
      <c r="J1643">
        <v>4</v>
      </c>
      <c r="K1643">
        <v>585</v>
      </c>
      <c r="L1643">
        <v>85.75</v>
      </c>
      <c r="M1643">
        <v>16.809999999999999</v>
      </c>
      <c r="N1643">
        <v>3.52</v>
      </c>
      <c r="O1643">
        <v>10.77</v>
      </c>
      <c r="P1643">
        <v>457.96</v>
      </c>
      <c r="Q1643">
        <v>228</v>
      </c>
      <c r="R1643">
        <v>5</v>
      </c>
      <c r="S1643">
        <v>52</v>
      </c>
    </row>
    <row r="1644" spans="1:19" x14ac:dyDescent="0.3">
      <c r="A1644">
        <v>1643</v>
      </c>
      <c r="B1644" t="s">
        <v>1015</v>
      </c>
      <c r="C1644">
        <v>2024</v>
      </c>
      <c r="D1644" t="s">
        <v>20</v>
      </c>
      <c r="E1644">
        <v>1</v>
      </c>
      <c r="F1644" t="s">
        <v>37</v>
      </c>
      <c r="G1644" t="s">
        <v>22</v>
      </c>
      <c r="H1644">
        <v>27.03</v>
      </c>
      <c r="I1644" t="s">
        <v>23</v>
      </c>
      <c r="J1644">
        <v>33</v>
      </c>
      <c r="K1644">
        <v>403</v>
      </c>
      <c r="L1644">
        <v>90.92</v>
      </c>
      <c r="M1644">
        <v>8.86</v>
      </c>
      <c r="N1644">
        <v>5.67</v>
      </c>
      <c r="O1644">
        <v>7.33</v>
      </c>
      <c r="P1644">
        <v>201.18</v>
      </c>
      <c r="Q1644">
        <v>367</v>
      </c>
      <c r="R1644">
        <v>2</v>
      </c>
      <c r="S1644">
        <v>56</v>
      </c>
    </row>
    <row r="1645" spans="1:19" x14ac:dyDescent="0.3">
      <c r="A1645">
        <v>1644</v>
      </c>
      <c r="B1645" t="s">
        <v>1017</v>
      </c>
      <c r="C1645">
        <v>2024</v>
      </c>
      <c r="D1645" t="s">
        <v>20</v>
      </c>
      <c r="E1645">
        <v>1</v>
      </c>
      <c r="F1645" t="s">
        <v>25</v>
      </c>
      <c r="G1645" t="s">
        <v>42</v>
      </c>
      <c r="H1645">
        <v>20.62</v>
      </c>
      <c r="I1645" t="s">
        <v>23</v>
      </c>
      <c r="J1645">
        <v>23</v>
      </c>
      <c r="K1645">
        <v>100</v>
      </c>
      <c r="L1645">
        <v>79.95</v>
      </c>
      <c r="M1645">
        <v>33.92</v>
      </c>
      <c r="N1645">
        <v>16.5</v>
      </c>
      <c r="O1645">
        <v>7.53</v>
      </c>
      <c r="P1645">
        <v>347.44</v>
      </c>
      <c r="Q1645">
        <v>372</v>
      </c>
      <c r="R1645">
        <v>4</v>
      </c>
      <c r="S1645">
        <v>73</v>
      </c>
    </row>
    <row r="1646" spans="1:19" x14ac:dyDescent="0.3">
      <c r="A1646">
        <v>1645</v>
      </c>
      <c r="B1646" t="s">
        <v>1012</v>
      </c>
      <c r="C1646">
        <v>2024</v>
      </c>
      <c r="D1646" t="s">
        <v>20</v>
      </c>
      <c r="E1646">
        <v>1</v>
      </c>
      <c r="F1646" t="s">
        <v>29</v>
      </c>
      <c r="G1646" t="s">
        <v>26</v>
      </c>
      <c r="H1646">
        <v>31.09</v>
      </c>
      <c r="I1646" t="s">
        <v>32</v>
      </c>
      <c r="J1646">
        <v>2</v>
      </c>
      <c r="K1646">
        <v>534</v>
      </c>
      <c r="L1646">
        <v>84.67</v>
      </c>
      <c r="M1646">
        <v>18.79</v>
      </c>
      <c r="N1646">
        <v>18.87</v>
      </c>
      <c r="O1646">
        <v>12.05</v>
      </c>
      <c r="P1646">
        <v>457.43</v>
      </c>
      <c r="Q1646">
        <v>768</v>
      </c>
      <c r="R1646">
        <v>2</v>
      </c>
      <c r="S1646">
        <v>229</v>
      </c>
    </row>
    <row r="1647" spans="1:19" x14ac:dyDescent="0.3">
      <c r="A1647">
        <v>1646</v>
      </c>
      <c r="B1647" t="s">
        <v>1014</v>
      </c>
      <c r="C1647">
        <v>2024</v>
      </c>
      <c r="D1647" t="s">
        <v>20</v>
      </c>
      <c r="E1647">
        <v>1</v>
      </c>
      <c r="F1647" t="s">
        <v>29</v>
      </c>
      <c r="G1647" t="s">
        <v>22</v>
      </c>
      <c r="H1647">
        <v>11.38</v>
      </c>
      <c r="I1647" t="s">
        <v>23</v>
      </c>
      <c r="J1647">
        <v>28</v>
      </c>
      <c r="K1647">
        <v>326</v>
      </c>
      <c r="L1647">
        <v>84.32</v>
      </c>
      <c r="M1647">
        <v>5.44</v>
      </c>
      <c r="N1647">
        <v>3.09</v>
      </c>
      <c r="O1647">
        <v>11.27</v>
      </c>
      <c r="P1647">
        <v>436.29</v>
      </c>
      <c r="Q1647">
        <v>526</v>
      </c>
      <c r="R1647">
        <v>3</v>
      </c>
      <c r="S1647">
        <v>58</v>
      </c>
    </row>
    <row r="1648" spans="1:19" x14ac:dyDescent="0.3">
      <c r="A1648">
        <v>1647</v>
      </c>
      <c r="B1648" t="s">
        <v>1015</v>
      </c>
      <c r="C1648">
        <v>2024</v>
      </c>
      <c r="D1648" t="s">
        <v>20</v>
      </c>
      <c r="E1648">
        <v>1</v>
      </c>
      <c r="F1648" t="s">
        <v>25</v>
      </c>
      <c r="G1648" t="s">
        <v>26</v>
      </c>
      <c r="H1648">
        <v>19.84</v>
      </c>
      <c r="I1648" t="s">
        <v>47</v>
      </c>
      <c r="J1648">
        <v>24</v>
      </c>
      <c r="K1648">
        <v>490</v>
      </c>
      <c r="L1648">
        <v>91.39</v>
      </c>
      <c r="M1648">
        <v>19.64</v>
      </c>
      <c r="N1648">
        <v>5.82</v>
      </c>
      <c r="O1648">
        <v>13.79</v>
      </c>
      <c r="P1648">
        <v>394.93</v>
      </c>
      <c r="Q1648">
        <v>671</v>
      </c>
      <c r="R1648">
        <v>5</v>
      </c>
      <c r="S1648">
        <v>178</v>
      </c>
    </row>
    <row r="1649" spans="1:19" x14ac:dyDescent="0.3">
      <c r="A1649">
        <v>1648</v>
      </c>
      <c r="B1649" t="s">
        <v>1016</v>
      </c>
      <c r="C1649">
        <v>2024</v>
      </c>
      <c r="D1649" t="s">
        <v>20</v>
      </c>
      <c r="E1649">
        <v>1</v>
      </c>
      <c r="F1649" t="s">
        <v>29</v>
      </c>
      <c r="G1649" t="s">
        <v>40</v>
      </c>
      <c r="H1649">
        <v>9.1</v>
      </c>
      <c r="I1649" t="s">
        <v>47</v>
      </c>
      <c r="J1649">
        <v>30</v>
      </c>
      <c r="K1649">
        <v>568</v>
      </c>
      <c r="L1649">
        <v>94.02</v>
      </c>
      <c r="M1649">
        <v>30.28</v>
      </c>
      <c r="N1649">
        <v>19.850000000000001</v>
      </c>
      <c r="O1649">
        <v>13.71</v>
      </c>
      <c r="P1649">
        <v>119.32</v>
      </c>
      <c r="Q1649">
        <v>507</v>
      </c>
      <c r="R1649">
        <v>3</v>
      </c>
      <c r="S1649">
        <v>236</v>
      </c>
    </row>
    <row r="1650" spans="1:19" x14ac:dyDescent="0.3">
      <c r="A1650">
        <v>1649</v>
      </c>
      <c r="B1650" t="s">
        <v>1018</v>
      </c>
      <c r="C1650">
        <v>2024</v>
      </c>
      <c r="D1650" t="s">
        <v>20</v>
      </c>
      <c r="E1650">
        <v>1</v>
      </c>
      <c r="F1650" t="s">
        <v>34</v>
      </c>
      <c r="G1650" t="s">
        <v>22</v>
      </c>
      <c r="H1650">
        <v>53.77</v>
      </c>
      <c r="I1650" t="s">
        <v>32</v>
      </c>
      <c r="J1650">
        <v>1</v>
      </c>
      <c r="K1650">
        <v>289</v>
      </c>
      <c r="L1650">
        <v>75.7</v>
      </c>
      <c r="M1650">
        <v>14.8</v>
      </c>
      <c r="N1650">
        <v>14.3</v>
      </c>
      <c r="O1650">
        <v>7.82</v>
      </c>
      <c r="P1650">
        <v>353.04</v>
      </c>
      <c r="Q1650">
        <v>129</v>
      </c>
      <c r="R1650">
        <v>5</v>
      </c>
      <c r="S1650">
        <v>234</v>
      </c>
    </row>
    <row r="1651" spans="1:19" x14ac:dyDescent="0.3">
      <c r="A1651">
        <v>1650</v>
      </c>
      <c r="B1651" t="s">
        <v>1019</v>
      </c>
      <c r="C1651">
        <v>2024</v>
      </c>
      <c r="D1651" t="s">
        <v>20</v>
      </c>
      <c r="E1651">
        <v>1</v>
      </c>
      <c r="F1651" t="s">
        <v>62</v>
      </c>
      <c r="G1651" t="s">
        <v>22</v>
      </c>
      <c r="H1651">
        <v>17.53</v>
      </c>
      <c r="I1651" t="s">
        <v>27</v>
      </c>
      <c r="J1651">
        <v>40</v>
      </c>
      <c r="K1651">
        <v>416</v>
      </c>
      <c r="L1651">
        <v>84.4</v>
      </c>
      <c r="M1651">
        <v>29.52</v>
      </c>
      <c r="N1651">
        <v>4.25</v>
      </c>
      <c r="O1651">
        <v>10.93</v>
      </c>
      <c r="P1651">
        <v>375.34</v>
      </c>
      <c r="Q1651">
        <v>768</v>
      </c>
      <c r="R1651">
        <v>5</v>
      </c>
      <c r="S1651">
        <v>125</v>
      </c>
    </row>
    <row r="1652" spans="1:19" x14ac:dyDescent="0.3">
      <c r="A1652">
        <v>1651</v>
      </c>
      <c r="B1652" t="s">
        <v>1020</v>
      </c>
      <c r="C1652">
        <v>2024</v>
      </c>
      <c r="D1652" t="s">
        <v>20</v>
      </c>
      <c r="E1652">
        <v>1</v>
      </c>
      <c r="F1652" t="s">
        <v>37</v>
      </c>
      <c r="G1652" t="s">
        <v>40</v>
      </c>
      <c r="H1652">
        <v>35.159999999999997</v>
      </c>
      <c r="I1652" t="s">
        <v>23</v>
      </c>
      <c r="J1652">
        <v>20</v>
      </c>
      <c r="K1652">
        <v>306</v>
      </c>
      <c r="L1652">
        <v>83.23</v>
      </c>
      <c r="M1652">
        <v>10.97</v>
      </c>
      <c r="N1652">
        <v>16.43</v>
      </c>
      <c r="O1652">
        <v>8.9600000000000009</v>
      </c>
      <c r="P1652">
        <v>593.69000000000005</v>
      </c>
      <c r="Q1652">
        <v>724</v>
      </c>
      <c r="R1652">
        <v>3</v>
      </c>
      <c r="S1652">
        <v>246</v>
      </c>
    </row>
    <row r="1653" spans="1:19" x14ac:dyDescent="0.3">
      <c r="A1653">
        <v>1652</v>
      </c>
      <c r="B1653" t="s">
        <v>1019</v>
      </c>
      <c r="C1653">
        <v>2024</v>
      </c>
      <c r="D1653" t="s">
        <v>20</v>
      </c>
      <c r="E1653">
        <v>1</v>
      </c>
      <c r="F1653" t="s">
        <v>53</v>
      </c>
      <c r="G1653" t="s">
        <v>26</v>
      </c>
      <c r="H1653">
        <v>37.28</v>
      </c>
      <c r="I1653" t="s">
        <v>27</v>
      </c>
      <c r="J1653">
        <v>36</v>
      </c>
      <c r="K1653">
        <v>241</v>
      </c>
      <c r="L1653">
        <v>86.18</v>
      </c>
      <c r="M1653">
        <v>21.77</v>
      </c>
      <c r="N1653">
        <v>14.82</v>
      </c>
      <c r="O1653">
        <v>2.94</v>
      </c>
      <c r="P1653">
        <v>211.1</v>
      </c>
      <c r="Q1653">
        <v>942</v>
      </c>
      <c r="R1653">
        <v>1</v>
      </c>
      <c r="S1653">
        <v>93</v>
      </c>
    </row>
    <row r="1654" spans="1:19" x14ac:dyDescent="0.3">
      <c r="A1654">
        <v>1653</v>
      </c>
      <c r="B1654" t="s">
        <v>1016</v>
      </c>
      <c r="C1654">
        <v>2024</v>
      </c>
      <c r="D1654" t="s">
        <v>20</v>
      </c>
      <c r="E1654">
        <v>1</v>
      </c>
      <c r="F1654" t="s">
        <v>29</v>
      </c>
      <c r="G1654" t="s">
        <v>35</v>
      </c>
      <c r="H1654">
        <v>52.86</v>
      </c>
      <c r="I1654" t="s">
        <v>27</v>
      </c>
      <c r="J1654">
        <v>25</v>
      </c>
      <c r="K1654">
        <v>507</v>
      </c>
      <c r="L1654">
        <v>76.83</v>
      </c>
      <c r="M1654">
        <v>6.09</v>
      </c>
      <c r="N1654">
        <v>15.96</v>
      </c>
      <c r="O1654">
        <v>6.32</v>
      </c>
      <c r="P1654">
        <v>439.2</v>
      </c>
      <c r="Q1654">
        <v>678</v>
      </c>
      <c r="R1654">
        <v>3</v>
      </c>
      <c r="S1654">
        <v>229</v>
      </c>
    </row>
    <row r="1655" spans="1:19" x14ac:dyDescent="0.3">
      <c r="A1655">
        <v>1654</v>
      </c>
      <c r="B1655" t="s">
        <v>1021</v>
      </c>
      <c r="C1655">
        <v>2024</v>
      </c>
      <c r="D1655" t="s">
        <v>20</v>
      </c>
      <c r="E1655">
        <v>1</v>
      </c>
      <c r="F1655" t="s">
        <v>21</v>
      </c>
      <c r="G1655" t="s">
        <v>35</v>
      </c>
      <c r="H1655">
        <v>54.4</v>
      </c>
      <c r="I1655" t="s">
        <v>32</v>
      </c>
      <c r="J1655">
        <v>47</v>
      </c>
      <c r="K1655">
        <v>105</v>
      </c>
      <c r="L1655">
        <v>82.44</v>
      </c>
      <c r="M1655">
        <v>28.31</v>
      </c>
      <c r="N1655">
        <v>3.7</v>
      </c>
      <c r="O1655">
        <v>13.22</v>
      </c>
      <c r="P1655">
        <v>434.37</v>
      </c>
      <c r="Q1655">
        <v>964</v>
      </c>
      <c r="R1655">
        <v>3</v>
      </c>
      <c r="S1655">
        <v>68</v>
      </c>
    </row>
    <row r="1656" spans="1:19" x14ac:dyDescent="0.3">
      <c r="A1656">
        <v>1655</v>
      </c>
      <c r="B1656" t="s">
        <v>1022</v>
      </c>
      <c r="C1656">
        <v>2024</v>
      </c>
      <c r="D1656" t="s">
        <v>20</v>
      </c>
      <c r="E1656">
        <v>1</v>
      </c>
      <c r="F1656" t="s">
        <v>37</v>
      </c>
      <c r="G1656" t="s">
        <v>26</v>
      </c>
      <c r="H1656">
        <v>53.57</v>
      </c>
      <c r="I1656" t="s">
        <v>47</v>
      </c>
      <c r="J1656">
        <v>7</v>
      </c>
      <c r="K1656">
        <v>324</v>
      </c>
      <c r="L1656">
        <v>83.32</v>
      </c>
      <c r="M1656">
        <v>23.06</v>
      </c>
      <c r="N1656">
        <v>3.08</v>
      </c>
      <c r="O1656">
        <v>8.27</v>
      </c>
      <c r="P1656">
        <v>166.42</v>
      </c>
      <c r="Q1656">
        <v>244</v>
      </c>
      <c r="R1656">
        <v>4</v>
      </c>
      <c r="S1656">
        <v>84</v>
      </c>
    </row>
    <row r="1657" spans="1:19" x14ac:dyDescent="0.3">
      <c r="A1657">
        <v>1656</v>
      </c>
      <c r="B1657" t="s">
        <v>1011</v>
      </c>
      <c r="C1657">
        <v>2024</v>
      </c>
      <c r="D1657" t="s">
        <v>20</v>
      </c>
      <c r="E1657">
        <v>1</v>
      </c>
      <c r="F1657" t="s">
        <v>34</v>
      </c>
      <c r="G1657" t="s">
        <v>40</v>
      </c>
      <c r="H1657">
        <v>14.44</v>
      </c>
      <c r="I1657" t="s">
        <v>32</v>
      </c>
      <c r="J1657">
        <v>45</v>
      </c>
      <c r="K1657">
        <v>419</v>
      </c>
      <c r="L1657">
        <v>75.55</v>
      </c>
      <c r="M1657">
        <v>11.07</v>
      </c>
      <c r="N1657">
        <v>21.05</v>
      </c>
      <c r="O1657">
        <v>6.48</v>
      </c>
      <c r="P1657">
        <v>154.47999999999999</v>
      </c>
      <c r="Q1657">
        <v>754</v>
      </c>
      <c r="R1657">
        <v>2</v>
      </c>
      <c r="S1657">
        <v>156</v>
      </c>
    </row>
    <row r="1658" spans="1:19" x14ac:dyDescent="0.3">
      <c r="A1658">
        <v>1657</v>
      </c>
      <c r="B1658" t="s">
        <v>1023</v>
      </c>
      <c r="C1658">
        <v>2024</v>
      </c>
      <c r="D1658" t="s">
        <v>20</v>
      </c>
      <c r="E1658">
        <v>1</v>
      </c>
      <c r="F1658" t="s">
        <v>53</v>
      </c>
      <c r="G1658" t="s">
        <v>42</v>
      </c>
      <c r="H1658">
        <v>53.88</v>
      </c>
      <c r="I1658" t="s">
        <v>23</v>
      </c>
      <c r="J1658">
        <v>18</v>
      </c>
      <c r="K1658">
        <v>332</v>
      </c>
      <c r="L1658">
        <v>75.78</v>
      </c>
      <c r="M1658">
        <v>14.83</v>
      </c>
      <c r="N1658">
        <v>11.64</v>
      </c>
      <c r="O1658">
        <v>7.02</v>
      </c>
      <c r="P1658">
        <v>170.09</v>
      </c>
      <c r="Q1658">
        <v>893</v>
      </c>
      <c r="R1658">
        <v>3</v>
      </c>
      <c r="S1658">
        <v>67</v>
      </c>
    </row>
    <row r="1659" spans="1:19" x14ac:dyDescent="0.3">
      <c r="A1659">
        <v>1658</v>
      </c>
      <c r="B1659" t="s">
        <v>1017</v>
      </c>
      <c r="C1659">
        <v>2024</v>
      </c>
      <c r="D1659" t="s">
        <v>20</v>
      </c>
      <c r="E1659">
        <v>1</v>
      </c>
      <c r="F1659" t="s">
        <v>25</v>
      </c>
      <c r="G1659" t="s">
        <v>40</v>
      </c>
      <c r="H1659">
        <v>40.76</v>
      </c>
      <c r="I1659" t="s">
        <v>23</v>
      </c>
      <c r="J1659">
        <v>18</v>
      </c>
      <c r="K1659">
        <v>219</v>
      </c>
      <c r="L1659">
        <v>77.16</v>
      </c>
      <c r="M1659">
        <v>5.53</v>
      </c>
      <c r="N1659">
        <v>10.02</v>
      </c>
      <c r="O1659">
        <v>5.0999999999999996</v>
      </c>
      <c r="P1659">
        <v>313.81</v>
      </c>
      <c r="Q1659">
        <v>914</v>
      </c>
      <c r="R1659">
        <v>4</v>
      </c>
      <c r="S1659">
        <v>129</v>
      </c>
    </row>
    <row r="1660" spans="1:19" x14ac:dyDescent="0.3">
      <c r="A1660">
        <v>1659</v>
      </c>
      <c r="B1660" t="s">
        <v>1024</v>
      </c>
      <c r="C1660">
        <v>2024</v>
      </c>
      <c r="D1660" t="s">
        <v>20</v>
      </c>
      <c r="E1660">
        <v>1</v>
      </c>
      <c r="F1660" t="s">
        <v>53</v>
      </c>
      <c r="G1660" t="s">
        <v>42</v>
      </c>
      <c r="H1660">
        <v>31.92</v>
      </c>
      <c r="I1660" t="s">
        <v>32</v>
      </c>
      <c r="J1660">
        <v>20</v>
      </c>
      <c r="K1660">
        <v>529</v>
      </c>
      <c r="L1660">
        <v>83.1</v>
      </c>
      <c r="M1660">
        <v>33.14</v>
      </c>
      <c r="N1660">
        <v>9.23</v>
      </c>
      <c r="O1660">
        <v>5.63</v>
      </c>
      <c r="P1660">
        <v>120.11</v>
      </c>
      <c r="Q1660">
        <v>706</v>
      </c>
      <c r="R1660">
        <v>3</v>
      </c>
      <c r="S1660">
        <v>96</v>
      </c>
    </row>
    <row r="1661" spans="1:19" x14ac:dyDescent="0.3">
      <c r="A1661">
        <v>1660</v>
      </c>
      <c r="B1661" t="s">
        <v>1010</v>
      </c>
      <c r="C1661">
        <v>2024</v>
      </c>
      <c r="D1661" t="s">
        <v>20</v>
      </c>
      <c r="E1661">
        <v>1</v>
      </c>
      <c r="F1661" t="s">
        <v>62</v>
      </c>
      <c r="G1661" t="s">
        <v>42</v>
      </c>
      <c r="H1661">
        <v>47.41</v>
      </c>
      <c r="I1661" t="s">
        <v>38</v>
      </c>
      <c r="J1661">
        <v>44</v>
      </c>
      <c r="K1661">
        <v>500</v>
      </c>
      <c r="L1661">
        <v>82.89</v>
      </c>
      <c r="M1661">
        <v>5.42</v>
      </c>
      <c r="N1661">
        <v>21.54</v>
      </c>
      <c r="O1661">
        <v>10.43</v>
      </c>
      <c r="P1661">
        <v>209.46</v>
      </c>
      <c r="Q1661">
        <v>1055</v>
      </c>
      <c r="R1661">
        <v>5</v>
      </c>
      <c r="S1661">
        <v>212</v>
      </c>
    </row>
    <row r="1662" spans="1:19" x14ac:dyDescent="0.3">
      <c r="A1662">
        <v>1661</v>
      </c>
      <c r="B1662" t="s">
        <v>1025</v>
      </c>
      <c r="C1662">
        <v>2024</v>
      </c>
      <c r="D1662" t="s">
        <v>20</v>
      </c>
      <c r="E1662">
        <v>1</v>
      </c>
      <c r="F1662" t="s">
        <v>31</v>
      </c>
      <c r="G1662" t="s">
        <v>22</v>
      </c>
      <c r="H1662">
        <v>31.84</v>
      </c>
      <c r="I1662" t="s">
        <v>47</v>
      </c>
      <c r="J1662">
        <v>27</v>
      </c>
      <c r="K1662">
        <v>568</v>
      </c>
      <c r="L1662">
        <v>92.87</v>
      </c>
      <c r="M1662">
        <v>10.18</v>
      </c>
      <c r="N1662">
        <v>13.56</v>
      </c>
      <c r="O1662">
        <v>13.66</v>
      </c>
      <c r="P1662">
        <v>166.84</v>
      </c>
      <c r="Q1662">
        <v>526</v>
      </c>
      <c r="R1662">
        <v>5</v>
      </c>
      <c r="S1662">
        <v>65</v>
      </c>
    </row>
    <row r="1663" spans="1:19" x14ac:dyDescent="0.3">
      <c r="A1663">
        <v>1662</v>
      </c>
      <c r="B1663" t="s">
        <v>1016</v>
      </c>
      <c r="C1663">
        <v>2024</v>
      </c>
      <c r="D1663" t="s">
        <v>20</v>
      </c>
      <c r="E1663">
        <v>1</v>
      </c>
      <c r="F1663" t="s">
        <v>34</v>
      </c>
      <c r="G1663" t="s">
        <v>42</v>
      </c>
      <c r="H1663">
        <v>18.350000000000001</v>
      </c>
      <c r="I1663" t="s">
        <v>27</v>
      </c>
      <c r="J1663">
        <v>48</v>
      </c>
      <c r="K1663">
        <v>409</v>
      </c>
      <c r="L1663">
        <v>82.63</v>
      </c>
      <c r="M1663">
        <v>12.84</v>
      </c>
      <c r="N1663">
        <v>3.36</v>
      </c>
      <c r="O1663">
        <v>15.28</v>
      </c>
      <c r="P1663">
        <v>332.4</v>
      </c>
      <c r="Q1663">
        <v>584</v>
      </c>
      <c r="R1663">
        <v>3</v>
      </c>
      <c r="S1663">
        <v>213</v>
      </c>
    </row>
    <row r="1664" spans="1:19" x14ac:dyDescent="0.3">
      <c r="A1664">
        <v>1663</v>
      </c>
      <c r="B1664" t="s">
        <v>1020</v>
      </c>
      <c r="C1664">
        <v>2024</v>
      </c>
      <c r="D1664" t="s">
        <v>20</v>
      </c>
      <c r="E1664">
        <v>1</v>
      </c>
      <c r="F1664" t="s">
        <v>62</v>
      </c>
      <c r="G1664" t="s">
        <v>26</v>
      </c>
      <c r="H1664">
        <v>24.8</v>
      </c>
      <c r="I1664" t="s">
        <v>27</v>
      </c>
      <c r="J1664">
        <v>11</v>
      </c>
      <c r="K1664">
        <v>301</v>
      </c>
      <c r="L1664">
        <v>89.02</v>
      </c>
      <c r="M1664">
        <v>10.56</v>
      </c>
      <c r="N1664">
        <v>17.55</v>
      </c>
      <c r="O1664">
        <v>10.4</v>
      </c>
      <c r="P1664">
        <v>198.9</v>
      </c>
      <c r="Q1664">
        <v>153</v>
      </c>
      <c r="R1664">
        <v>1</v>
      </c>
      <c r="S1664">
        <v>205</v>
      </c>
    </row>
    <row r="1665" spans="1:19" x14ac:dyDescent="0.3">
      <c r="A1665">
        <v>1664</v>
      </c>
      <c r="B1665" t="s">
        <v>1018</v>
      </c>
      <c r="C1665">
        <v>2024</v>
      </c>
      <c r="D1665" t="s">
        <v>20</v>
      </c>
      <c r="E1665">
        <v>1</v>
      </c>
      <c r="F1665" t="s">
        <v>37</v>
      </c>
      <c r="G1665" t="s">
        <v>22</v>
      </c>
      <c r="H1665">
        <v>6.46</v>
      </c>
      <c r="I1665" t="s">
        <v>32</v>
      </c>
      <c r="J1665">
        <v>24</v>
      </c>
      <c r="K1665">
        <v>210</v>
      </c>
      <c r="L1665">
        <v>94.7</v>
      </c>
      <c r="M1665">
        <v>6.77</v>
      </c>
      <c r="N1665">
        <v>3.63</v>
      </c>
      <c r="O1665">
        <v>3.65</v>
      </c>
      <c r="P1665">
        <v>417.87</v>
      </c>
      <c r="Q1665">
        <v>154</v>
      </c>
      <c r="R1665">
        <v>3</v>
      </c>
      <c r="S1665">
        <v>67</v>
      </c>
    </row>
    <row r="1666" spans="1:19" x14ac:dyDescent="0.3">
      <c r="A1666">
        <v>1665</v>
      </c>
      <c r="B1666" t="s">
        <v>1026</v>
      </c>
      <c r="C1666">
        <v>2024</v>
      </c>
      <c r="D1666" t="s">
        <v>20</v>
      </c>
      <c r="E1666">
        <v>1</v>
      </c>
      <c r="F1666" t="s">
        <v>29</v>
      </c>
      <c r="G1666" t="s">
        <v>22</v>
      </c>
      <c r="H1666">
        <v>34.64</v>
      </c>
      <c r="I1666" t="s">
        <v>32</v>
      </c>
      <c r="J1666">
        <v>22</v>
      </c>
      <c r="K1666">
        <v>215</v>
      </c>
      <c r="L1666">
        <v>92.24</v>
      </c>
      <c r="M1666">
        <v>18.09</v>
      </c>
      <c r="N1666">
        <v>11.57</v>
      </c>
      <c r="O1666">
        <v>14.54</v>
      </c>
      <c r="P1666">
        <v>582.21</v>
      </c>
      <c r="Q1666">
        <v>145</v>
      </c>
      <c r="R1666">
        <v>5</v>
      </c>
      <c r="S1666">
        <v>225</v>
      </c>
    </row>
    <row r="1667" spans="1:19" x14ac:dyDescent="0.3">
      <c r="A1667">
        <v>1666</v>
      </c>
      <c r="B1667" t="s">
        <v>1023</v>
      </c>
      <c r="C1667">
        <v>2024</v>
      </c>
      <c r="D1667" t="s">
        <v>20</v>
      </c>
      <c r="E1667">
        <v>1</v>
      </c>
      <c r="F1667" t="s">
        <v>31</v>
      </c>
      <c r="G1667" t="s">
        <v>26</v>
      </c>
      <c r="H1667">
        <v>51.74</v>
      </c>
      <c r="I1667" t="s">
        <v>38</v>
      </c>
      <c r="J1667">
        <v>38</v>
      </c>
      <c r="K1667">
        <v>335</v>
      </c>
      <c r="L1667">
        <v>85.64</v>
      </c>
      <c r="M1667">
        <v>29.1</v>
      </c>
      <c r="N1667">
        <v>11.54</v>
      </c>
      <c r="O1667">
        <v>7.62</v>
      </c>
      <c r="P1667">
        <v>312.04000000000002</v>
      </c>
      <c r="Q1667">
        <v>614</v>
      </c>
      <c r="R1667">
        <v>3</v>
      </c>
      <c r="S1667">
        <v>156</v>
      </c>
    </row>
    <row r="1668" spans="1:19" x14ac:dyDescent="0.3">
      <c r="A1668">
        <v>1667</v>
      </c>
      <c r="B1668" t="s">
        <v>1027</v>
      </c>
      <c r="C1668">
        <v>2024</v>
      </c>
      <c r="D1668" t="s">
        <v>20</v>
      </c>
      <c r="E1668">
        <v>2</v>
      </c>
      <c r="F1668" t="s">
        <v>62</v>
      </c>
      <c r="G1668" t="s">
        <v>22</v>
      </c>
      <c r="H1668">
        <v>29.15</v>
      </c>
      <c r="I1668" t="s">
        <v>23</v>
      </c>
      <c r="J1668">
        <v>45</v>
      </c>
      <c r="K1668">
        <v>563</v>
      </c>
      <c r="L1668">
        <v>85.46</v>
      </c>
      <c r="M1668">
        <v>29.83</v>
      </c>
      <c r="N1668">
        <v>4.4000000000000004</v>
      </c>
      <c r="O1668">
        <v>6.61</v>
      </c>
      <c r="P1668">
        <v>130.75</v>
      </c>
      <c r="Q1668">
        <v>1053</v>
      </c>
      <c r="R1668">
        <v>4</v>
      </c>
      <c r="S1668">
        <v>50</v>
      </c>
    </row>
    <row r="1669" spans="1:19" x14ac:dyDescent="0.3">
      <c r="A1669">
        <v>1668</v>
      </c>
      <c r="B1669" t="s">
        <v>1028</v>
      </c>
      <c r="C1669">
        <v>2024</v>
      </c>
      <c r="D1669" t="s">
        <v>20</v>
      </c>
      <c r="E1669">
        <v>2</v>
      </c>
      <c r="F1669" t="s">
        <v>29</v>
      </c>
      <c r="G1669" t="s">
        <v>35</v>
      </c>
      <c r="H1669">
        <v>12.37</v>
      </c>
      <c r="I1669" t="s">
        <v>47</v>
      </c>
      <c r="J1669">
        <v>40</v>
      </c>
      <c r="K1669">
        <v>378</v>
      </c>
      <c r="L1669">
        <v>91.83</v>
      </c>
      <c r="M1669">
        <v>33.85</v>
      </c>
      <c r="N1669">
        <v>13.4</v>
      </c>
      <c r="O1669">
        <v>6.91</v>
      </c>
      <c r="P1669">
        <v>535.91</v>
      </c>
      <c r="Q1669">
        <v>910</v>
      </c>
      <c r="R1669">
        <v>1</v>
      </c>
      <c r="S1669">
        <v>50</v>
      </c>
    </row>
    <row r="1670" spans="1:19" x14ac:dyDescent="0.3">
      <c r="A1670">
        <v>1669</v>
      </c>
      <c r="B1670" t="s">
        <v>1029</v>
      </c>
      <c r="C1670">
        <v>2024</v>
      </c>
      <c r="D1670" t="s">
        <v>20</v>
      </c>
      <c r="E1670">
        <v>2</v>
      </c>
      <c r="F1670" t="s">
        <v>37</v>
      </c>
      <c r="G1670" t="s">
        <v>22</v>
      </c>
      <c r="H1670">
        <v>22.47</v>
      </c>
      <c r="I1670" t="s">
        <v>27</v>
      </c>
      <c r="J1670">
        <v>1</v>
      </c>
      <c r="K1670">
        <v>543</v>
      </c>
      <c r="L1670">
        <v>77.27</v>
      </c>
      <c r="M1670">
        <v>34.130000000000003</v>
      </c>
      <c r="N1670">
        <v>16.75</v>
      </c>
      <c r="O1670">
        <v>6.25</v>
      </c>
      <c r="P1670">
        <v>395.82</v>
      </c>
      <c r="Q1670">
        <v>518</v>
      </c>
      <c r="R1670">
        <v>2</v>
      </c>
      <c r="S1670">
        <v>224</v>
      </c>
    </row>
    <row r="1671" spans="1:19" x14ac:dyDescent="0.3">
      <c r="A1671">
        <v>1670</v>
      </c>
      <c r="B1671" t="s">
        <v>1029</v>
      </c>
      <c r="C1671">
        <v>2024</v>
      </c>
      <c r="D1671" t="s">
        <v>20</v>
      </c>
      <c r="E1671">
        <v>2</v>
      </c>
      <c r="F1671" t="s">
        <v>29</v>
      </c>
      <c r="G1671" t="s">
        <v>35</v>
      </c>
      <c r="H1671">
        <v>38.03</v>
      </c>
      <c r="I1671" t="s">
        <v>32</v>
      </c>
      <c r="J1671">
        <v>48</v>
      </c>
      <c r="K1671">
        <v>121</v>
      </c>
      <c r="L1671">
        <v>88.39</v>
      </c>
      <c r="M1671">
        <v>19.64</v>
      </c>
      <c r="N1671">
        <v>21.7</v>
      </c>
      <c r="O1671">
        <v>3.46</v>
      </c>
      <c r="P1671">
        <v>115.99</v>
      </c>
      <c r="Q1671">
        <v>200</v>
      </c>
      <c r="R1671">
        <v>1</v>
      </c>
      <c r="S1671">
        <v>179</v>
      </c>
    </row>
    <row r="1672" spans="1:19" x14ac:dyDescent="0.3">
      <c r="A1672">
        <v>1671</v>
      </c>
      <c r="B1672" t="s">
        <v>1029</v>
      </c>
      <c r="C1672">
        <v>2024</v>
      </c>
      <c r="D1672" t="s">
        <v>20</v>
      </c>
      <c r="E1672">
        <v>2</v>
      </c>
      <c r="F1672" t="s">
        <v>29</v>
      </c>
      <c r="G1672" t="s">
        <v>22</v>
      </c>
      <c r="H1672">
        <v>24.55</v>
      </c>
      <c r="I1672" t="s">
        <v>32</v>
      </c>
      <c r="J1672">
        <v>13</v>
      </c>
      <c r="K1672">
        <v>556</v>
      </c>
      <c r="L1672">
        <v>75.489999999999995</v>
      </c>
      <c r="M1672">
        <v>18.190000000000001</v>
      </c>
      <c r="N1672">
        <v>2.65</v>
      </c>
      <c r="O1672">
        <v>4.17</v>
      </c>
      <c r="P1672">
        <v>500.08</v>
      </c>
      <c r="Q1672">
        <v>987</v>
      </c>
      <c r="R1672">
        <v>3</v>
      </c>
      <c r="S1672">
        <v>68</v>
      </c>
    </row>
    <row r="1673" spans="1:19" x14ac:dyDescent="0.3">
      <c r="A1673">
        <v>1672</v>
      </c>
      <c r="B1673" t="s">
        <v>1030</v>
      </c>
      <c r="C1673">
        <v>2024</v>
      </c>
      <c r="D1673" t="s">
        <v>20</v>
      </c>
      <c r="E1673">
        <v>2</v>
      </c>
      <c r="F1673" t="s">
        <v>29</v>
      </c>
      <c r="G1673" t="s">
        <v>26</v>
      </c>
      <c r="H1673">
        <v>44.9</v>
      </c>
      <c r="I1673" t="s">
        <v>32</v>
      </c>
      <c r="J1673">
        <v>42</v>
      </c>
      <c r="K1673">
        <v>264</v>
      </c>
      <c r="L1673">
        <v>79.040000000000006</v>
      </c>
      <c r="M1673">
        <v>31.11</v>
      </c>
      <c r="N1673">
        <v>5.52</v>
      </c>
      <c r="O1673">
        <v>5.57</v>
      </c>
      <c r="P1673">
        <v>124.41</v>
      </c>
      <c r="Q1673">
        <v>147</v>
      </c>
      <c r="R1673">
        <v>1</v>
      </c>
      <c r="S1673">
        <v>164</v>
      </c>
    </row>
    <row r="1674" spans="1:19" x14ac:dyDescent="0.3">
      <c r="A1674">
        <v>1673</v>
      </c>
      <c r="B1674" t="s">
        <v>1031</v>
      </c>
      <c r="C1674">
        <v>2024</v>
      </c>
      <c r="D1674" t="s">
        <v>20</v>
      </c>
      <c r="E1674">
        <v>2</v>
      </c>
      <c r="F1674" t="s">
        <v>29</v>
      </c>
      <c r="G1674" t="s">
        <v>26</v>
      </c>
      <c r="H1674">
        <v>10.89</v>
      </c>
      <c r="I1674" t="s">
        <v>32</v>
      </c>
      <c r="J1674">
        <v>30</v>
      </c>
      <c r="K1674">
        <v>459</v>
      </c>
      <c r="L1674">
        <v>86.7</v>
      </c>
      <c r="M1674">
        <v>18.690000000000001</v>
      </c>
      <c r="N1674">
        <v>3.27</v>
      </c>
      <c r="O1674">
        <v>10.050000000000001</v>
      </c>
      <c r="P1674">
        <v>115.35</v>
      </c>
      <c r="Q1674">
        <v>643</v>
      </c>
      <c r="R1674">
        <v>5</v>
      </c>
      <c r="S1674">
        <v>117</v>
      </c>
    </row>
    <row r="1675" spans="1:19" x14ac:dyDescent="0.3">
      <c r="A1675">
        <v>1674</v>
      </c>
      <c r="B1675" t="s">
        <v>1032</v>
      </c>
      <c r="C1675">
        <v>2024</v>
      </c>
      <c r="D1675" t="s">
        <v>20</v>
      </c>
      <c r="E1675">
        <v>2</v>
      </c>
      <c r="F1675" t="s">
        <v>29</v>
      </c>
      <c r="G1675" t="s">
        <v>22</v>
      </c>
      <c r="H1675">
        <v>15.59</v>
      </c>
      <c r="I1675" t="s">
        <v>38</v>
      </c>
      <c r="J1675">
        <v>31</v>
      </c>
      <c r="K1675">
        <v>465</v>
      </c>
      <c r="L1675">
        <v>80.599999999999994</v>
      </c>
      <c r="M1675">
        <v>22.35</v>
      </c>
      <c r="N1675">
        <v>12.17</v>
      </c>
      <c r="O1675">
        <v>14.85</v>
      </c>
      <c r="P1675">
        <v>538.44000000000005</v>
      </c>
      <c r="Q1675">
        <v>132</v>
      </c>
      <c r="R1675">
        <v>4</v>
      </c>
      <c r="S1675">
        <v>236</v>
      </c>
    </row>
    <row r="1676" spans="1:19" x14ac:dyDescent="0.3">
      <c r="A1676">
        <v>1675</v>
      </c>
      <c r="B1676" t="s">
        <v>1033</v>
      </c>
      <c r="C1676">
        <v>2024</v>
      </c>
      <c r="D1676" t="s">
        <v>20</v>
      </c>
      <c r="E1676">
        <v>2</v>
      </c>
      <c r="F1676" t="s">
        <v>25</v>
      </c>
      <c r="G1676" t="s">
        <v>22</v>
      </c>
      <c r="H1676">
        <v>48.91</v>
      </c>
      <c r="I1676" t="s">
        <v>23</v>
      </c>
      <c r="J1676">
        <v>27</v>
      </c>
      <c r="K1676">
        <v>191</v>
      </c>
      <c r="L1676">
        <v>87.28</v>
      </c>
      <c r="M1676">
        <v>15.86</v>
      </c>
      <c r="N1676">
        <v>12.47</v>
      </c>
      <c r="O1676">
        <v>10.46</v>
      </c>
      <c r="P1676">
        <v>305.63</v>
      </c>
      <c r="Q1676">
        <v>153</v>
      </c>
      <c r="R1676">
        <v>2</v>
      </c>
      <c r="S1676">
        <v>85</v>
      </c>
    </row>
    <row r="1677" spans="1:19" x14ac:dyDescent="0.3">
      <c r="A1677">
        <v>1676</v>
      </c>
      <c r="B1677" t="s">
        <v>1034</v>
      </c>
      <c r="C1677">
        <v>2024</v>
      </c>
      <c r="D1677" t="s">
        <v>20</v>
      </c>
      <c r="E1677">
        <v>2</v>
      </c>
      <c r="F1677" t="s">
        <v>34</v>
      </c>
      <c r="G1677" t="s">
        <v>26</v>
      </c>
      <c r="H1677">
        <v>45.58</v>
      </c>
      <c r="I1677" t="s">
        <v>23</v>
      </c>
      <c r="J1677">
        <v>49</v>
      </c>
      <c r="K1677">
        <v>121</v>
      </c>
      <c r="L1677">
        <v>82.72</v>
      </c>
      <c r="M1677">
        <v>26.55</v>
      </c>
      <c r="N1677">
        <v>9.1999999999999993</v>
      </c>
      <c r="O1677">
        <v>8.5500000000000007</v>
      </c>
      <c r="P1677">
        <v>465.13</v>
      </c>
      <c r="Q1677">
        <v>401</v>
      </c>
      <c r="R1677">
        <v>2</v>
      </c>
      <c r="S1677">
        <v>79</v>
      </c>
    </row>
    <row r="1678" spans="1:19" x14ac:dyDescent="0.3">
      <c r="A1678">
        <v>1677</v>
      </c>
      <c r="B1678" t="s">
        <v>1029</v>
      </c>
      <c r="C1678">
        <v>2024</v>
      </c>
      <c r="D1678" t="s">
        <v>20</v>
      </c>
      <c r="E1678">
        <v>2</v>
      </c>
      <c r="F1678" t="s">
        <v>25</v>
      </c>
      <c r="G1678" t="s">
        <v>35</v>
      </c>
      <c r="H1678">
        <v>8.56</v>
      </c>
      <c r="I1678" t="s">
        <v>47</v>
      </c>
      <c r="J1678">
        <v>12</v>
      </c>
      <c r="K1678">
        <v>354</v>
      </c>
      <c r="L1678">
        <v>80.84</v>
      </c>
      <c r="M1678">
        <v>20.05</v>
      </c>
      <c r="N1678">
        <v>18.7</v>
      </c>
      <c r="O1678">
        <v>15.28</v>
      </c>
      <c r="P1678">
        <v>221.15</v>
      </c>
      <c r="Q1678">
        <v>318</v>
      </c>
      <c r="R1678">
        <v>2</v>
      </c>
      <c r="S1678">
        <v>107</v>
      </c>
    </row>
    <row r="1679" spans="1:19" x14ac:dyDescent="0.3">
      <c r="A1679">
        <v>1678</v>
      </c>
      <c r="B1679" t="s">
        <v>1035</v>
      </c>
      <c r="C1679">
        <v>2024</v>
      </c>
      <c r="D1679" t="s">
        <v>20</v>
      </c>
      <c r="E1679">
        <v>2</v>
      </c>
      <c r="F1679" t="s">
        <v>62</v>
      </c>
      <c r="G1679" t="s">
        <v>22</v>
      </c>
      <c r="H1679">
        <v>44.79</v>
      </c>
      <c r="I1679" t="s">
        <v>27</v>
      </c>
      <c r="J1679">
        <v>42</v>
      </c>
      <c r="K1679">
        <v>341</v>
      </c>
      <c r="L1679">
        <v>93.61</v>
      </c>
      <c r="M1679">
        <v>20.399999999999999</v>
      </c>
      <c r="N1679">
        <v>4.13</v>
      </c>
      <c r="O1679">
        <v>8.82</v>
      </c>
      <c r="P1679">
        <v>256.97000000000003</v>
      </c>
      <c r="Q1679">
        <v>734</v>
      </c>
      <c r="R1679">
        <v>4</v>
      </c>
      <c r="S1679">
        <v>116</v>
      </c>
    </row>
    <row r="1680" spans="1:19" x14ac:dyDescent="0.3">
      <c r="A1680">
        <v>1679</v>
      </c>
      <c r="B1680" t="s">
        <v>1033</v>
      </c>
      <c r="C1680">
        <v>2024</v>
      </c>
      <c r="D1680" t="s">
        <v>20</v>
      </c>
      <c r="E1680">
        <v>2</v>
      </c>
      <c r="F1680" t="s">
        <v>34</v>
      </c>
      <c r="G1680" t="s">
        <v>42</v>
      </c>
      <c r="H1680">
        <v>50.75</v>
      </c>
      <c r="I1680" t="s">
        <v>47</v>
      </c>
      <c r="J1680">
        <v>42</v>
      </c>
      <c r="K1680">
        <v>376</v>
      </c>
      <c r="L1680">
        <v>78.22</v>
      </c>
      <c r="M1680">
        <v>8.2899999999999991</v>
      </c>
      <c r="N1680">
        <v>4.6399999999999997</v>
      </c>
      <c r="O1680">
        <v>12.6</v>
      </c>
      <c r="P1680">
        <v>306.17</v>
      </c>
      <c r="Q1680">
        <v>778</v>
      </c>
      <c r="R1680">
        <v>4</v>
      </c>
      <c r="S1680">
        <v>213</v>
      </c>
    </row>
    <row r="1681" spans="1:19" x14ac:dyDescent="0.3">
      <c r="A1681">
        <v>1680</v>
      </c>
      <c r="B1681" t="s">
        <v>1036</v>
      </c>
      <c r="C1681">
        <v>2024</v>
      </c>
      <c r="D1681" t="s">
        <v>20</v>
      </c>
      <c r="E1681">
        <v>2</v>
      </c>
      <c r="F1681" t="s">
        <v>34</v>
      </c>
      <c r="G1681" t="s">
        <v>42</v>
      </c>
      <c r="H1681">
        <v>9.15</v>
      </c>
      <c r="I1681" t="s">
        <v>38</v>
      </c>
      <c r="J1681">
        <v>2</v>
      </c>
      <c r="K1681">
        <v>467</v>
      </c>
      <c r="L1681">
        <v>78.930000000000007</v>
      </c>
      <c r="M1681">
        <v>22.06</v>
      </c>
      <c r="N1681">
        <v>2.4500000000000002</v>
      </c>
      <c r="O1681">
        <v>12.39</v>
      </c>
      <c r="P1681">
        <v>204.15</v>
      </c>
      <c r="Q1681">
        <v>659</v>
      </c>
      <c r="R1681">
        <v>2</v>
      </c>
      <c r="S1681">
        <v>113</v>
      </c>
    </row>
    <row r="1682" spans="1:19" x14ac:dyDescent="0.3">
      <c r="A1682">
        <v>1681</v>
      </c>
      <c r="B1682" t="s">
        <v>1037</v>
      </c>
      <c r="C1682">
        <v>2024</v>
      </c>
      <c r="D1682" t="s">
        <v>20</v>
      </c>
      <c r="E1682">
        <v>2</v>
      </c>
      <c r="F1682" t="s">
        <v>53</v>
      </c>
      <c r="G1682" t="s">
        <v>40</v>
      </c>
      <c r="H1682">
        <v>42.44</v>
      </c>
      <c r="I1682" t="s">
        <v>27</v>
      </c>
      <c r="J1682">
        <v>8</v>
      </c>
      <c r="K1682">
        <v>182</v>
      </c>
      <c r="L1682">
        <v>76.45</v>
      </c>
      <c r="M1682">
        <v>19.7</v>
      </c>
      <c r="N1682">
        <v>21.15</v>
      </c>
      <c r="O1682">
        <v>9.49</v>
      </c>
      <c r="P1682">
        <v>115.68</v>
      </c>
      <c r="Q1682">
        <v>1070</v>
      </c>
      <c r="R1682">
        <v>3</v>
      </c>
      <c r="S1682">
        <v>153</v>
      </c>
    </row>
    <row r="1683" spans="1:19" x14ac:dyDescent="0.3">
      <c r="A1683">
        <v>1682</v>
      </c>
      <c r="B1683" t="s">
        <v>1035</v>
      </c>
      <c r="C1683">
        <v>2024</v>
      </c>
      <c r="D1683" t="s">
        <v>20</v>
      </c>
      <c r="E1683">
        <v>2</v>
      </c>
      <c r="F1683" t="s">
        <v>34</v>
      </c>
      <c r="G1683" t="s">
        <v>35</v>
      </c>
      <c r="H1683">
        <v>10.27</v>
      </c>
      <c r="I1683" t="s">
        <v>27</v>
      </c>
      <c r="J1683">
        <v>1</v>
      </c>
      <c r="K1683">
        <v>266</v>
      </c>
      <c r="L1683">
        <v>87.29</v>
      </c>
      <c r="M1683">
        <v>23</v>
      </c>
      <c r="N1683">
        <v>20.58</v>
      </c>
      <c r="O1683">
        <v>15.8</v>
      </c>
      <c r="P1683">
        <v>211.34</v>
      </c>
      <c r="Q1683">
        <v>112</v>
      </c>
      <c r="R1683">
        <v>1</v>
      </c>
      <c r="S1683">
        <v>111</v>
      </c>
    </row>
    <row r="1684" spans="1:19" x14ac:dyDescent="0.3">
      <c r="A1684">
        <v>1683</v>
      </c>
      <c r="B1684" t="s">
        <v>1038</v>
      </c>
      <c r="C1684">
        <v>2024</v>
      </c>
      <c r="D1684" t="s">
        <v>20</v>
      </c>
      <c r="E1684">
        <v>2</v>
      </c>
      <c r="F1684" t="s">
        <v>34</v>
      </c>
      <c r="G1684" t="s">
        <v>40</v>
      </c>
      <c r="H1684">
        <v>6.61</v>
      </c>
      <c r="I1684" t="s">
        <v>23</v>
      </c>
      <c r="J1684">
        <v>12</v>
      </c>
      <c r="K1684">
        <v>504</v>
      </c>
      <c r="L1684">
        <v>81.77</v>
      </c>
      <c r="M1684">
        <v>32.630000000000003</v>
      </c>
      <c r="N1684">
        <v>21</v>
      </c>
      <c r="O1684">
        <v>5.17</v>
      </c>
      <c r="P1684">
        <v>478.42</v>
      </c>
      <c r="Q1684">
        <v>381</v>
      </c>
      <c r="R1684">
        <v>3</v>
      </c>
      <c r="S1684">
        <v>200</v>
      </c>
    </row>
    <row r="1685" spans="1:19" x14ac:dyDescent="0.3">
      <c r="A1685">
        <v>1684</v>
      </c>
      <c r="B1685" t="s">
        <v>1029</v>
      </c>
      <c r="C1685">
        <v>2024</v>
      </c>
      <c r="D1685" t="s">
        <v>20</v>
      </c>
      <c r="E1685">
        <v>2</v>
      </c>
      <c r="F1685" t="s">
        <v>62</v>
      </c>
      <c r="G1685" t="s">
        <v>22</v>
      </c>
      <c r="H1685">
        <v>21.57</v>
      </c>
      <c r="I1685" t="s">
        <v>47</v>
      </c>
      <c r="J1685">
        <v>41</v>
      </c>
      <c r="K1685">
        <v>357</v>
      </c>
      <c r="L1685">
        <v>91.58</v>
      </c>
      <c r="M1685">
        <v>9.7899999999999991</v>
      </c>
      <c r="N1685">
        <v>18.14</v>
      </c>
      <c r="O1685">
        <v>12.31</v>
      </c>
      <c r="P1685">
        <v>352.88</v>
      </c>
      <c r="Q1685">
        <v>199</v>
      </c>
      <c r="R1685">
        <v>1</v>
      </c>
      <c r="S1685">
        <v>141</v>
      </c>
    </row>
    <row r="1686" spans="1:19" x14ac:dyDescent="0.3">
      <c r="A1686">
        <v>1685</v>
      </c>
      <c r="B1686" t="s">
        <v>1027</v>
      </c>
      <c r="C1686">
        <v>2024</v>
      </c>
      <c r="D1686" t="s">
        <v>20</v>
      </c>
      <c r="E1686">
        <v>2</v>
      </c>
      <c r="F1686" t="s">
        <v>29</v>
      </c>
      <c r="G1686" t="s">
        <v>26</v>
      </c>
      <c r="H1686">
        <v>23.02</v>
      </c>
      <c r="I1686" t="s">
        <v>32</v>
      </c>
      <c r="J1686">
        <v>39</v>
      </c>
      <c r="K1686">
        <v>397</v>
      </c>
      <c r="L1686">
        <v>88.81</v>
      </c>
      <c r="M1686">
        <v>27.05</v>
      </c>
      <c r="N1686">
        <v>15.17</v>
      </c>
      <c r="O1686">
        <v>10.89</v>
      </c>
      <c r="P1686">
        <v>107.98</v>
      </c>
      <c r="Q1686">
        <v>170</v>
      </c>
      <c r="R1686">
        <v>5</v>
      </c>
      <c r="S1686">
        <v>146</v>
      </c>
    </row>
    <row r="1687" spans="1:19" x14ac:dyDescent="0.3">
      <c r="A1687">
        <v>1686</v>
      </c>
      <c r="B1687" t="s">
        <v>1039</v>
      </c>
      <c r="C1687">
        <v>2024</v>
      </c>
      <c r="D1687" t="s">
        <v>20</v>
      </c>
      <c r="E1687">
        <v>2</v>
      </c>
      <c r="F1687" t="s">
        <v>25</v>
      </c>
      <c r="G1687" t="s">
        <v>35</v>
      </c>
      <c r="H1687">
        <v>22.62</v>
      </c>
      <c r="I1687" t="s">
        <v>27</v>
      </c>
      <c r="J1687">
        <v>47</v>
      </c>
      <c r="K1687">
        <v>229</v>
      </c>
      <c r="L1687">
        <v>88.6</v>
      </c>
      <c r="M1687">
        <v>16.11</v>
      </c>
      <c r="N1687">
        <v>7.65</v>
      </c>
      <c r="O1687">
        <v>2.4300000000000002</v>
      </c>
      <c r="P1687">
        <v>292.67</v>
      </c>
      <c r="Q1687">
        <v>483</v>
      </c>
      <c r="R1687">
        <v>5</v>
      </c>
      <c r="S1687">
        <v>83</v>
      </c>
    </row>
    <row r="1688" spans="1:19" x14ac:dyDescent="0.3">
      <c r="A1688">
        <v>1687</v>
      </c>
      <c r="B1688" t="s">
        <v>1040</v>
      </c>
      <c r="C1688">
        <v>2024</v>
      </c>
      <c r="D1688" t="s">
        <v>20</v>
      </c>
      <c r="E1688">
        <v>2</v>
      </c>
      <c r="F1688" t="s">
        <v>53</v>
      </c>
      <c r="G1688" t="s">
        <v>40</v>
      </c>
      <c r="H1688">
        <v>18.25</v>
      </c>
      <c r="I1688" t="s">
        <v>47</v>
      </c>
      <c r="J1688">
        <v>26</v>
      </c>
      <c r="K1688">
        <v>580</v>
      </c>
      <c r="L1688">
        <v>82.91</v>
      </c>
      <c r="M1688">
        <v>16.82</v>
      </c>
      <c r="N1688">
        <v>6.81</v>
      </c>
      <c r="O1688">
        <v>12.25</v>
      </c>
      <c r="P1688">
        <v>173.03</v>
      </c>
      <c r="Q1688">
        <v>254</v>
      </c>
      <c r="R1688">
        <v>5</v>
      </c>
      <c r="S1688">
        <v>110</v>
      </c>
    </row>
    <row r="1689" spans="1:19" x14ac:dyDescent="0.3">
      <c r="A1689">
        <v>1688</v>
      </c>
      <c r="B1689" t="s">
        <v>1029</v>
      </c>
      <c r="C1689">
        <v>2024</v>
      </c>
      <c r="D1689" t="s">
        <v>20</v>
      </c>
      <c r="E1689">
        <v>2</v>
      </c>
      <c r="F1689" t="s">
        <v>53</v>
      </c>
      <c r="G1689" t="s">
        <v>42</v>
      </c>
      <c r="H1689">
        <v>18.95</v>
      </c>
      <c r="I1689" t="s">
        <v>27</v>
      </c>
      <c r="J1689">
        <v>40</v>
      </c>
      <c r="K1689">
        <v>286</v>
      </c>
      <c r="L1689">
        <v>78.75</v>
      </c>
      <c r="M1689">
        <v>29.74</v>
      </c>
      <c r="N1689">
        <v>2.31</v>
      </c>
      <c r="O1689">
        <v>7.65</v>
      </c>
      <c r="P1689">
        <v>274.48</v>
      </c>
      <c r="Q1689">
        <v>936</v>
      </c>
      <c r="R1689">
        <v>1</v>
      </c>
      <c r="S1689">
        <v>136</v>
      </c>
    </row>
    <row r="1690" spans="1:19" x14ac:dyDescent="0.3">
      <c r="A1690">
        <v>1689</v>
      </c>
      <c r="B1690" t="s">
        <v>1036</v>
      </c>
      <c r="C1690">
        <v>2024</v>
      </c>
      <c r="D1690" t="s">
        <v>20</v>
      </c>
      <c r="E1690">
        <v>2</v>
      </c>
      <c r="F1690" t="s">
        <v>34</v>
      </c>
      <c r="G1690" t="s">
        <v>22</v>
      </c>
      <c r="H1690">
        <v>8.67</v>
      </c>
      <c r="I1690" t="s">
        <v>27</v>
      </c>
      <c r="J1690">
        <v>41</v>
      </c>
      <c r="K1690">
        <v>359</v>
      </c>
      <c r="L1690">
        <v>81.63</v>
      </c>
      <c r="M1690">
        <v>8.61</v>
      </c>
      <c r="N1690">
        <v>7.43</v>
      </c>
      <c r="O1690">
        <v>7.46</v>
      </c>
      <c r="P1690">
        <v>375.16</v>
      </c>
      <c r="Q1690">
        <v>961</v>
      </c>
      <c r="R1690">
        <v>5</v>
      </c>
      <c r="S1690">
        <v>133</v>
      </c>
    </row>
    <row r="1691" spans="1:19" x14ac:dyDescent="0.3">
      <c r="A1691">
        <v>1690</v>
      </c>
      <c r="B1691" t="s">
        <v>1036</v>
      </c>
      <c r="C1691">
        <v>2024</v>
      </c>
      <c r="D1691" t="s">
        <v>20</v>
      </c>
      <c r="E1691">
        <v>2</v>
      </c>
      <c r="F1691" t="s">
        <v>53</v>
      </c>
      <c r="G1691" t="s">
        <v>42</v>
      </c>
      <c r="H1691">
        <v>5.04</v>
      </c>
      <c r="I1691" t="s">
        <v>38</v>
      </c>
      <c r="J1691">
        <v>46</v>
      </c>
      <c r="K1691">
        <v>325</v>
      </c>
      <c r="L1691">
        <v>94.87</v>
      </c>
      <c r="M1691">
        <v>21.04</v>
      </c>
      <c r="N1691">
        <v>20.84</v>
      </c>
      <c r="O1691">
        <v>5.71</v>
      </c>
      <c r="P1691">
        <v>595.74</v>
      </c>
      <c r="Q1691">
        <v>492</v>
      </c>
      <c r="R1691">
        <v>3</v>
      </c>
      <c r="S1691">
        <v>79</v>
      </c>
    </row>
    <row r="1692" spans="1:19" x14ac:dyDescent="0.3">
      <c r="A1692">
        <v>1691</v>
      </c>
      <c r="B1692" t="s">
        <v>1041</v>
      </c>
      <c r="C1692">
        <v>2024</v>
      </c>
      <c r="D1692" t="s">
        <v>20</v>
      </c>
      <c r="E1692">
        <v>2</v>
      </c>
      <c r="F1692" t="s">
        <v>53</v>
      </c>
      <c r="G1692" t="s">
        <v>22</v>
      </c>
      <c r="H1692">
        <v>28.74</v>
      </c>
      <c r="I1692" t="s">
        <v>23</v>
      </c>
      <c r="J1692">
        <v>36</v>
      </c>
      <c r="K1692">
        <v>392</v>
      </c>
      <c r="L1692">
        <v>90.22</v>
      </c>
      <c r="M1692">
        <v>6.49</v>
      </c>
      <c r="N1692">
        <v>4.84</v>
      </c>
      <c r="O1692">
        <v>7.54</v>
      </c>
      <c r="P1692">
        <v>400.39</v>
      </c>
      <c r="Q1692">
        <v>189</v>
      </c>
      <c r="R1692">
        <v>4</v>
      </c>
      <c r="S1692">
        <v>221</v>
      </c>
    </row>
    <row r="1693" spans="1:19" x14ac:dyDescent="0.3">
      <c r="A1693">
        <v>1692</v>
      </c>
      <c r="B1693" t="s">
        <v>1042</v>
      </c>
      <c r="C1693">
        <v>2024</v>
      </c>
      <c r="D1693" t="s">
        <v>20</v>
      </c>
      <c r="E1693">
        <v>2</v>
      </c>
      <c r="F1693" t="s">
        <v>31</v>
      </c>
      <c r="G1693" t="s">
        <v>26</v>
      </c>
      <c r="H1693">
        <v>42.82</v>
      </c>
      <c r="I1693" t="s">
        <v>32</v>
      </c>
      <c r="J1693">
        <v>42</v>
      </c>
      <c r="K1693">
        <v>202</v>
      </c>
      <c r="L1693">
        <v>82.64</v>
      </c>
      <c r="M1693">
        <v>6.24</v>
      </c>
      <c r="N1693">
        <v>19.09</v>
      </c>
      <c r="O1693">
        <v>2.2000000000000002</v>
      </c>
      <c r="P1693">
        <v>556.99</v>
      </c>
      <c r="Q1693">
        <v>316</v>
      </c>
      <c r="R1693">
        <v>2</v>
      </c>
      <c r="S1693">
        <v>147</v>
      </c>
    </row>
    <row r="1694" spans="1:19" x14ac:dyDescent="0.3">
      <c r="A1694">
        <v>1693</v>
      </c>
      <c r="B1694" t="s">
        <v>1028</v>
      </c>
      <c r="C1694">
        <v>2024</v>
      </c>
      <c r="D1694" t="s">
        <v>20</v>
      </c>
      <c r="E1694">
        <v>2</v>
      </c>
      <c r="F1694" t="s">
        <v>62</v>
      </c>
      <c r="G1694" t="s">
        <v>35</v>
      </c>
      <c r="H1694">
        <v>48.15</v>
      </c>
      <c r="I1694" t="s">
        <v>47</v>
      </c>
      <c r="J1694">
        <v>15</v>
      </c>
      <c r="K1694">
        <v>192</v>
      </c>
      <c r="L1694">
        <v>85.26</v>
      </c>
      <c r="M1694">
        <v>32.93</v>
      </c>
      <c r="N1694">
        <v>13.81</v>
      </c>
      <c r="O1694">
        <v>15.91</v>
      </c>
      <c r="P1694">
        <v>331.3</v>
      </c>
      <c r="Q1694">
        <v>1097</v>
      </c>
      <c r="R1694">
        <v>2</v>
      </c>
      <c r="S1694">
        <v>112</v>
      </c>
    </row>
    <row r="1695" spans="1:19" x14ac:dyDescent="0.3">
      <c r="A1695">
        <v>1694</v>
      </c>
      <c r="B1695" t="s">
        <v>1036</v>
      </c>
      <c r="C1695">
        <v>2024</v>
      </c>
      <c r="D1695" t="s">
        <v>20</v>
      </c>
      <c r="E1695">
        <v>2</v>
      </c>
      <c r="F1695" t="s">
        <v>53</v>
      </c>
      <c r="G1695" t="s">
        <v>22</v>
      </c>
      <c r="H1695">
        <v>20.04</v>
      </c>
      <c r="I1695" t="s">
        <v>27</v>
      </c>
      <c r="J1695">
        <v>36</v>
      </c>
      <c r="K1695">
        <v>435</v>
      </c>
      <c r="L1695">
        <v>83.28</v>
      </c>
      <c r="M1695">
        <v>10.69</v>
      </c>
      <c r="N1695">
        <v>3.03</v>
      </c>
      <c r="O1695">
        <v>3.02</v>
      </c>
      <c r="P1695">
        <v>169.2</v>
      </c>
      <c r="Q1695">
        <v>184</v>
      </c>
      <c r="R1695">
        <v>2</v>
      </c>
      <c r="S1695">
        <v>90</v>
      </c>
    </row>
    <row r="1696" spans="1:19" x14ac:dyDescent="0.3">
      <c r="A1696">
        <v>1695</v>
      </c>
      <c r="B1696" t="s">
        <v>1043</v>
      </c>
      <c r="C1696">
        <v>2024</v>
      </c>
      <c r="D1696" t="s">
        <v>20</v>
      </c>
      <c r="E1696">
        <v>2</v>
      </c>
      <c r="F1696" t="s">
        <v>21</v>
      </c>
      <c r="G1696" t="s">
        <v>42</v>
      </c>
      <c r="H1696">
        <v>45.41</v>
      </c>
      <c r="I1696" t="s">
        <v>23</v>
      </c>
      <c r="J1696">
        <v>11</v>
      </c>
      <c r="K1696">
        <v>375</v>
      </c>
      <c r="L1696">
        <v>93.89</v>
      </c>
      <c r="M1696">
        <v>8.8800000000000008</v>
      </c>
      <c r="N1696">
        <v>21.99</v>
      </c>
      <c r="O1696">
        <v>10.96</v>
      </c>
      <c r="P1696">
        <v>579.67999999999995</v>
      </c>
      <c r="Q1696">
        <v>668</v>
      </c>
      <c r="R1696">
        <v>1</v>
      </c>
      <c r="S1696">
        <v>171</v>
      </c>
    </row>
    <row r="1697" spans="1:19" x14ac:dyDescent="0.3">
      <c r="A1697">
        <v>1696</v>
      </c>
      <c r="B1697" t="s">
        <v>1044</v>
      </c>
      <c r="C1697">
        <v>2024</v>
      </c>
      <c r="D1697" t="s">
        <v>20</v>
      </c>
      <c r="E1697">
        <v>2</v>
      </c>
      <c r="F1697" t="s">
        <v>37</v>
      </c>
      <c r="G1697" t="s">
        <v>40</v>
      </c>
      <c r="H1697">
        <v>54.94</v>
      </c>
      <c r="I1697" t="s">
        <v>27</v>
      </c>
      <c r="J1697">
        <v>6</v>
      </c>
      <c r="K1697">
        <v>199</v>
      </c>
      <c r="L1697">
        <v>85.41</v>
      </c>
      <c r="M1697">
        <v>5.46</v>
      </c>
      <c r="N1697">
        <v>15.56</v>
      </c>
      <c r="O1697">
        <v>1.19</v>
      </c>
      <c r="P1697">
        <v>542.16999999999996</v>
      </c>
      <c r="Q1697">
        <v>786</v>
      </c>
      <c r="R1697">
        <v>4</v>
      </c>
      <c r="S1697">
        <v>128</v>
      </c>
    </row>
    <row r="1698" spans="1:19" x14ac:dyDescent="0.3">
      <c r="A1698">
        <v>1697</v>
      </c>
      <c r="B1698" t="s">
        <v>1038</v>
      </c>
      <c r="C1698">
        <v>2024</v>
      </c>
      <c r="D1698" t="s">
        <v>20</v>
      </c>
      <c r="E1698">
        <v>2</v>
      </c>
      <c r="F1698" t="s">
        <v>37</v>
      </c>
      <c r="G1698" t="s">
        <v>22</v>
      </c>
      <c r="H1698">
        <v>5.44</v>
      </c>
      <c r="I1698" t="s">
        <v>23</v>
      </c>
      <c r="J1698">
        <v>22</v>
      </c>
      <c r="K1698">
        <v>133</v>
      </c>
      <c r="L1698">
        <v>88.53</v>
      </c>
      <c r="M1698">
        <v>23.69</v>
      </c>
      <c r="N1698">
        <v>18.28</v>
      </c>
      <c r="O1698">
        <v>3.32</v>
      </c>
      <c r="P1698">
        <v>465.75</v>
      </c>
      <c r="Q1698">
        <v>414</v>
      </c>
      <c r="R1698">
        <v>5</v>
      </c>
      <c r="S1698">
        <v>167</v>
      </c>
    </row>
    <row r="1699" spans="1:19" x14ac:dyDescent="0.3">
      <c r="A1699">
        <v>1698</v>
      </c>
      <c r="B1699" t="s">
        <v>1045</v>
      </c>
      <c r="C1699">
        <v>2024</v>
      </c>
      <c r="D1699" t="s">
        <v>20</v>
      </c>
      <c r="E1699">
        <v>2</v>
      </c>
      <c r="F1699" t="s">
        <v>53</v>
      </c>
      <c r="G1699" t="s">
        <v>26</v>
      </c>
      <c r="H1699">
        <v>35.35</v>
      </c>
      <c r="I1699" t="s">
        <v>23</v>
      </c>
      <c r="J1699">
        <v>1</v>
      </c>
      <c r="K1699">
        <v>470</v>
      </c>
      <c r="L1699">
        <v>89.26</v>
      </c>
      <c r="M1699">
        <v>26.35</v>
      </c>
      <c r="N1699">
        <v>8.59</v>
      </c>
      <c r="O1699">
        <v>9.67</v>
      </c>
      <c r="P1699">
        <v>390.92</v>
      </c>
      <c r="Q1699">
        <v>320</v>
      </c>
      <c r="R1699">
        <v>4</v>
      </c>
      <c r="S1699">
        <v>156</v>
      </c>
    </row>
    <row r="1700" spans="1:19" x14ac:dyDescent="0.3">
      <c r="A1700">
        <v>1699</v>
      </c>
      <c r="B1700" t="s">
        <v>1031</v>
      </c>
      <c r="C1700">
        <v>2024</v>
      </c>
      <c r="D1700" t="s">
        <v>20</v>
      </c>
      <c r="E1700">
        <v>2</v>
      </c>
      <c r="F1700" t="s">
        <v>53</v>
      </c>
      <c r="G1700" t="s">
        <v>26</v>
      </c>
      <c r="H1700">
        <v>34.75</v>
      </c>
      <c r="I1700" t="s">
        <v>23</v>
      </c>
      <c r="J1700">
        <v>10</v>
      </c>
      <c r="K1700">
        <v>593</v>
      </c>
      <c r="L1700">
        <v>76.290000000000006</v>
      </c>
      <c r="M1700">
        <v>8.9</v>
      </c>
      <c r="N1700">
        <v>7.56</v>
      </c>
      <c r="O1700">
        <v>1.03</v>
      </c>
      <c r="P1700">
        <v>138.63</v>
      </c>
      <c r="Q1700">
        <v>1067</v>
      </c>
      <c r="R1700">
        <v>4</v>
      </c>
      <c r="S1700">
        <v>93</v>
      </c>
    </row>
    <row r="1701" spans="1:19" x14ac:dyDescent="0.3">
      <c r="A1701">
        <v>1700</v>
      </c>
      <c r="B1701" t="s">
        <v>1035</v>
      </c>
      <c r="C1701">
        <v>2024</v>
      </c>
      <c r="D1701" t="s">
        <v>20</v>
      </c>
      <c r="E1701">
        <v>2</v>
      </c>
      <c r="F1701" t="s">
        <v>62</v>
      </c>
      <c r="G1701" t="s">
        <v>35</v>
      </c>
      <c r="H1701">
        <v>17.8</v>
      </c>
      <c r="I1701" t="s">
        <v>38</v>
      </c>
      <c r="J1701">
        <v>18</v>
      </c>
      <c r="K1701">
        <v>141</v>
      </c>
      <c r="L1701">
        <v>76.599999999999994</v>
      </c>
      <c r="M1701">
        <v>23.19</v>
      </c>
      <c r="N1701">
        <v>2.79</v>
      </c>
      <c r="O1701">
        <v>14.85</v>
      </c>
      <c r="P1701">
        <v>257.48</v>
      </c>
      <c r="Q1701">
        <v>571</v>
      </c>
      <c r="R1701">
        <v>4</v>
      </c>
      <c r="S1701">
        <v>150</v>
      </c>
    </row>
    <row r="1702" spans="1:19" x14ac:dyDescent="0.3">
      <c r="A1702">
        <v>1701</v>
      </c>
      <c r="B1702" t="s">
        <v>1046</v>
      </c>
      <c r="C1702">
        <v>2024</v>
      </c>
      <c r="D1702" t="s">
        <v>20</v>
      </c>
      <c r="E1702">
        <v>3</v>
      </c>
      <c r="F1702" t="s">
        <v>34</v>
      </c>
      <c r="G1702" t="s">
        <v>42</v>
      </c>
      <c r="H1702">
        <v>14.39</v>
      </c>
      <c r="I1702" t="s">
        <v>23</v>
      </c>
      <c r="J1702">
        <v>1</v>
      </c>
      <c r="K1702">
        <v>244</v>
      </c>
      <c r="L1702">
        <v>75.989999999999995</v>
      </c>
      <c r="M1702">
        <v>24.45</v>
      </c>
      <c r="N1702">
        <v>11.95</v>
      </c>
      <c r="O1702">
        <v>9.44</v>
      </c>
      <c r="P1702">
        <v>106.85</v>
      </c>
      <c r="Q1702">
        <v>336</v>
      </c>
      <c r="R1702">
        <v>1</v>
      </c>
      <c r="S1702">
        <v>61</v>
      </c>
    </row>
    <row r="1703" spans="1:19" x14ac:dyDescent="0.3">
      <c r="A1703">
        <v>1702</v>
      </c>
      <c r="B1703" t="s">
        <v>1047</v>
      </c>
      <c r="C1703">
        <v>2024</v>
      </c>
      <c r="D1703" t="s">
        <v>20</v>
      </c>
      <c r="E1703">
        <v>3</v>
      </c>
      <c r="F1703" t="s">
        <v>21</v>
      </c>
      <c r="G1703" t="s">
        <v>35</v>
      </c>
      <c r="H1703">
        <v>37.1</v>
      </c>
      <c r="I1703" t="s">
        <v>38</v>
      </c>
      <c r="J1703">
        <v>27</v>
      </c>
      <c r="K1703">
        <v>185</v>
      </c>
      <c r="L1703">
        <v>78.13</v>
      </c>
      <c r="M1703">
        <v>32.57</v>
      </c>
      <c r="N1703">
        <v>10.41</v>
      </c>
      <c r="O1703">
        <v>9.1300000000000008</v>
      </c>
      <c r="P1703">
        <v>513.33000000000004</v>
      </c>
      <c r="Q1703">
        <v>385</v>
      </c>
      <c r="R1703">
        <v>1</v>
      </c>
      <c r="S1703">
        <v>89</v>
      </c>
    </row>
    <row r="1704" spans="1:19" x14ac:dyDescent="0.3">
      <c r="A1704">
        <v>1703</v>
      </c>
      <c r="B1704" t="s">
        <v>1048</v>
      </c>
      <c r="C1704">
        <v>2024</v>
      </c>
      <c r="D1704" t="s">
        <v>20</v>
      </c>
      <c r="E1704">
        <v>3</v>
      </c>
      <c r="F1704" t="s">
        <v>62</v>
      </c>
      <c r="G1704" t="s">
        <v>26</v>
      </c>
      <c r="H1704">
        <v>12.7</v>
      </c>
      <c r="I1704" t="s">
        <v>27</v>
      </c>
      <c r="J1704">
        <v>17</v>
      </c>
      <c r="K1704">
        <v>516</v>
      </c>
      <c r="L1704">
        <v>77.95</v>
      </c>
      <c r="M1704">
        <v>14.21</v>
      </c>
      <c r="N1704">
        <v>11.32</v>
      </c>
      <c r="O1704">
        <v>15.38</v>
      </c>
      <c r="P1704">
        <v>133.04</v>
      </c>
      <c r="Q1704">
        <v>859</v>
      </c>
      <c r="R1704">
        <v>5</v>
      </c>
      <c r="S1704">
        <v>167</v>
      </c>
    </row>
    <row r="1705" spans="1:19" x14ac:dyDescent="0.3">
      <c r="A1705">
        <v>1704</v>
      </c>
      <c r="B1705" t="s">
        <v>1049</v>
      </c>
      <c r="C1705">
        <v>2024</v>
      </c>
      <c r="D1705" t="s">
        <v>20</v>
      </c>
      <c r="E1705">
        <v>3</v>
      </c>
      <c r="F1705" t="s">
        <v>34</v>
      </c>
      <c r="G1705" t="s">
        <v>22</v>
      </c>
      <c r="H1705">
        <v>12.17</v>
      </c>
      <c r="I1705" t="s">
        <v>47</v>
      </c>
      <c r="J1705">
        <v>41</v>
      </c>
      <c r="K1705">
        <v>131</v>
      </c>
      <c r="L1705">
        <v>84.43</v>
      </c>
      <c r="M1705">
        <v>28.5</v>
      </c>
      <c r="N1705">
        <v>21.45</v>
      </c>
      <c r="O1705">
        <v>12.7</v>
      </c>
      <c r="P1705">
        <v>394.23</v>
      </c>
      <c r="Q1705">
        <v>866</v>
      </c>
      <c r="R1705">
        <v>3</v>
      </c>
      <c r="S1705">
        <v>50</v>
      </c>
    </row>
    <row r="1706" spans="1:19" x14ac:dyDescent="0.3">
      <c r="A1706">
        <v>1705</v>
      </c>
      <c r="B1706" t="s">
        <v>1050</v>
      </c>
      <c r="C1706">
        <v>2024</v>
      </c>
      <c r="D1706" t="s">
        <v>20</v>
      </c>
      <c r="E1706">
        <v>3</v>
      </c>
      <c r="F1706" t="s">
        <v>34</v>
      </c>
      <c r="G1706" t="s">
        <v>26</v>
      </c>
      <c r="H1706">
        <v>28.88</v>
      </c>
      <c r="I1706" t="s">
        <v>47</v>
      </c>
      <c r="J1706">
        <v>17</v>
      </c>
      <c r="K1706">
        <v>557</v>
      </c>
      <c r="L1706">
        <v>91.62</v>
      </c>
      <c r="M1706">
        <v>18.27</v>
      </c>
      <c r="N1706">
        <v>14.62</v>
      </c>
      <c r="O1706">
        <v>5.89</v>
      </c>
      <c r="P1706">
        <v>449.79</v>
      </c>
      <c r="Q1706">
        <v>544</v>
      </c>
      <c r="R1706">
        <v>2</v>
      </c>
      <c r="S1706">
        <v>142</v>
      </c>
    </row>
    <row r="1707" spans="1:19" x14ac:dyDescent="0.3">
      <c r="A1707">
        <v>1706</v>
      </c>
      <c r="B1707" t="s">
        <v>1051</v>
      </c>
      <c r="C1707">
        <v>2024</v>
      </c>
      <c r="D1707" t="s">
        <v>20</v>
      </c>
      <c r="E1707">
        <v>3</v>
      </c>
      <c r="F1707" t="s">
        <v>21</v>
      </c>
      <c r="G1707" t="s">
        <v>22</v>
      </c>
      <c r="H1707">
        <v>48.81</v>
      </c>
      <c r="I1707" t="s">
        <v>27</v>
      </c>
      <c r="J1707">
        <v>29</v>
      </c>
      <c r="K1707">
        <v>133</v>
      </c>
      <c r="L1707">
        <v>79.540000000000006</v>
      </c>
      <c r="M1707">
        <v>14.35</v>
      </c>
      <c r="N1707">
        <v>8.06</v>
      </c>
      <c r="O1707">
        <v>6.7</v>
      </c>
      <c r="P1707">
        <v>576.12</v>
      </c>
      <c r="Q1707">
        <v>894</v>
      </c>
      <c r="R1707">
        <v>1</v>
      </c>
      <c r="S1707">
        <v>92</v>
      </c>
    </row>
    <row r="1708" spans="1:19" x14ac:dyDescent="0.3">
      <c r="A1708">
        <v>1707</v>
      </c>
      <c r="B1708" t="s">
        <v>1050</v>
      </c>
      <c r="C1708">
        <v>2024</v>
      </c>
      <c r="D1708" t="s">
        <v>20</v>
      </c>
      <c r="E1708">
        <v>3</v>
      </c>
      <c r="F1708" t="s">
        <v>25</v>
      </c>
      <c r="G1708" t="s">
        <v>26</v>
      </c>
      <c r="H1708">
        <v>47.83</v>
      </c>
      <c r="I1708" t="s">
        <v>32</v>
      </c>
      <c r="J1708">
        <v>6</v>
      </c>
      <c r="K1708">
        <v>556</v>
      </c>
      <c r="L1708">
        <v>86.58</v>
      </c>
      <c r="M1708">
        <v>32.35</v>
      </c>
      <c r="N1708">
        <v>17.12</v>
      </c>
      <c r="O1708">
        <v>9.02</v>
      </c>
      <c r="P1708">
        <v>510.26</v>
      </c>
      <c r="Q1708">
        <v>509</v>
      </c>
      <c r="R1708">
        <v>3</v>
      </c>
      <c r="S1708">
        <v>216</v>
      </c>
    </row>
    <row r="1709" spans="1:19" x14ac:dyDescent="0.3">
      <c r="A1709">
        <v>1708</v>
      </c>
      <c r="B1709" t="s">
        <v>1051</v>
      </c>
      <c r="C1709">
        <v>2024</v>
      </c>
      <c r="D1709" t="s">
        <v>20</v>
      </c>
      <c r="E1709">
        <v>3</v>
      </c>
      <c r="F1709" t="s">
        <v>34</v>
      </c>
      <c r="G1709" t="s">
        <v>22</v>
      </c>
      <c r="H1709">
        <v>7.66</v>
      </c>
      <c r="I1709" t="s">
        <v>38</v>
      </c>
      <c r="J1709">
        <v>13</v>
      </c>
      <c r="K1709">
        <v>309</v>
      </c>
      <c r="L1709">
        <v>86.46</v>
      </c>
      <c r="M1709">
        <v>34.83</v>
      </c>
      <c r="N1709">
        <v>18.57</v>
      </c>
      <c r="O1709">
        <v>5.3</v>
      </c>
      <c r="P1709">
        <v>543.17999999999995</v>
      </c>
      <c r="Q1709">
        <v>928</v>
      </c>
      <c r="R1709">
        <v>3</v>
      </c>
      <c r="S1709">
        <v>214</v>
      </c>
    </row>
    <row r="1710" spans="1:19" x14ac:dyDescent="0.3">
      <c r="A1710">
        <v>1709</v>
      </c>
      <c r="B1710" t="s">
        <v>1047</v>
      </c>
      <c r="C1710">
        <v>2024</v>
      </c>
      <c r="D1710" t="s">
        <v>20</v>
      </c>
      <c r="E1710">
        <v>3</v>
      </c>
      <c r="F1710" t="s">
        <v>62</v>
      </c>
      <c r="G1710" t="s">
        <v>35</v>
      </c>
      <c r="H1710">
        <v>16.75</v>
      </c>
      <c r="I1710" t="s">
        <v>47</v>
      </c>
      <c r="J1710">
        <v>50</v>
      </c>
      <c r="K1710">
        <v>438</v>
      </c>
      <c r="L1710">
        <v>93.19</v>
      </c>
      <c r="M1710">
        <v>31.96</v>
      </c>
      <c r="N1710">
        <v>20.74</v>
      </c>
      <c r="O1710">
        <v>8.24</v>
      </c>
      <c r="P1710">
        <v>428.83</v>
      </c>
      <c r="Q1710">
        <v>106</v>
      </c>
      <c r="R1710">
        <v>4</v>
      </c>
      <c r="S1710">
        <v>131</v>
      </c>
    </row>
    <row r="1711" spans="1:19" x14ac:dyDescent="0.3">
      <c r="A1711">
        <v>1710</v>
      </c>
      <c r="B1711" t="s">
        <v>1048</v>
      </c>
      <c r="C1711">
        <v>2024</v>
      </c>
      <c r="D1711" t="s">
        <v>20</v>
      </c>
      <c r="E1711">
        <v>3</v>
      </c>
      <c r="F1711" t="s">
        <v>53</v>
      </c>
      <c r="G1711" t="s">
        <v>26</v>
      </c>
      <c r="H1711">
        <v>11.76</v>
      </c>
      <c r="I1711" t="s">
        <v>38</v>
      </c>
      <c r="J1711">
        <v>7</v>
      </c>
      <c r="K1711">
        <v>185</v>
      </c>
      <c r="L1711">
        <v>93.03</v>
      </c>
      <c r="M1711">
        <v>28.55</v>
      </c>
      <c r="N1711">
        <v>15.52</v>
      </c>
      <c r="O1711">
        <v>13.53</v>
      </c>
      <c r="P1711">
        <v>442.65</v>
      </c>
      <c r="Q1711">
        <v>142</v>
      </c>
      <c r="R1711">
        <v>3</v>
      </c>
      <c r="S1711">
        <v>127</v>
      </c>
    </row>
    <row r="1712" spans="1:19" x14ac:dyDescent="0.3">
      <c r="A1712">
        <v>1711</v>
      </c>
      <c r="B1712" t="s">
        <v>1052</v>
      </c>
      <c r="C1712">
        <v>2024</v>
      </c>
      <c r="D1712" t="s">
        <v>20</v>
      </c>
      <c r="E1712">
        <v>3</v>
      </c>
      <c r="F1712" t="s">
        <v>31</v>
      </c>
      <c r="G1712" t="s">
        <v>40</v>
      </c>
      <c r="H1712">
        <v>22.11</v>
      </c>
      <c r="I1712" t="s">
        <v>47</v>
      </c>
      <c r="J1712">
        <v>30</v>
      </c>
      <c r="K1712">
        <v>178</v>
      </c>
      <c r="L1712">
        <v>79.400000000000006</v>
      </c>
      <c r="M1712">
        <v>28.77</v>
      </c>
      <c r="N1712">
        <v>13.33</v>
      </c>
      <c r="O1712">
        <v>12.22</v>
      </c>
      <c r="P1712">
        <v>466.74</v>
      </c>
      <c r="Q1712">
        <v>413</v>
      </c>
      <c r="R1712">
        <v>2</v>
      </c>
      <c r="S1712">
        <v>77</v>
      </c>
    </row>
    <row r="1713" spans="1:19" x14ac:dyDescent="0.3">
      <c r="A1713">
        <v>1712</v>
      </c>
      <c r="B1713" t="s">
        <v>1053</v>
      </c>
      <c r="C1713">
        <v>2024</v>
      </c>
      <c r="D1713" t="s">
        <v>20</v>
      </c>
      <c r="E1713">
        <v>3</v>
      </c>
      <c r="F1713" t="s">
        <v>37</v>
      </c>
      <c r="G1713" t="s">
        <v>42</v>
      </c>
      <c r="H1713">
        <v>32.979999999999997</v>
      </c>
      <c r="I1713" t="s">
        <v>23</v>
      </c>
      <c r="J1713">
        <v>31</v>
      </c>
      <c r="K1713">
        <v>209</v>
      </c>
      <c r="L1713">
        <v>92.63</v>
      </c>
      <c r="M1713">
        <v>19.38</v>
      </c>
      <c r="N1713">
        <v>15.38</v>
      </c>
      <c r="O1713">
        <v>14.08</v>
      </c>
      <c r="P1713">
        <v>590.04999999999995</v>
      </c>
      <c r="Q1713">
        <v>1017</v>
      </c>
      <c r="R1713">
        <v>2</v>
      </c>
      <c r="S1713">
        <v>81</v>
      </c>
    </row>
    <row r="1714" spans="1:19" x14ac:dyDescent="0.3">
      <c r="A1714">
        <v>1713</v>
      </c>
      <c r="B1714" t="s">
        <v>1054</v>
      </c>
      <c r="C1714">
        <v>2024</v>
      </c>
      <c r="D1714" t="s">
        <v>20</v>
      </c>
      <c r="E1714">
        <v>3</v>
      </c>
      <c r="F1714" t="s">
        <v>25</v>
      </c>
      <c r="G1714" t="s">
        <v>35</v>
      </c>
      <c r="H1714">
        <v>24.87</v>
      </c>
      <c r="I1714" t="s">
        <v>32</v>
      </c>
      <c r="J1714">
        <v>18</v>
      </c>
      <c r="K1714">
        <v>411</v>
      </c>
      <c r="L1714">
        <v>75.930000000000007</v>
      </c>
      <c r="M1714">
        <v>12.64</v>
      </c>
      <c r="N1714">
        <v>6.84</v>
      </c>
      <c r="O1714">
        <v>14.43</v>
      </c>
      <c r="P1714">
        <v>502.43</v>
      </c>
      <c r="Q1714">
        <v>207</v>
      </c>
      <c r="R1714">
        <v>3</v>
      </c>
      <c r="S1714">
        <v>231</v>
      </c>
    </row>
    <row r="1715" spans="1:19" x14ac:dyDescent="0.3">
      <c r="A1715">
        <v>1714</v>
      </c>
      <c r="B1715" t="s">
        <v>1049</v>
      </c>
      <c r="C1715">
        <v>2024</v>
      </c>
      <c r="D1715" t="s">
        <v>20</v>
      </c>
      <c r="E1715">
        <v>3</v>
      </c>
      <c r="F1715" t="s">
        <v>34</v>
      </c>
      <c r="G1715" t="s">
        <v>35</v>
      </c>
      <c r="H1715">
        <v>28.24</v>
      </c>
      <c r="I1715" t="s">
        <v>32</v>
      </c>
      <c r="J1715">
        <v>50</v>
      </c>
      <c r="K1715">
        <v>599</v>
      </c>
      <c r="L1715">
        <v>84.93</v>
      </c>
      <c r="M1715">
        <v>13.46</v>
      </c>
      <c r="N1715">
        <v>19.7</v>
      </c>
      <c r="O1715">
        <v>13.31</v>
      </c>
      <c r="P1715">
        <v>198.21</v>
      </c>
      <c r="Q1715">
        <v>509</v>
      </c>
      <c r="R1715">
        <v>4</v>
      </c>
      <c r="S1715">
        <v>175</v>
      </c>
    </row>
    <row r="1716" spans="1:19" x14ac:dyDescent="0.3">
      <c r="A1716">
        <v>1715</v>
      </c>
      <c r="B1716" t="s">
        <v>1055</v>
      </c>
      <c r="C1716">
        <v>2024</v>
      </c>
      <c r="D1716" t="s">
        <v>20</v>
      </c>
      <c r="E1716">
        <v>3</v>
      </c>
      <c r="F1716" t="s">
        <v>37</v>
      </c>
      <c r="G1716" t="s">
        <v>35</v>
      </c>
      <c r="H1716">
        <v>32.69</v>
      </c>
      <c r="I1716" t="s">
        <v>32</v>
      </c>
      <c r="J1716">
        <v>33</v>
      </c>
      <c r="K1716">
        <v>570</v>
      </c>
      <c r="L1716">
        <v>76.83</v>
      </c>
      <c r="M1716">
        <v>29</v>
      </c>
      <c r="N1716">
        <v>13.9</v>
      </c>
      <c r="O1716">
        <v>14.53</v>
      </c>
      <c r="P1716">
        <v>205.29</v>
      </c>
      <c r="Q1716">
        <v>821</v>
      </c>
      <c r="R1716">
        <v>3</v>
      </c>
      <c r="S1716">
        <v>221</v>
      </c>
    </row>
    <row r="1717" spans="1:19" x14ac:dyDescent="0.3">
      <c r="A1717">
        <v>1716</v>
      </c>
      <c r="B1717" t="s">
        <v>1047</v>
      </c>
      <c r="C1717">
        <v>2024</v>
      </c>
      <c r="D1717" t="s">
        <v>20</v>
      </c>
      <c r="E1717">
        <v>3</v>
      </c>
      <c r="F1717" t="s">
        <v>29</v>
      </c>
      <c r="G1717" t="s">
        <v>22</v>
      </c>
      <c r="H1717">
        <v>33.57</v>
      </c>
      <c r="I1717" t="s">
        <v>38</v>
      </c>
      <c r="J1717">
        <v>22</v>
      </c>
      <c r="K1717">
        <v>178</v>
      </c>
      <c r="L1717">
        <v>77.17</v>
      </c>
      <c r="M1717">
        <v>25.52</v>
      </c>
      <c r="N1717">
        <v>10.1</v>
      </c>
      <c r="O1717">
        <v>7.46</v>
      </c>
      <c r="P1717">
        <v>595.59</v>
      </c>
      <c r="Q1717">
        <v>1039</v>
      </c>
      <c r="R1717">
        <v>5</v>
      </c>
      <c r="S1717">
        <v>139</v>
      </c>
    </row>
    <row r="1718" spans="1:19" x14ac:dyDescent="0.3">
      <c r="A1718">
        <v>1717</v>
      </c>
      <c r="B1718" t="s">
        <v>1056</v>
      </c>
      <c r="C1718">
        <v>2024</v>
      </c>
      <c r="D1718" t="s">
        <v>20</v>
      </c>
      <c r="E1718">
        <v>3</v>
      </c>
      <c r="F1718" t="s">
        <v>25</v>
      </c>
      <c r="G1718" t="s">
        <v>35</v>
      </c>
      <c r="H1718">
        <v>14.19</v>
      </c>
      <c r="I1718" t="s">
        <v>23</v>
      </c>
      <c r="J1718">
        <v>39</v>
      </c>
      <c r="K1718">
        <v>317</v>
      </c>
      <c r="L1718">
        <v>88</v>
      </c>
      <c r="M1718">
        <v>23.81</v>
      </c>
      <c r="N1718">
        <v>3.57</v>
      </c>
      <c r="O1718">
        <v>3.76</v>
      </c>
      <c r="P1718">
        <v>590.87</v>
      </c>
      <c r="Q1718">
        <v>1064</v>
      </c>
      <c r="R1718">
        <v>5</v>
      </c>
      <c r="S1718">
        <v>78</v>
      </c>
    </row>
    <row r="1719" spans="1:19" x14ac:dyDescent="0.3">
      <c r="A1719">
        <v>1718</v>
      </c>
      <c r="B1719" t="s">
        <v>1057</v>
      </c>
      <c r="C1719">
        <v>2024</v>
      </c>
      <c r="D1719" t="s">
        <v>20</v>
      </c>
      <c r="E1719">
        <v>3</v>
      </c>
      <c r="F1719" t="s">
        <v>21</v>
      </c>
      <c r="G1719" t="s">
        <v>42</v>
      </c>
      <c r="H1719">
        <v>11.51</v>
      </c>
      <c r="I1719" t="s">
        <v>27</v>
      </c>
      <c r="J1719">
        <v>39</v>
      </c>
      <c r="K1719">
        <v>555</v>
      </c>
      <c r="L1719">
        <v>87.16</v>
      </c>
      <c r="M1719">
        <v>13.83</v>
      </c>
      <c r="N1719">
        <v>21.02</v>
      </c>
      <c r="O1719">
        <v>5.6</v>
      </c>
      <c r="P1719">
        <v>224.01</v>
      </c>
      <c r="Q1719">
        <v>811</v>
      </c>
      <c r="R1719">
        <v>2</v>
      </c>
      <c r="S1719">
        <v>119</v>
      </c>
    </row>
    <row r="1720" spans="1:19" x14ac:dyDescent="0.3">
      <c r="A1720">
        <v>1719</v>
      </c>
      <c r="B1720" t="s">
        <v>1058</v>
      </c>
      <c r="C1720">
        <v>2024</v>
      </c>
      <c r="D1720" t="s">
        <v>20</v>
      </c>
      <c r="E1720">
        <v>3</v>
      </c>
      <c r="F1720" t="s">
        <v>29</v>
      </c>
      <c r="G1720" t="s">
        <v>35</v>
      </c>
      <c r="H1720">
        <v>49.5</v>
      </c>
      <c r="I1720" t="s">
        <v>47</v>
      </c>
      <c r="J1720">
        <v>38</v>
      </c>
      <c r="K1720">
        <v>151</v>
      </c>
      <c r="L1720">
        <v>81.489999999999995</v>
      </c>
      <c r="M1720">
        <v>31.09</v>
      </c>
      <c r="N1720">
        <v>6.54</v>
      </c>
      <c r="O1720">
        <v>6.51</v>
      </c>
      <c r="P1720">
        <v>225.38</v>
      </c>
      <c r="Q1720">
        <v>160</v>
      </c>
      <c r="R1720">
        <v>3</v>
      </c>
      <c r="S1720">
        <v>221</v>
      </c>
    </row>
    <row r="1721" spans="1:19" x14ac:dyDescent="0.3">
      <c r="A1721">
        <v>1720</v>
      </c>
      <c r="B1721" t="s">
        <v>1052</v>
      </c>
      <c r="C1721">
        <v>2024</v>
      </c>
      <c r="D1721" t="s">
        <v>20</v>
      </c>
      <c r="E1721">
        <v>3</v>
      </c>
      <c r="F1721" t="s">
        <v>34</v>
      </c>
      <c r="G1721" t="s">
        <v>35</v>
      </c>
      <c r="H1721">
        <v>20.87</v>
      </c>
      <c r="I1721" t="s">
        <v>32</v>
      </c>
      <c r="J1721">
        <v>11</v>
      </c>
      <c r="K1721">
        <v>425</v>
      </c>
      <c r="L1721">
        <v>81.650000000000006</v>
      </c>
      <c r="M1721">
        <v>33.409999999999997</v>
      </c>
      <c r="N1721">
        <v>21.03</v>
      </c>
      <c r="O1721">
        <v>11.64</v>
      </c>
      <c r="P1721">
        <v>135.28</v>
      </c>
      <c r="Q1721">
        <v>635</v>
      </c>
      <c r="R1721">
        <v>1</v>
      </c>
      <c r="S1721">
        <v>80</v>
      </c>
    </row>
    <row r="1722" spans="1:19" x14ac:dyDescent="0.3">
      <c r="A1722">
        <v>1721</v>
      </c>
      <c r="B1722" t="s">
        <v>1046</v>
      </c>
      <c r="C1722">
        <v>2024</v>
      </c>
      <c r="D1722" t="s">
        <v>20</v>
      </c>
      <c r="E1722">
        <v>3</v>
      </c>
      <c r="F1722" t="s">
        <v>21</v>
      </c>
      <c r="G1722" t="s">
        <v>26</v>
      </c>
      <c r="H1722">
        <v>34.659999999999997</v>
      </c>
      <c r="I1722" t="s">
        <v>27</v>
      </c>
      <c r="J1722">
        <v>40</v>
      </c>
      <c r="K1722">
        <v>403</v>
      </c>
      <c r="L1722">
        <v>91.18</v>
      </c>
      <c r="M1722">
        <v>20.55</v>
      </c>
      <c r="N1722">
        <v>4.8600000000000003</v>
      </c>
      <c r="O1722">
        <v>12.07</v>
      </c>
      <c r="P1722">
        <v>562.58000000000004</v>
      </c>
      <c r="Q1722">
        <v>1045</v>
      </c>
      <c r="R1722">
        <v>5</v>
      </c>
      <c r="S1722">
        <v>187</v>
      </c>
    </row>
    <row r="1723" spans="1:19" x14ac:dyDescent="0.3">
      <c r="A1723">
        <v>1722</v>
      </c>
      <c r="B1723" t="s">
        <v>1059</v>
      </c>
      <c r="C1723">
        <v>2024</v>
      </c>
      <c r="D1723" t="s">
        <v>20</v>
      </c>
      <c r="E1723">
        <v>3</v>
      </c>
      <c r="F1723" t="s">
        <v>53</v>
      </c>
      <c r="G1723" t="s">
        <v>26</v>
      </c>
      <c r="H1723">
        <v>33.82</v>
      </c>
      <c r="I1723" t="s">
        <v>47</v>
      </c>
      <c r="J1723">
        <v>22</v>
      </c>
      <c r="K1723">
        <v>384</v>
      </c>
      <c r="L1723">
        <v>94.43</v>
      </c>
      <c r="M1723">
        <v>21.37</v>
      </c>
      <c r="N1723">
        <v>17.170000000000002</v>
      </c>
      <c r="O1723">
        <v>14.28</v>
      </c>
      <c r="P1723">
        <v>208.51</v>
      </c>
      <c r="Q1723">
        <v>1019</v>
      </c>
      <c r="R1723">
        <v>2</v>
      </c>
      <c r="S1723">
        <v>228</v>
      </c>
    </row>
    <row r="1724" spans="1:19" x14ac:dyDescent="0.3">
      <c r="A1724">
        <v>1723</v>
      </c>
      <c r="B1724" t="s">
        <v>1060</v>
      </c>
      <c r="C1724">
        <v>2024</v>
      </c>
      <c r="D1724" t="s">
        <v>20</v>
      </c>
      <c r="E1724">
        <v>3</v>
      </c>
      <c r="F1724" t="s">
        <v>62</v>
      </c>
      <c r="G1724" t="s">
        <v>42</v>
      </c>
      <c r="H1724">
        <v>42.99</v>
      </c>
      <c r="I1724" t="s">
        <v>47</v>
      </c>
      <c r="J1724">
        <v>6</v>
      </c>
      <c r="K1724">
        <v>451</v>
      </c>
      <c r="L1724">
        <v>86.47</v>
      </c>
      <c r="M1724">
        <v>11.58</v>
      </c>
      <c r="N1724">
        <v>10.5</v>
      </c>
      <c r="O1724">
        <v>3.94</v>
      </c>
      <c r="P1724">
        <v>520.54</v>
      </c>
      <c r="Q1724">
        <v>999</v>
      </c>
      <c r="R1724">
        <v>1</v>
      </c>
      <c r="S1724">
        <v>105</v>
      </c>
    </row>
    <row r="1725" spans="1:19" x14ac:dyDescent="0.3">
      <c r="A1725">
        <v>1724</v>
      </c>
      <c r="B1725" t="s">
        <v>1047</v>
      </c>
      <c r="C1725">
        <v>2024</v>
      </c>
      <c r="D1725" t="s">
        <v>20</v>
      </c>
      <c r="E1725">
        <v>3</v>
      </c>
      <c r="F1725" t="s">
        <v>34</v>
      </c>
      <c r="G1725" t="s">
        <v>26</v>
      </c>
      <c r="H1725">
        <v>6.35</v>
      </c>
      <c r="I1725" t="s">
        <v>27</v>
      </c>
      <c r="J1725">
        <v>44</v>
      </c>
      <c r="K1725">
        <v>101</v>
      </c>
      <c r="L1725">
        <v>80.38</v>
      </c>
      <c r="M1725">
        <v>23.59</v>
      </c>
      <c r="N1725">
        <v>21.23</v>
      </c>
      <c r="O1725">
        <v>7.89</v>
      </c>
      <c r="P1725">
        <v>485.34</v>
      </c>
      <c r="Q1725">
        <v>112</v>
      </c>
      <c r="R1725">
        <v>5</v>
      </c>
      <c r="S1725">
        <v>226</v>
      </c>
    </row>
    <row r="1726" spans="1:19" x14ac:dyDescent="0.3">
      <c r="A1726">
        <v>1725</v>
      </c>
      <c r="B1726" t="s">
        <v>1054</v>
      </c>
      <c r="C1726">
        <v>2024</v>
      </c>
      <c r="D1726" t="s">
        <v>20</v>
      </c>
      <c r="E1726">
        <v>3</v>
      </c>
      <c r="F1726" t="s">
        <v>31</v>
      </c>
      <c r="G1726" t="s">
        <v>42</v>
      </c>
      <c r="H1726">
        <v>31.46</v>
      </c>
      <c r="I1726" t="s">
        <v>32</v>
      </c>
      <c r="J1726">
        <v>11</v>
      </c>
      <c r="K1726">
        <v>345</v>
      </c>
      <c r="L1726">
        <v>94.56</v>
      </c>
      <c r="M1726">
        <v>18.649999999999999</v>
      </c>
      <c r="N1726">
        <v>21.79</v>
      </c>
      <c r="O1726">
        <v>15.12</v>
      </c>
      <c r="P1726">
        <v>149.22999999999999</v>
      </c>
      <c r="Q1726">
        <v>1014</v>
      </c>
      <c r="R1726">
        <v>1</v>
      </c>
      <c r="S1726">
        <v>233</v>
      </c>
    </row>
    <row r="1727" spans="1:19" x14ac:dyDescent="0.3">
      <c r="A1727">
        <v>1726</v>
      </c>
      <c r="B1727" t="s">
        <v>1058</v>
      </c>
      <c r="C1727">
        <v>2024</v>
      </c>
      <c r="D1727" t="s">
        <v>20</v>
      </c>
      <c r="E1727">
        <v>3</v>
      </c>
      <c r="F1727" t="s">
        <v>62</v>
      </c>
      <c r="G1727" t="s">
        <v>35</v>
      </c>
      <c r="H1727">
        <v>38.78</v>
      </c>
      <c r="I1727" t="s">
        <v>47</v>
      </c>
      <c r="J1727">
        <v>32</v>
      </c>
      <c r="K1727">
        <v>356</v>
      </c>
      <c r="L1727">
        <v>90.98</v>
      </c>
      <c r="M1727">
        <v>16.260000000000002</v>
      </c>
      <c r="N1727">
        <v>5.81</v>
      </c>
      <c r="O1727">
        <v>6.1</v>
      </c>
      <c r="P1727">
        <v>231.45</v>
      </c>
      <c r="Q1727">
        <v>895</v>
      </c>
      <c r="R1727">
        <v>1</v>
      </c>
      <c r="S1727">
        <v>134</v>
      </c>
    </row>
    <row r="1728" spans="1:19" x14ac:dyDescent="0.3">
      <c r="A1728">
        <v>1727</v>
      </c>
      <c r="B1728" t="s">
        <v>1050</v>
      </c>
      <c r="C1728">
        <v>2024</v>
      </c>
      <c r="D1728" t="s">
        <v>20</v>
      </c>
      <c r="E1728">
        <v>3</v>
      </c>
      <c r="F1728" t="s">
        <v>25</v>
      </c>
      <c r="G1728" t="s">
        <v>35</v>
      </c>
      <c r="H1728">
        <v>33.770000000000003</v>
      </c>
      <c r="I1728" t="s">
        <v>47</v>
      </c>
      <c r="J1728">
        <v>45</v>
      </c>
      <c r="K1728">
        <v>105</v>
      </c>
      <c r="L1728">
        <v>82.25</v>
      </c>
      <c r="M1728">
        <v>26.05</v>
      </c>
      <c r="N1728">
        <v>4.49</v>
      </c>
      <c r="O1728">
        <v>5.91</v>
      </c>
      <c r="P1728">
        <v>433.79</v>
      </c>
      <c r="Q1728">
        <v>709</v>
      </c>
      <c r="R1728">
        <v>5</v>
      </c>
      <c r="S1728">
        <v>239</v>
      </c>
    </row>
    <row r="1729" spans="1:19" x14ac:dyDescent="0.3">
      <c r="A1729">
        <v>1728</v>
      </c>
      <c r="B1729" t="s">
        <v>1053</v>
      </c>
      <c r="C1729">
        <v>2024</v>
      </c>
      <c r="D1729" t="s">
        <v>20</v>
      </c>
      <c r="E1729">
        <v>3</v>
      </c>
      <c r="F1729" t="s">
        <v>31</v>
      </c>
      <c r="G1729" t="s">
        <v>35</v>
      </c>
      <c r="H1729">
        <v>12.87</v>
      </c>
      <c r="I1729" t="s">
        <v>38</v>
      </c>
      <c r="J1729">
        <v>45</v>
      </c>
      <c r="K1729">
        <v>278</v>
      </c>
      <c r="L1729">
        <v>91.53</v>
      </c>
      <c r="M1729">
        <v>5.69</v>
      </c>
      <c r="N1729">
        <v>13.9</v>
      </c>
      <c r="O1729">
        <v>6.93</v>
      </c>
      <c r="P1729">
        <v>420.68</v>
      </c>
      <c r="Q1729">
        <v>936</v>
      </c>
      <c r="R1729">
        <v>4</v>
      </c>
      <c r="S1729">
        <v>111</v>
      </c>
    </row>
    <row r="1730" spans="1:19" x14ac:dyDescent="0.3">
      <c r="A1730">
        <v>1729</v>
      </c>
      <c r="B1730" t="s">
        <v>1052</v>
      </c>
      <c r="C1730">
        <v>2024</v>
      </c>
      <c r="D1730" t="s">
        <v>20</v>
      </c>
      <c r="E1730">
        <v>3</v>
      </c>
      <c r="F1730" t="s">
        <v>37</v>
      </c>
      <c r="G1730" t="s">
        <v>22</v>
      </c>
      <c r="H1730">
        <v>9.49</v>
      </c>
      <c r="I1730" t="s">
        <v>23</v>
      </c>
      <c r="J1730">
        <v>21</v>
      </c>
      <c r="K1730">
        <v>574</v>
      </c>
      <c r="L1730">
        <v>92.55</v>
      </c>
      <c r="M1730">
        <v>26.26</v>
      </c>
      <c r="N1730">
        <v>19.93</v>
      </c>
      <c r="O1730">
        <v>4.5199999999999996</v>
      </c>
      <c r="P1730">
        <v>452.7</v>
      </c>
      <c r="Q1730">
        <v>731</v>
      </c>
      <c r="R1730">
        <v>5</v>
      </c>
      <c r="S1730">
        <v>245</v>
      </c>
    </row>
    <row r="1731" spans="1:19" x14ac:dyDescent="0.3">
      <c r="A1731">
        <v>1730</v>
      </c>
      <c r="B1731" t="s">
        <v>1053</v>
      </c>
      <c r="C1731">
        <v>2024</v>
      </c>
      <c r="D1731" t="s">
        <v>20</v>
      </c>
      <c r="E1731">
        <v>3</v>
      </c>
      <c r="F1731" t="s">
        <v>29</v>
      </c>
      <c r="G1731" t="s">
        <v>35</v>
      </c>
      <c r="H1731">
        <v>31.74</v>
      </c>
      <c r="I1731" t="s">
        <v>38</v>
      </c>
      <c r="J1731">
        <v>31</v>
      </c>
      <c r="K1731">
        <v>533</v>
      </c>
      <c r="L1731">
        <v>86.64</v>
      </c>
      <c r="M1731">
        <v>33.22</v>
      </c>
      <c r="N1731">
        <v>7.36</v>
      </c>
      <c r="O1731">
        <v>10.63</v>
      </c>
      <c r="P1731">
        <v>404.79</v>
      </c>
      <c r="Q1731">
        <v>248</v>
      </c>
      <c r="R1731">
        <v>4</v>
      </c>
      <c r="S1731">
        <v>95</v>
      </c>
    </row>
    <row r="1732" spans="1:19" x14ac:dyDescent="0.3">
      <c r="A1732">
        <v>1731</v>
      </c>
      <c r="B1732" t="s">
        <v>1053</v>
      </c>
      <c r="C1732">
        <v>2024</v>
      </c>
      <c r="D1732" t="s">
        <v>20</v>
      </c>
      <c r="E1732">
        <v>3</v>
      </c>
      <c r="F1732" t="s">
        <v>21</v>
      </c>
      <c r="G1732" t="s">
        <v>42</v>
      </c>
      <c r="H1732">
        <v>39.65</v>
      </c>
      <c r="I1732" t="s">
        <v>38</v>
      </c>
      <c r="J1732">
        <v>43</v>
      </c>
      <c r="K1732">
        <v>198</v>
      </c>
      <c r="L1732">
        <v>92.14</v>
      </c>
      <c r="M1732">
        <v>22.04</v>
      </c>
      <c r="N1732">
        <v>13.75</v>
      </c>
      <c r="O1732">
        <v>8.7799999999999994</v>
      </c>
      <c r="P1732">
        <v>191.87</v>
      </c>
      <c r="Q1732">
        <v>572</v>
      </c>
      <c r="R1732">
        <v>2</v>
      </c>
      <c r="S1732">
        <v>243</v>
      </c>
    </row>
    <row r="1733" spans="1:19" x14ac:dyDescent="0.3">
      <c r="A1733">
        <v>1732</v>
      </c>
      <c r="B1733" t="s">
        <v>1061</v>
      </c>
      <c r="C1733">
        <v>2024</v>
      </c>
      <c r="D1733" t="s">
        <v>20</v>
      </c>
      <c r="E1733">
        <v>3</v>
      </c>
      <c r="F1733" t="s">
        <v>62</v>
      </c>
      <c r="G1733" t="s">
        <v>26</v>
      </c>
      <c r="H1733">
        <v>41.65</v>
      </c>
      <c r="I1733" t="s">
        <v>32</v>
      </c>
      <c r="J1733">
        <v>34</v>
      </c>
      <c r="K1733">
        <v>211</v>
      </c>
      <c r="L1733">
        <v>84.37</v>
      </c>
      <c r="M1733">
        <v>17.2</v>
      </c>
      <c r="N1733">
        <v>16.68</v>
      </c>
      <c r="O1733">
        <v>8.4600000000000009</v>
      </c>
      <c r="P1733">
        <v>556.47</v>
      </c>
      <c r="Q1733">
        <v>871</v>
      </c>
      <c r="R1733">
        <v>4</v>
      </c>
      <c r="S1733">
        <v>238</v>
      </c>
    </row>
    <row r="1734" spans="1:19" x14ac:dyDescent="0.3">
      <c r="A1734">
        <v>1733</v>
      </c>
      <c r="B1734" t="s">
        <v>1062</v>
      </c>
      <c r="C1734">
        <v>2024</v>
      </c>
      <c r="D1734" t="s">
        <v>20</v>
      </c>
      <c r="E1734">
        <v>3</v>
      </c>
      <c r="F1734" t="s">
        <v>53</v>
      </c>
      <c r="G1734" t="s">
        <v>40</v>
      </c>
      <c r="H1734">
        <v>37.270000000000003</v>
      </c>
      <c r="I1734" t="s">
        <v>23</v>
      </c>
      <c r="J1734">
        <v>8</v>
      </c>
      <c r="K1734">
        <v>567</v>
      </c>
      <c r="L1734">
        <v>84.68</v>
      </c>
      <c r="M1734">
        <v>12.05</v>
      </c>
      <c r="N1734">
        <v>17.05</v>
      </c>
      <c r="O1734">
        <v>2.31</v>
      </c>
      <c r="P1734">
        <v>380.32</v>
      </c>
      <c r="Q1734">
        <v>170</v>
      </c>
      <c r="R1734">
        <v>5</v>
      </c>
      <c r="S1734">
        <v>171</v>
      </c>
    </row>
    <row r="1735" spans="1:19" x14ac:dyDescent="0.3">
      <c r="A1735">
        <v>1734</v>
      </c>
      <c r="B1735" t="s">
        <v>1063</v>
      </c>
      <c r="C1735">
        <v>2024</v>
      </c>
      <c r="D1735" t="s">
        <v>20</v>
      </c>
      <c r="E1735">
        <v>3</v>
      </c>
      <c r="F1735" t="s">
        <v>53</v>
      </c>
      <c r="G1735" t="s">
        <v>26</v>
      </c>
      <c r="H1735">
        <v>23.01</v>
      </c>
      <c r="I1735" t="s">
        <v>32</v>
      </c>
      <c r="J1735">
        <v>14</v>
      </c>
      <c r="K1735">
        <v>290</v>
      </c>
      <c r="L1735">
        <v>85.9</v>
      </c>
      <c r="M1735">
        <v>20.03</v>
      </c>
      <c r="N1735">
        <v>10.08</v>
      </c>
      <c r="O1735">
        <v>4.16</v>
      </c>
      <c r="P1735">
        <v>573.16999999999996</v>
      </c>
      <c r="Q1735">
        <v>417</v>
      </c>
      <c r="R1735">
        <v>1</v>
      </c>
      <c r="S1735">
        <v>156</v>
      </c>
    </row>
    <row r="1736" spans="1:19" x14ac:dyDescent="0.3">
      <c r="A1736">
        <v>1735</v>
      </c>
      <c r="B1736" t="s">
        <v>1064</v>
      </c>
      <c r="C1736">
        <v>2024</v>
      </c>
      <c r="D1736" t="s">
        <v>96</v>
      </c>
      <c r="E1736">
        <v>4</v>
      </c>
      <c r="F1736" t="s">
        <v>37</v>
      </c>
      <c r="G1736" t="s">
        <v>40</v>
      </c>
      <c r="H1736">
        <v>34.33</v>
      </c>
      <c r="I1736" t="s">
        <v>32</v>
      </c>
      <c r="J1736">
        <v>37</v>
      </c>
      <c r="K1736">
        <v>111</v>
      </c>
      <c r="L1736">
        <v>81.75</v>
      </c>
      <c r="M1736">
        <v>20.6</v>
      </c>
      <c r="N1736">
        <v>4.3899999999999997</v>
      </c>
      <c r="O1736">
        <v>8.15</v>
      </c>
      <c r="P1736">
        <v>532.74</v>
      </c>
      <c r="Q1736">
        <v>335</v>
      </c>
      <c r="R1736">
        <v>5</v>
      </c>
      <c r="S1736">
        <v>86</v>
      </c>
    </row>
    <row r="1737" spans="1:19" x14ac:dyDescent="0.3">
      <c r="A1737">
        <v>1736</v>
      </c>
      <c r="B1737" t="s">
        <v>1065</v>
      </c>
      <c r="C1737">
        <v>2024</v>
      </c>
      <c r="D1737" t="s">
        <v>96</v>
      </c>
      <c r="E1737">
        <v>4</v>
      </c>
      <c r="F1737" t="s">
        <v>25</v>
      </c>
      <c r="G1737" t="s">
        <v>42</v>
      </c>
      <c r="H1737">
        <v>25.11</v>
      </c>
      <c r="I1737" t="s">
        <v>23</v>
      </c>
      <c r="J1737">
        <v>50</v>
      </c>
      <c r="K1737">
        <v>475</v>
      </c>
      <c r="L1737">
        <v>75.3</v>
      </c>
      <c r="M1737">
        <v>20.32</v>
      </c>
      <c r="N1737">
        <v>10.29</v>
      </c>
      <c r="O1737">
        <v>2.44</v>
      </c>
      <c r="P1737">
        <v>519.36</v>
      </c>
      <c r="Q1737">
        <v>796</v>
      </c>
      <c r="R1737">
        <v>2</v>
      </c>
      <c r="S1737">
        <v>159</v>
      </c>
    </row>
    <row r="1738" spans="1:19" x14ac:dyDescent="0.3">
      <c r="A1738">
        <v>1737</v>
      </c>
      <c r="B1738" t="s">
        <v>1066</v>
      </c>
      <c r="C1738">
        <v>2024</v>
      </c>
      <c r="D1738" t="s">
        <v>96</v>
      </c>
      <c r="E1738">
        <v>4</v>
      </c>
      <c r="F1738" t="s">
        <v>31</v>
      </c>
      <c r="G1738" t="s">
        <v>40</v>
      </c>
      <c r="H1738">
        <v>29.9</v>
      </c>
      <c r="I1738" t="s">
        <v>23</v>
      </c>
      <c r="J1738">
        <v>34</v>
      </c>
      <c r="K1738">
        <v>475</v>
      </c>
      <c r="L1738">
        <v>82.04</v>
      </c>
      <c r="M1738">
        <v>10.210000000000001</v>
      </c>
      <c r="N1738">
        <v>9.36</v>
      </c>
      <c r="O1738">
        <v>3.48</v>
      </c>
      <c r="P1738">
        <v>208.89</v>
      </c>
      <c r="Q1738">
        <v>984</v>
      </c>
      <c r="R1738">
        <v>3</v>
      </c>
      <c r="S1738">
        <v>80</v>
      </c>
    </row>
    <row r="1739" spans="1:19" x14ac:dyDescent="0.3">
      <c r="A1739">
        <v>1738</v>
      </c>
      <c r="B1739" t="s">
        <v>1067</v>
      </c>
      <c r="C1739">
        <v>2024</v>
      </c>
      <c r="D1739" t="s">
        <v>96</v>
      </c>
      <c r="E1739">
        <v>4</v>
      </c>
      <c r="F1739" t="s">
        <v>21</v>
      </c>
      <c r="G1739" t="s">
        <v>40</v>
      </c>
      <c r="H1739">
        <v>21.15</v>
      </c>
      <c r="I1739" t="s">
        <v>38</v>
      </c>
      <c r="J1739">
        <v>37</v>
      </c>
      <c r="K1739">
        <v>467</v>
      </c>
      <c r="L1739">
        <v>88.28</v>
      </c>
      <c r="M1739">
        <v>9.25</v>
      </c>
      <c r="N1739">
        <v>18.18</v>
      </c>
      <c r="O1739">
        <v>10.85</v>
      </c>
      <c r="P1739">
        <v>498.66</v>
      </c>
      <c r="Q1739">
        <v>437</v>
      </c>
      <c r="R1739">
        <v>4</v>
      </c>
      <c r="S1739">
        <v>76</v>
      </c>
    </row>
    <row r="1740" spans="1:19" x14ac:dyDescent="0.3">
      <c r="A1740">
        <v>1739</v>
      </c>
      <c r="B1740" t="s">
        <v>1066</v>
      </c>
      <c r="C1740">
        <v>2024</v>
      </c>
      <c r="D1740" t="s">
        <v>96</v>
      </c>
      <c r="E1740">
        <v>4</v>
      </c>
      <c r="F1740" t="s">
        <v>29</v>
      </c>
      <c r="G1740" t="s">
        <v>40</v>
      </c>
      <c r="H1740">
        <v>24.55</v>
      </c>
      <c r="I1740" t="s">
        <v>23</v>
      </c>
      <c r="J1740">
        <v>46</v>
      </c>
      <c r="K1740">
        <v>536</v>
      </c>
      <c r="L1740">
        <v>76.150000000000006</v>
      </c>
      <c r="M1740">
        <v>19.8</v>
      </c>
      <c r="N1740">
        <v>3.61</v>
      </c>
      <c r="O1740">
        <v>11.08</v>
      </c>
      <c r="P1740">
        <v>105.26</v>
      </c>
      <c r="Q1740">
        <v>976</v>
      </c>
      <c r="R1740">
        <v>5</v>
      </c>
      <c r="S1740">
        <v>116</v>
      </c>
    </row>
    <row r="1741" spans="1:19" x14ac:dyDescent="0.3">
      <c r="A1741">
        <v>1740</v>
      </c>
      <c r="B1741" t="s">
        <v>1068</v>
      </c>
      <c r="C1741">
        <v>2024</v>
      </c>
      <c r="D1741" t="s">
        <v>96</v>
      </c>
      <c r="E1741">
        <v>4</v>
      </c>
      <c r="F1741" t="s">
        <v>53</v>
      </c>
      <c r="G1741" t="s">
        <v>40</v>
      </c>
      <c r="H1741">
        <v>49.52</v>
      </c>
      <c r="I1741" t="s">
        <v>47</v>
      </c>
      <c r="J1741">
        <v>34</v>
      </c>
      <c r="K1741">
        <v>499</v>
      </c>
      <c r="L1741">
        <v>84.5</v>
      </c>
      <c r="M1741">
        <v>20.25</v>
      </c>
      <c r="N1741">
        <v>6.03</v>
      </c>
      <c r="O1741">
        <v>1.33</v>
      </c>
      <c r="P1741">
        <v>326.76</v>
      </c>
      <c r="Q1741">
        <v>473</v>
      </c>
      <c r="R1741">
        <v>5</v>
      </c>
      <c r="S1741">
        <v>75</v>
      </c>
    </row>
    <row r="1742" spans="1:19" x14ac:dyDescent="0.3">
      <c r="A1742">
        <v>1741</v>
      </c>
      <c r="B1742" t="s">
        <v>1068</v>
      </c>
      <c r="C1742">
        <v>2024</v>
      </c>
      <c r="D1742" t="s">
        <v>96</v>
      </c>
      <c r="E1742">
        <v>4</v>
      </c>
      <c r="F1742" t="s">
        <v>29</v>
      </c>
      <c r="G1742" t="s">
        <v>22</v>
      </c>
      <c r="H1742">
        <v>32.93</v>
      </c>
      <c r="I1742" t="s">
        <v>32</v>
      </c>
      <c r="J1742">
        <v>31</v>
      </c>
      <c r="K1742">
        <v>502</v>
      </c>
      <c r="L1742">
        <v>78.81</v>
      </c>
      <c r="M1742">
        <v>31.27</v>
      </c>
      <c r="N1742">
        <v>13.97</v>
      </c>
      <c r="O1742">
        <v>2.2799999999999998</v>
      </c>
      <c r="P1742">
        <v>293.49</v>
      </c>
      <c r="Q1742">
        <v>1062</v>
      </c>
      <c r="R1742">
        <v>4</v>
      </c>
      <c r="S1742">
        <v>67</v>
      </c>
    </row>
    <row r="1743" spans="1:19" x14ac:dyDescent="0.3">
      <c r="A1743">
        <v>1742</v>
      </c>
      <c r="B1743" t="s">
        <v>1069</v>
      </c>
      <c r="C1743">
        <v>2024</v>
      </c>
      <c r="D1743" t="s">
        <v>96</v>
      </c>
      <c r="E1743">
        <v>4</v>
      </c>
      <c r="F1743" t="s">
        <v>34</v>
      </c>
      <c r="G1743" t="s">
        <v>26</v>
      </c>
      <c r="H1743">
        <v>50.67</v>
      </c>
      <c r="I1743" t="s">
        <v>32</v>
      </c>
      <c r="J1743">
        <v>8</v>
      </c>
      <c r="K1743">
        <v>537</v>
      </c>
      <c r="L1743">
        <v>79.67</v>
      </c>
      <c r="M1743">
        <v>23.01</v>
      </c>
      <c r="N1743">
        <v>4.1500000000000004</v>
      </c>
      <c r="O1743">
        <v>15.61</v>
      </c>
      <c r="P1743">
        <v>206.16</v>
      </c>
      <c r="Q1743">
        <v>429</v>
      </c>
      <c r="R1743">
        <v>4</v>
      </c>
      <c r="S1743">
        <v>183</v>
      </c>
    </row>
    <row r="1744" spans="1:19" x14ac:dyDescent="0.3">
      <c r="A1744">
        <v>1743</v>
      </c>
      <c r="B1744" t="s">
        <v>1070</v>
      </c>
      <c r="C1744">
        <v>2024</v>
      </c>
      <c r="D1744" t="s">
        <v>96</v>
      </c>
      <c r="E1744">
        <v>4</v>
      </c>
      <c r="F1744" t="s">
        <v>29</v>
      </c>
      <c r="G1744" t="s">
        <v>35</v>
      </c>
      <c r="H1744">
        <v>34.4</v>
      </c>
      <c r="I1744" t="s">
        <v>27</v>
      </c>
      <c r="J1744">
        <v>37</v>
      </c>
      <c r="K1744">
        <v>278</v>
      </c>
      <c r="L1744">
        <v>86.45</v>
      </c>
      <c r="M1744">
        <v>8.16</v>
      </c>
      <c r="N1744">
        <v>8.84</v>
      </c>
      <c r="O1744">
        <v>4.5</v>
      </c>
      <c r="P1744">
        <v>206.55</v>
      </c>
      <c r="Q1744">
        <v>791</v>
      </c>
      <c r="R1744">
        <v>1</v>
      </c>
      <c r="S1744">
        <v>115</v>
      </c>
    </row>
    <row r="1745" spans="1:19" x14ac:dyDescent="0.3">
      <c r="A1745">
        <v>1744</v>
      </c>
      <c r="B1745" t="s">
        <v>1071</v>
      </c>
      <c r="C1745">
        <v>2024</v>
      </c>
      <c r="D1745" t="s">
        <v>96</v>
      </c>
      <c r="E1745">
        <v>4</v>
      </c>
      <c r="F1745" t="s">
        <v>34</v>
      </c>
      <c r="G1745" t="s">
        <v>40</v>
      </c>
      <c r="H1745">
        <v>41.21</v>
      </c>
      <c r="I1745" t="s">
        <v>38</v>
      </c>
      <c r="J1745">
        <v>8</v>
      </c>
      <c r="K1745">
        <v>231</v>
      </c>
      <c r="L1745">
        <v>88.8</v>
      </c>
      <c r="M1745">
        <v>33.6</v>
      </c>
      <c r="N1745">
        <v>4.4400000000000004</v>
      </c>
      <c r="O1745">
        <v>14.48</v>
      </c>
      <c r="P1745">
        <v>360.14</v>
      </c>
      <c r="Q1745">
        <v>994</v>
      </c>
      <c r="R1745">
        <v>2</v>
      </c>
      <c r="S1745">
        <v>133</v>
      </c>
    </row>
    <row r="1746" spans="1:19" x14ac:dyDescent="0.3">
      <c r="A1746">
        <v>1745</v>
      </c>
      <c r="B1746" t="s">
        <v>1072</v>
      </c>
      <c r="C1746">
        <v>2024</v>
      </c>
      <c r="D1746" t="s">
        <v>96</v>
      </c>
      <c r="E1746">
        <v>4</v>
      </c>
      <c r="F1746" t="s">
        <v>34</v>
      </c>
      <c r="G1746" t="s">
        <v>35</v>
      </c>
      <c r="H1746">
        <v>42.42</v>
      </c>
      <c r="I1746" t="s">
        <v>32</v>
      </c>
      <c r="J1746">
        <v>30</v>
      </c>
      <c r="K1746">
        <v>467</v>
      </c>
      <c r="L1746">
        <v>91.63</v>
      </c>
      <c r="M1746">
        <v>13.43</v>
      </c>
      <c r="N1746">
        <v>10.119999999999999</v>
      </c>
      <c r="O1746">
        <v>15.09</v>
      </c>
      <c r="P1746">
        <v>502.17</v>
      </c>
      <c r="Q1746">
        <v>267</v>
      </c>
      <c r="R1746">
        <v>3</v>
      </c>
      <c r="S1746">
        <v>91</v>
      </c>
    </row>
    <row r="1747" spans="1:19" x14ac:dyDescent="0.3">
      <c r="A1747">
        <v>1746</v>
      </c>
      <c r="B1747" t="s">
        <v>1067</v>
      </c>
      <c r="C1747">
        <v>2024</v>
      </c>
      <c r="D1747" t="s">
        <v>96</v>
      </c>
      <c r="E1747">
        <v>4</v>
      </c>
      <c r="F1747" t="s">
        <v>25</v>
      </c>
      <c r="G1747" t="s">
        <v>42</v>
      </c>
      <c r="H1747">
        <v>38.24</v>
      </c>
      <c r="I1747" t="s">
        <v>38</v>
      </c>
      <c r="J1747">
        <v>25</v>
      </c>
      <c r="K1747">
        <v>358</v>
      </c>
      <c r="L1747">
        <v>78.58</v>
      </c>
      <c r="M1747">
        <v>13.81</v>
      </c>
      <c r="N1747">
        <v>17.100000000000001</v>
      </c>
      <c r="O1747">
        <v>14.48</v>
      </c>
      <c r="P1747">
        <v>318.22000000000003</v>
      </c>
      <c r="Q1747">
        <v>414</v>
      </c>
      <c r="R1747">
        <v>3</v>
      </c>
      <c r="S1747">
        <v>77</v>
      </c>
    </row>
    <row r="1748" spans="1:19" x14ac:dyDescent="0.3">
      <c r="A1748">
        <v>1747</v>
      </c>
      <c r="B1748" t="s">
        <v>1066</v>
      </c>
      <c r="C1748">
        <v>2024</v>
      </c>
      <c r="D1748" t="s">
        <v>96</v>
      </c>
      <c r="E1748">
        <v>4</v>
      </c>
      <c r="F1748" t="s">
        <v>62</v>
      </c>
      <c r="G1748" t="s">
        <v>26</v>
      </c>
      <c r="H1748">
        <v>10.3</v>
      </c>
      <c r="I1748" t="s">
        <v>38</v>
      </c>
      <c r="J1748">
        <v>43</v>
      </c>
      <c r="K1748">
        <v>245</v>
      </c>
      <c r="L1748">
        <v>85.92</v>
      </c>
      <c r="M1748">
        <v>9.67</v>
      </c>
      <c r="N1748">
        <v>13.96</v>
      </c>
      <c r="O1748">
        <v>12.91</v>
      </c>
      <c r="P1748">
        <v>500.52</v>
      </c>
      <c r="Q1748">
        <v>343</v>
      </c>
      <c r="R1748">
        <v>5</v>
      </c>
      <c r="S1748">
        <v>76</v>
      </c>
    </row>
    <row r="1749" spans="1:19" x14ac:dyDescent="0.3">
      <c r="A1749">
        <v>1748</v>
      </c>
      <c r="B1749" t="s">
        <v>1073</v>
      </c>
      <c r="C1749">
        <v>2024</v>
      </c>
      <c r="D1749" t="s">
        <v>96</v>
      </c>
      <c r="E1749">
        <v>4</v>
      </c>
      <c r="F1749" t="s">
        <v>62</v>
      </c>
      <c r="G1749" t="s">
        <v>22</v>
      </c>
      <c r="H1749">
        <v>29.65</v>
      </c>
      <c r="I1749" t="s">
        <v>23</v>
      </c>
      <c r="J1749">
        <v>10</v>
      </c>
      <c r="K1749">
        <v>567</v>
      </c>
      <c r="L1749">
        <v>80.599999999999994</v>
      </c>
      <c r="M1749">
        <v>34.450000000000003</v>
      </c>
      <c r="N1749">
        <v>12.23</v>
      </c>
      <c r="O1749">
        <v>15.32</v>
      </c>
      <c r="P1749">
        <v>139.24</v>
      </c>
      <c r="Q1749">
        <v>759</v>
      </c>
      <c r="R1749">
        <v>3</v>
      </c>
      <c r="S1749">
        <v>61</v>
      </c>
    </row>
    <row r="1750" spans="1:19" x14ac:dyDescent="0.3">
      <c r="A1750">
        <v>1749</v>
      </c>
      <c r="B1750" t="s">
        <v>1074</v>
      </c>
      <c r="C1750">
        <v>2024</v>
      </c>
      <c r="D1750" t="s">
        <v>96</v>
      </c>
      <c r="E1750">
        <v>4</v>
      </c>
      <c r="F1750" t="s">
        <v>29</v>
      </c>
      <c r="G1750" t="s">
        <v>22</v>
      </c>
      <c r="H1750">
        <v>40.69</v>
      </c>
      <c r="I1750" t="s">
        <v>27</v>
      </c>
      <c r="J1750">
        <v>47</v>
      </c>
      <c r="K1750">
        <v>369</v>
      </c>
      <c r="L1750">
        <v>75.989999999999995</v>
      </c>
      <c r="M1750">
        <v>6.06</v>
      </c>
      <c r="N1750">
        <v>6.2</v>
      </c>
      <c r="O1750">
        <v>14.23</v>
      </c>
      <c r="P1750">
        <v>221.81</v>
      </c>
      <c r="Q1750">
        <v>461</v>
      </c>
      <c r="R1750">
        <v>3</v>
      </c>
      <c r="S1750">
        <v>111</v>
      </c>
    </row>
    <row r="1751" spans="1:19" x14ac:dyDescent="0.3">
      <c r="A1751">
        <v>1750</v>
      </c>
      <c r="B1751" t="s">
        <v>1075</v>
      </c>
      <c r="C1751">
        <v>2024</v>
      </c>
      <c r="D1751" t="s">
        <v>96</v>
      </c>
      <c r="E1751">
        <v>4</v>
      </c>
      <c r="F1751" t="s">
        <v>29</v>
      </c>
      <c r="G1751" t="s">
        <v>42</v>
      </c>
      <c r="H1751">
        <v>13.39</v>
      </c>
      <c r="I1751" t="s">
        <v>23</v>
      </c>
      <c r="J1751">
        <v>17</v>
      </c>
      <c r="K1751">
        <v>560</v>
      </c>
      <c r="L1751">
        <v>79.989999999999995</v>
      </c>
      <c r="M1751">
        <v>25.66</v>
      </c>
      <c r="N1751">
        <v>13.61</v>
      </c>
      <c r="O1751">
        <v>11.28</v>
      </c>
      <c r="P1751">
        <v>143.80000000000001</v>
      </c>
      <c r="Q1751">
        <v>146</v>
      </c>
      <c r="R1751">
        <v>4</v>
      </c>
      <c r="S1751">
        <v>144</v>
      </c>
    </row>
    <row r="1752" spans="1:19" x14ac:dyDescent="0.3">
      <c r="A1752">
        <v>1751</v>
      </c>
      <c r="B1752" t="s">
        <v>1073</v>
      </c>
      <c r="C1752">
        <v>2024</v>
      </c>
      <c r="D1752" t="s">
        <v>96</v>
      </c>
      <c r="E1752">
        <v>4</v>
      </c>
      <c r="F1752" t="s">
        <v>53</v>
      </c>
      <c r="G1752" t="s">
        <v>26</v>
      </c>
      <c r="H1752">
        <v>36.19</v>
      </c>
      <c r="I1752" t="s">
        <v>32</v>
      </c>
      <c r="J1752">
        <v>3</v>
      </c>
      <c r="K1752">
        <v>128</v>
      </c>
      <c r="L1752">
        <v>90.14</v>
      </c>
      <c r="M1752">
        <v>30.27</v>
      </c>
      <c r="N1752">
        <v>17.760000000000002</v>
      </c>
      <c r="O1752">
        <v>6.8</v>
      </c>
      <c r="P1752">
        <v>559.67999999999995</v>
      </c>
      <c r="Q1752">
        <v>937</v>
      </c>
      <c r="R1752">
        <v>4</v>
      </c>
      <c r="S1752">
        <v>188</v>
      </c>
    </row>
    <row r="1753" spans="1:19" x14ac:dyDescent="0.3">
      <c r="A1753">
        <v>1752</v>
      </c>
      <c r="B1753" t="s">
        <v>1076</v>
      </c>
      <c r="C1753">
        <v>2024</v>
      </c>
      <c r="D1753" t="s">
        <v>96</v>
      </c>
      <c r="E1753">
        <v>4</v>
      </c>
      <c r="F1753" t="s">
        <v>25</v>
      </c>
      <c r="G1753" t="s">
        <v>35</v>
      </c>
      <c r="H1753">
        <v>20.38</v>
      </c>
      <c r="I1753" t="s">
        <v>47</v>
      </c>
      <c r="J1753">
        <v>42</v>
      </c>
      <c r="K1753">
        <v>458</v>
      </c>
      <c r="L1753">
        <v>93.61</v>
      </c>
      <c r="M1753">
        <v>18.16</v>
      </c>
      <c r="N1753">
        <v>3.33</v>
      </c>
      <c r="O1753">
        <v>11.82</v>
      </c>
      <c r="P1753">
        <v>195.59</v>
      </c>
      <c r="Q1753">
        <v>770</v>
      </c>
      <c r="R1753">
        <v>3</v>
      </c>
      <c r="S1753">
        <v>61</v>
      </c>
    </row>
    <row r="1754" spans="1:19" x14ac:dyDescent="0.3">
      <c r="A1754">
        <v>1753</v>
      </c>
      <c r="B1754" t="s">
        <v>1077</v>
      </c>
      <c r="C1754">
        <v>2024</v>
      </c>
      <c r="D1754" t="s">
        <v>96</v>
      </c>
      <c r="E1754">
        <v>4</v>
      </c>
      <c r="F1754" t="s">
        <v>21</v>
      </c>
      <c r="G1754" t="s">
        <v>26</v>
      </c>
      <c r="H1754">
        <v>7.19</v>
      </c>
      <c r="I1754" t="s">
        <v>38</v>
      </c>
      <c r="J1754">
        <v>42</v>
      </c>
      <c r="K1754">
        <v>427</v>
      </c>
      <c r="L1754">
        <v>75.09</v>
      </c>
      <c r="M1754">
        <v>29.95</v>
      </c>
      <c r="N1754">
        <v>11.3</v>
      </c>
      <c r="O1754">
        <v>10.07</v>
      </c>
      <c r="P1754">
        <v>300.17</v>
      </c>
      <c r="Q1754">
        <v>588</v>
      </c>
      <c r="R1754">
        <v>1</v>
      </c>
      <c r="S1754">
        <v>51</v>
      </c>
    </row>
    <row r="1755" spans="1:19" x14ac:dyDescent="0.3">
      <c r="A1755">
        <v>1754</v>
      </c>
      <c r="B1755" t="s">
        <v>1078</v>
      </c>
      <c r="C1755">
        <v>2024</v>
      </c>
      <c r="D1755" t="s">
        <v>96</v>
      </c>
      <c r="E1755">
        <v>4</v>
      </c>
      <c r="F1755" t="s">
        <v>31</v>
      </c>
      <c r="G1755" t="s">
        <v>35</v>
      </c>
      <c r="H1755">
        <v>41.41</v>
      </c>
      <c r="I1755" t="s">
        <v>32</v>
      </c>
      <c r="J1755">
        <v>23</v>
      </c>
      <c r="K1755">
        <v>234</v>
      </c>
      <c r="L1755">
        <v>75.25</v>
      </c>
      <c r="M1755">
        <v>17.18</v>
      </c>
      <c r="N1755">
        <v>8.2200000000000006</v>
      </c>
      <c r="O1755">
        <v>2.59</v>
      </c>
      <c r="P1755">
        <v>100.07</v>
      </c>
      <c r="Q1755">
        <v>582</v>
      </c>
      <c r="R1755">
        <v>3</v>
      </c>
      <c r="S1755">
        <v>93</v>
      </c>
    </row>
    <row r="1756" spans="1:19" x14ac:dyDescent="0.3">
      <c r="A1756">
        <v>1755</v>
      </c>
      <c r="B1756" t="s">
        <v>1079</v>
      </c>
      <c r="C1756">
        <v>2024</v>
      </c>
      <c r="D1756" t="s">
        <v>96</v>
      </c>
      <c r="E1756">
        <v>4</v>
      </c>
      <c r="F1756" t="s">
        <v>37</v>
      </c>
      <c r="G1756" t="s">
        <v>35</v>
      </c>
      <c r="H1756">
        <v>19.03</v>
      </c>
      <c r="I1756" t="s">
        <v>27</v>
      </c>
      <c r="J1756">
        <v>38</v>
      </c>
      <c r="K1756">
        <v>291</v>
      </c>
      <c r="L1756">
        <v>90.47</v>
      </c>
      <c r="M1756">
        <v>24.02</v>
      </c>
      <c r="N1756">
        <v>9.91</v>
      </c>
      <c r="O1756">
        <v>5.76</v>
      </c>
      <c r="P1756">
        <v>216.76</v>
      </c>
      <c r="Q1756">
        <v>994</v>
      </c>
      <c r="R1756">
        <v>3</v>
      </c>
      <c r="S1756">
        <v>60</v>
      </c>
    </row>
    <row r="1757" spans="1:19" x14ac:dyDescent="0.3">
      <c r="A1757">
        <v>1756</v>
      </c>
      <c r="B1757" t="s">
        <v>1080</v>
      </c>
      <c r="C1757">
        <v>2024</v>
      </c>
      <c r="D1757" t="s">
        <v>96</v>
      </c>
      <c r="E1757">
        <v>4</v>
      </c>
      <c r="F1757" t="s">
        <v>29</v>
      </c>
      <c r="G1757" t="s">
        <v>22</v>
      </c>
      <c r="H1757">
        <v>53.88</v>
      </c>
      <c r="I1757" t="s">
        <v>38</v>
      </c>
      <c r="J1757">
        <v>38</v>
      </c>
      <c r="K1757">
        <v>454</v>
      </c>
      <c r="L1757">
        <v>86.29</v>
      </c>
      <c r="M1757">
        <v>5.37</v>
      </c>
      <c r="N1757">
        <v>5.08</v>
      </c>
      <c r="O1757">
        <v>6.82</v>
      </c>
      <c r="P1757">
        <v>147.84</v>
      </c>
      <c r="Q1757">
        <v>965</v>
      </c>
      <c r="R1757">
        <v>5</v>
      </c>
      <c r="S1757">
        <v>95</v>
      </c>
    </row>
    <row r="1758" spans="1:19" x14ac:dyDescent="0.3">
      <c r="A1758">
        <v>1757</v>
      </c>
      <c r="B1758" t="s">
        <v>1081</v>
      </c>
      <c r="C1758">
        <v>2024</v>
      </c>
      <c r="D1758" t="s">
        <v>96</v>
      </c>
      <c r="E1758">
        <v>4</v>
      </c>
      <c r="F1758" t="s">
        <v>37</v>
      </c>
      <c r="G1758" t="s">
        <v>22</v>
      </c>
      <c r="H1758">
        <v>36.840000000000003</v>
      </c>
      <c r="I1758" t="s">
        <v>47</v>
      </c>
      <c r="J1758">
        <v>37</v>
      </c>
      <c r="K1758">
        <v>354</v>
      </c>
      <c r="L1758">
        <v>77.97</v>
      </c>
      <c r="M1758">
        <v>21.48</v>
      </c>
      <c r="N1758">
        <v>7.57</v>
      </c>
      <c r="O1758">
        <v>11.92</v>
      </c>
      <c r="P1758">
        <v>171.79</v>
      </c>
      <c r="Q1758">
        <v>655</v>
      </c>
      <c r="R1758">
        <v>1</v>
      </c>
      <c r="S1758">
        <v>157</v>
      </c>
    </row>
    <row r="1759" spans="1:19" x14ac:dyDescent="0.3">
      <c r="A1759">
        <v>1758</v>
      </c>
      <c r="B1759" t="s">
        <v>1070</v>
      </c>
      <c r="C1759">
        <v>2024</v>
      </c>
      <c r="D1759" t="s">
        <v>96</v>
      </c>
      <c r="E1759">
        <v>4</v>
      </c>
      <c r="F1759" t="s">
        <v>31</v>
      </c>
      <c r="G1759" t="s">
        <v>40</v>
      </c>
      <c r="H1759">
        <v>47.89</v>
      </c>
      <c r="I1759" t="s">
        <v>27</v>
      </c>
      <c r="J1759">
        <v>39</v>
      </c>
      <c r="K1759">
        <v>478</v>
      </c>
      <c r="L1759">
        <v>89</v>
      </c>
      <c r="M1759">
        <v>5.56</v>
      </c>
      <c r="N1759">
        <v>11.76</v>
      </c>
      <c r="O1759">
        <v>4.63</v>
      </c>
      <c r="P1759">
        <v>266.05</v>
      </c>
      <c r="Q1759">
        <v>906</v>
      </c>
      <c r="R1759">
        <v>1</v>
      </c>
      <c r="S1759">
        <v>118</v>
      </c>
    </row>
    <row r="1760" spans="1:19" x14ac:dyDescent="0.3">
      <c r="A1760">
        <v>1759</v>
      </c>
      <c r="B1760" t="s">
        <v>1081</v>
      </c>
      <c r="C1760">
        <v>2024</v>
      </c>
      <c r="D1760" t="s">
        <v>96</v>
      </c>
      <c r="E1760">
        <v>4</v>
      </c>
      <c r="F1760" t="s">
        <v>21</v>
      </c>
      <c r="G1760" t="s">
        <v>40</v>
      </c>
      <c r="H1760">
        <v>6.92</v>
      </c>
      <c r="I1760" t="s">
        <v>47</v>
      </c>
      <c r="J1760">
        <v>32</v>
      </c>
      <c r="K1760">
        <v>197</v>
      </c>
      <c r="L1760">
        <v>90.84</v>
      </c>
      <c r="M1760">
        <v>23.94</v>
      </c>
      <c r="N1760">
        <v>20.190000000000001</v>
      </c>
      <c r="O1760">
        <v>10.119999999999999</v>
      </c>
      <c r="P1760">
        <v>488.92</v>
      </c>
      <c r="Q1760">
        <v>386</v>
      </c>
      <c r="R1760">
        <v>5</v>
      </c>
      <c r="S1760">
        <v>175</v>
      </c>
    </row>
    <row r="1761" spans="1:19" x14ac:dyDescent="0.3">
      <c r="A1761">
        <v>1760</v>
      </c>
      <c r="B1761" t="s">
        <v>1082</v>
      </c>
      <c r="C1761">
        <v>2024</v>
      </c>
      <c r="D1761" t="s">
        <v>96</v>
      </c>
      <c r="E1761">
        <v>4</v>
      </c>
      <c r="F1761" t="s">
        <v>31</v>
      </c>
      <c r="G1761" t="s">
        <v>22</v>
      </c>
      <c r="H1761">
        <v>7.66</v>
      </c>
      <c r="I1761" t="s">
        <v>32</v>
      </c>
      <c r="J1761">
        <v>38</v>
      </c>
      <c r="K1761">
        <v>508</v>
      </c>
      <c r="L1761">
        <v>91.19</v>
      </c>
      <c r="M1761">
        <v>27.17</v>
      </c>
      <c r="N1761">
        <v>20.6</v>
      </c>
      <c r="O1761">
        <v>10.1</v>
      </c>
      <c r="P1761">
        <v>182.82</v>
      </c>
      <c r="Q1761">
        <v>236</v>
      </c>
      <c r="R1761">
        <v>3</v>
      </c>
      <c r="S1761">
        <v>175</v>
      </c>
    </row>
    <row r="1762" spans="1:19" x14ac:dyDescent="0.3">
      <c r="A1762">
        <v>1761</v>
      </c>
      <c r="B1762" t="s">
        <v>1083</v>
      </c>
      <c r="C1762">
        <v>2024</v>
      </c>
      <c r="D1762" t="s">
        <v>96</v>
      </c>
      <c r="E1762">
        <v>4</v>
      </c>
      <c r="F1762" t="s">
        <v>37</v>
      </c>
      <c r="G1762" t="s">
        <v>42</v>
      </c>
      <c r="H1762">
        <v>28.88</v>
      </c>
      <c r="I1762" t="s">
        <v>47</v>
      </c>
      <c r="J1762">
        <v>38</v>
      </c>
      <c r="K1762">
        <v>311</v>
      </c>
      <c r="L1762">
        <v>81.93</v>
      </c>
      <c r="M1762">
        <v>5.48</v>
      </c>
      <c r="N1762">
        <v>3.56</v>
      </c>
      <c r="O1762">
        <v>1.44</v>
      </c>
      <c r="P1762">
        <v>424.12</v>
      </c>
      <c r="Q1762">
        <v>217</v>
      </c>
      <c r="R1762">
        <v>1</v>
      </c>
      <c r="S1762">
        <v>236</v>
      </c>
    </row>
    <row r="1763" spans="1:19" x14ac:dyDescent="0.3">
      <c r="A1763">
        <v>1762</v>
      </c>
      <c r="B1763" t="s">
        <v>1082</v>
      </c>
      <c r="C1763">
        <v>2024</v>
      </c>
      <c r="D1763" t="s">
        <v>96</v>
      </c>
      <c r="E1763">
        <v>4</v>
      </c>
      <c r="F1763" t="s">
        <v>29</v>
      </c>
      <c r="G1763" t="s">
        <v>22</v>
      </c>
      <c r="H1763">
        <v>30.33</v>
      </c>
      <c r="I1763" t="s">
        <v>38</v>
      </c>
      <c r="J1763">
        <v>17</v>
      </c>
      <c r="K1763">
        <v>152</v>
      </c>
      <c r="L1763">
        <v>87.18</v>
      </c>
      <c r="M1763">
        <v>28.12</v>
      </c>
      <c r="N1763">
        <v>21.62</v>
      </c>
      <c r="O1763">
        <v>11.89</v>
      </c>
      <c r="P1763">
        <v>300.36</v>
      </c>
      <c r="Q1763">
        <v>633</v>
      </c>
      <c r="R1763">
        <v>5</v>
      </c>
      <c r="S1763">
        <v>182</v>
      </c>
    </row>
    <row r="1764" spans="1:19" x14ac:dyDescent="0.3">
      <c r="A1764">
        <v>1763</v>
      </c>
      <c r="B1764" t="s">
        <v>1080</v>
      </c>
      <c r="C1764">
        <v>2024</v>
      </c>
      <c r="D1764" t="s">
        <v>96</v>
      </c>
      <c r="E1764">
        <v>4</v>
      </c>
      <c r="F1764" t="s">
        <v>21</v>
      </c>
      <c r="G1764" t="s">
        <v>22</v>
      </c>
      <c r="H1764">
        <v>23.03</v>
      </c>
      <c r="I1764" t="s">
        <v>32</v>
      </c>
      <c r="J1764">
        <v>49</v>
      </c>
      <c r="K1764">
        <v>204</v>
      </c>
      <c r="L1764">
        <v>85.99</v>
      </c>
      <c r="M1764">
        <v>17.739999999999998</v>
      </c>
      <c r="N1764">
        <v>17.16</v>
      </c>
      <c r="O1764">
        <v>10.99</v>
      </c>
      <c r="P1764">
        <v>197.16</v>
      </c>
      <c r="Q1764">
        <v>237</v>
      </c>
      <c r="R1764">
        <v>3</v>
      </c>
      <c r="S1764">
        <v>123</v>
      </c>
    </row>
    <row r="1765" spans="1:19" x14ac:dyDescent="0.3">
      <c r="A1765">
        <v>1764</v>
      </c>
      <c r="B1765" t="s">
        <v>1072</v>
      </c>
      <c r="C1765">
        <v>2024</v>
      </c>
      <c r="D1765" t="s">
        <v>96</v>
      </c>
      <c r="E1765">
        <v>4</v>
      </c>
      <c r="F1765" t="s">
        <v>29</v>
      </c>
      <c r="G1765" t="s">
        <v>40</v>
      </c>
      <c r="H1765">
        <v>22.27</v>
      </c>
      <c r="I1765" t="s">
        <v>23</v>
      </c>
      <c r="J1765">
        <v>50</v>
      </c>
      <c r="K1765">
        <v>539</v>
      </c>
      <c r="L1765">
        <v>77.239999999999995</v>
      </c>
      <c r="M1765">
        <v>6.83</v>
      </c>
      <c r="N1765">
        <v>19.21</v>
      </c>
      <c r="O1765">
        <v>2.44</v>
      </c>
      <c r="P1765">
        <v>310.25</v>
      </c>
      <c r="Q1765">
        <v>1047</v>
      </c>
      <c r="R1765">
        <v>3</v>
      </c>
      <c r="S1765">
        <v>215</v>
      </c>
    </row>
    <row r="1766" spans="1:19" x14ac:dyDescent="0.3">
      <c r="A1766">
        <v>1765</v>
      </c>
      <c r="B1766" t="s">
        <v>1077</v>
      </c>
      <c r="C1766">
        <v>2024</v>
      </c>
      <c r="D1766" t="s">
        <v>96</v>
      </c>
      <c r="E1766">
        <v>4</v>
      </c>
      <c r="F1766" t="s">
        <v>31</v>
      </c>
      <c r="G1766" t="s">
        <v>22</v>
      </c>
      <c r="H1766">
        <v>48.03</v>
      </c>
      <c r="I1766" t="s">
        <v>38</v>
      </c>
      <c r="J1766">
        <v>43</v>
      </c>
      <c r="K1766">
        <v>576</v>
      </c>
      <c r="L1766">
        <v>77.290000000000006</v>
      </c>
      <c r="M1766">
        <v>23.6</v>
      </c>
      <c r="N1766">
        <v>16.489999999999998</v>
      </c>
      <c r="O1766">
        <v>10.73</v>
      </c>
      <c r="P1766">
        <v>286.77999999999997</v>
      </c>
      <c r="Q1766">
        <v>231</v>
      </c>
      <c r="R1766">
        <v>4</v>
      </c>
      <c r="S1766">
        <v>154</v>
      </c>
    </row>
    <row r="1767" spans="1:19" x14ac:dyDescent="0.3">
      <c r="A1767">
        <v>1766</v>
      </c>
      <c r="B1767" t="s">
        <v>1084</v>
      </c>
      <c r="C1767">
        <v>2024</v>
      </c>
      <c r="D1767" t="s">
        <v>96</v>
      </c>
      <c r="E1767">
        <v>4</v>
      </c>
      <c r="F1767" t="s">
        <v>29</v>
      </c>
      <c r="G1767" t="s">
        <v>40</v>
      </c>
      <c r="H1767">
        <v>39.35</v>
      </c>
      <c r="I1767" t="s">
        <v>32</v>
      </c>
      <c r="J1767">
        <v>49</v>
      </c>
      <c r="K1767">
        <v>466</v>
      </c>
      <c r="L1767">
        <v>85.67</v>
      </c>
      <c r="M1767">
        <v>21.12</v>
      </c>
      <c r="N1767">
        <v>17.37</v>
      </c>
      <c r="O1767">
        <v>4.6500000000000004</v>
      </c>
      <c r="P1767">
        <v>451.89</v>
      </c>
      <c r="Q1767">
        <v>165</v>
      </c>
      <c r="R1767">
        <v>3</v>
      </c>
      <c r="S1767">
        <v>52</v>
      </c>
    </row>
    <row r="1768" spans="1:19" x14ac:dyDescent="0.3">
      <c r="A1768">
        <v>1767</v>
      </c>
      <c r="B1768" t="s">
        <v>1075</v>
      </c>
      <c r="C1768">
        <v>2024</v>
      </c>
      <c r="D1768" t="s">
        <v>96</v>
      </c>
      <c r="E1768">
        <v>4</v>
      </c>
      <c r="F1768" t="s">
        <v>31</v>
      </c>
      <c r="G1768" t="s">
        <v>22</v>
      </c>
      <c r="H1768">
        <v>54.23</v>
      </c>
      <c r="I1768" t="s">
        <v>27</v>
      </c>
      <c r="J1768">
        <v>38</v>
      </c>
      <c r="K1768">
        <v>417</v>
      </c>
      <c r="L1768">
        <v>94.82</v>
      </c>
      <c r="M1768">
        <v>32.9</v>
      </c>
      <c r="N1768">
        <v>16.38</v>
      </c>
      <c r="O1768">
        <v>14.76</v>
      </c>
      <c r="P1768">
        <v>550.1</v>
      </c>
      <c r="Q1768">
        <v>784</v>
      </c>
      <c r="R1768">
        <v>1</v>
      </c>
      <c r="S1768">
        <v>72</v>
      </c>
    </row>
    <row r="1769" spans="1:19" x14ac:dyDescent="0.3">
      <c r="A1769">
        <v>1768</v>
      </c>
      <c r="B1769" t="s">
        <v>1076</v>
      </c>
      <c r="C1769">
        <v>2024</v>
      </c>
      <c r="D1769" t="s">
        <v>96</v>
      </c>
      <c r="E1769">
        <v>4</v>
      </c>
      <c r="F1769" t="s">
        <v>29</v>
      </c>
      <c r="G1769" t="s">
        <v>40</v>
      </c>
      <c r="H1769">
        <v>52.96</v>
      </c>
      <c r="I1769" t="s">
        <v>38</v>
      </c>
      <c r="J1769">
        <v>43</v>
      </c>
      <c r="K1769">
        <v>297</v>
      </c>
      <c r="L1769">
        <v>88.66</v>
      </c>
      <c r="M1769">
        <v>30.2</v>
      </c>
      <c r="N1769">
        <v>7.74</v>
      </c>
      <c r="O1769">
        <v>9.01</v>
      </c>
      <c r="P1769">
        <v>598.69000000000005</v>
      </c>
      <c r="Q1769">
        <v>1073</v>
      </c>
      <c r="R1769">
        <v>5</v>
      </c>
      <c r="S1769">
        <v>241</v>
      </c>
    </row>
    <row r="1770" spans="1:19" x14ac:dyDescent="0.3">
      <c r="A1770">
        <v>1769</v>
      </c>
      <c r="B1770" t="s">
        <v>1085</v>
      </c>
      <c r="C1770">
        <v>2024</v>
      </c>
      <c r="D1770" t="s">
        <v>96</v>
      </c>
      <c r="E1770">
        <v>5</v>
      </c>
      <c r="F1770" t="s">
        <v>34</v>
      </c>
      <c r="G1770" t="s">
        <v>35</v>
      </c>
      <c r="H1770">
        <v>35.11</v>
      </c>
      <c r="I1770" t="s">
        <v>23</v>
      </c>
      <c r="J1770">
        <v>23</v>
      </c>
      <c r="K1770">
        <v>193</v>
      </c>
      <c r="L1770">
        <v>93.05</v>
      </c>
      <c r="M1770">
        <v>19.91</v>
      </c>
      <c r="N1770">
        <v>10.95</v>
      </c>
      <c r="O1770">
        <v>4.8099999999999996</v>
      </c>
      <c r="P1770">
        <v>103.38</v>
      </c>
      <c r="Q1770">
        <v>274</v>
      </c>
      <c r="R1770">
        <v>2</v>
      </c>
      <c r="S1770">
        <v>53</v>
      </c>
    </row>
    <row r="1771" spans="1:19" x14ac:dyDescent="0.3">
      <c r="A1771">
        <v>1770</v>
      </c>
      <c r="B1771" t="s">
        <v>1086</v>
      </c>
      <c r="C1771">
        <v>2024</v>
      </c>
      <c r="D1771" t="s">
        <v>96</v>
      </c>
      <c r="E1771">
        <v>5</v>
      </c>
      <c r="F1771" t="s">
        <v>62</v>
      </c>
      <c r="G1771" t="s">
        <v>35</v>
      </c>
      <c r="H1771">
        <v>12.95</v>
      </c>
      <c r="I1771" t="s">
        <v>47</v>
      </c>
      <c r="J1771">
        <v>5</v>
      </c>
      <c r="K1771">
        <v>378</v>
      </c>
      <c r="L1771">
        <v>91.9</v>
      </c>
      <c r="M1771">
        <v>15.45</v>
      </c>
      <c r="N1771">
        <v>17.170000000000002</v>
      </c>
      <c r="O1771">
        <v>3.19</v>
      </c>
      <c r="P1771">
        <v>176.01</v>
      </c>
      <c r="Q1771">
        <v>1045</v>
      </c>
      <c r="R1771">
        <v>5</v>
      </c>
      <c r="S1771">
        <v>144</v>
      </c>
    </row>
    <row r="1772" spans="1:19" x14ac:dyDescent="0.3">
      <c r="A1772">
        <v>1771</v>
      </c>
      <c r="B1772" t="s">
        <v>1087</v>
      </c>
      <c r="C1772">
        <v>2024</v>
      </c>
      <c r="D1772" t="s">
        <v>96</v>
      </c>
      <c r="E1772">
        <v>5</v>
      </c>
      <c r="F1772" t="s">
        <v>34</v>
      </c>
      <c r="G1772" t="s">
        <v>40</v>
      </c>
      <c r="H1772">
        <v>36.51</v>
      </c>
      <c r="I1772" t="s">
        <v>23</v>
      </c>
      <c r="J1772">
        <v>37</v>
      </c>
      <c r="K1772">
        <v>429</v>
      </c>
      <c r="L1772">
        <v>82.91</v>
      </c>
      <c r="M1772">
        <v>26.19</v>
      </c>
      <c r="N1772">
        <v>7.06</v>
      </c>
      <c r="O1772">
        <v>12.06</v>
      </c>
      <c r="P1772">
        <v>123.65</v>
      </c>
      <c r="Q1772">
        <v>847</v>
      </c>
      <c r="R1772">
        <v>1</v>
      </c>
      <c r="S1772">
        <v>58</v>
      </c>
    </row>
    <row r="1773" spans="1:19" x14ac:dyDescent="0.3">
      <c r="A1773">
        <v>1772</v>
      </c>
      <c r="B1773" t="s">
        <v>1085</v>
      </c>
      <c r="C1773">
        <v>2024</v>
      </c>
      <c r="D1773" t="s">
        <v>96</v>
      </c>
      <c r="E1773">
        <v>5</v>
      </c>
      <c r="F1773" t="s">
        <v>62</v>
      </c>
      <c r="G1773" t="s">
        <v>42</v>
      </c>
      <c r="H1773">
        <v>36.369999999999997</v>
      </c>
      <c r="I1773" t="s">
        <v>27</v>
      </c>
      <c r="J1773">
        <v>30</v>
      </c>
      <c r="K1773">
        <v>148</v>
      </c>
      <c r="L1773">
        <v>75.38</v>
      </c>
      <c r="M1773">
        <v>18.559999999999999</v>
      </c>
      <c r="N1773">
        <v>9.15</v>
      </c>
      <c r="O1773">
        <v>6.4</v>
      </c>
      <c r="P1773">
        <v>441.05</v>
      </c>
      <c r="Q1773">
        <v>814</v>
      </c>
      <c r="R1773">
        <v>3</v>
      </c>
      <c r="S1773">
        <v>105</v>
      </c>
    </row>
    <row r="1774" spans="1:19" x14ac:dyDescent="0.3">
      <c r="A1774">
        <v>1773</v>
      </c>
      <c r="B1774" t="s">
        <v>1088</v>
      </c>
      <c r="C1774">
        <v>2024</v>
      </c>
      <c r="D1774" t="s">
        <v>96</v>
      </c>
      <c r="E1774">
        <v>5</v>
      </c>
      <c r="F1774" t="s">
        <v>21</v>
      </c>
      <c r="G1774" t="s">
        <v>22</v>
      </c>
      <c r="H1774">
        <v>42.85</v>
      </c>
      <c r="I1774" t="s">
        <v>27</v>
      </c>
      <c r="J1774">
        <v>18</v>
      </c>
      <c r="K1774">
        <v>554</v>
      </c>
      <c r="L1774">
        <v>79.099999999999994</v>
      </c>
      <c r="M1774">
        <v>18.670000000000002</v>
      </c>
      <c r="N1774">
        <v>6.24</v>
      </c>
      <c r="O1774">
        <v>9.9600000000000009</v>
      </c>
      <c r="P1774">
        <v>131.07</v>
      </c>
      <c r="Q1774">
        <v>108</v>
      </c>
      <c r="R1774">
        <v>3</v>
      </c>
      <c r="S1774">
        <v>223</v>
      </c>
    </row>
    <row r="1775" spans="1:19" x14ac:dyDescent="0.3">
      <c r="A1775">
        <v>1774</v>
      </c>
      <c r="B1775" t="s">
        <v>1089</v>
      </c>
      <c r="C1775">
        <v>2024</v>
      </c>
      <c r="D1775" t="s">
        <v>96</v>
      </c>
      <c r="E1775">
        <v>5</v>
      </c>
      <c r="F1775" t="s">
        <v>21</v>
      </c>
      <c r="G1775" t="s">
        <v>22</v>
      </c>
      <c r="H1775">
        <v>11.15</v>
      </c>
      <c r="I1775" t="s">
        <v>23</v>
      </c>
      <c r="J1775">
        <v>8</v>
      </c>
      <c r="K1775">
        <v>478</v>
      </c>
      <c r="L1775">
        <v>87.51</v>
      </c>
      <c r="M1775">
        <v>6.27</v>
      </c>
      <c r="N1775">
        <v>17.760000000000002</v>
      </c>
      <c r="O1775">
        <v>7.52</v>
      </c>
      <c r="P1775">
        <v>468.69</v>
      </c>
      <c r="Q1775">
        <v>1095</v>
      </c>
      <c r="R1775">
        <v>3</v>
      </c>
      <c r="S1775">
        <v>99</v>
      </c>
    </row>
    <row r="1776" spans="1:19" x14ac:dyDescent="0.3">
      <c r="A1776">
        <v>1775</v>
      </c>
      <c r="B1776" t="s">
        <v>1090</v>
      </c>
      <c r="C1776">
        <v>2024</v>
      </c>
      <c r="D1776" t="s">
        <v>96</v>
      </c>
      <c r="E1776">
        <v>5</v>
      </c>
      <c r="F1776" t="s">
        <v>37</v>
      </c>
      <c r="G1776" t="s">
        <v>42</v>
      </c>
      <c r="H1776">
        <v>5.16</v>
      </c>
      <c r="I1776" t="s">
        <v>27</v>
      </c>
      <c r="J1776">
        <v>46</v>
      </c>
      <c r="K1776">
        <v>471</v>
      </c>
      <c r="L1776">
        <v>82.75</v>
      </c>
      <c r="M1776">
        <v>15.41</v>
      </c>
      <c r="N1776">
        <v>14.31</v>
      </c>
      <c r="O1776">
        <v>11.3</v>
      </c>
      <c r="P1776">
        <v>296.55</v>
      </c>
      <c r="Q1776">
        <v>185</v>
      </c>
      <c r="R1776">
        <v>5</v>
      </c>
      <c r="S1776">
        <v>154</v>
      </c>
    </row>
    <row r="1777" spans="1:19" x14ac:dyDescent="0.3">
      <c r="A1777">
        <v>1776</v>
      </c>
      <c r="B1777" t="s">
        <v>1091</v>
      </c>
      <c r="C1777">
        <v>2024</v>
      </c>
      <c r="D1777" t="s">
        <v>96</v>
      </c>
      <c r="E1777">
        <v>5</v>
      </c>
      <c r="F1777" t="s">
        <v>37</v>
      </c>
      <c r="G1777" t="s">
        <v>42</v>
      </c>
      <c r="H1777">
        <v>39.44</v>
      </c>
      <c r="I1777" t="s">
        <v>32</v>
      </c>
      <c r="J1777">
        <v>16</v>
      </c>
      <c r="K1777">
        <v>331</v>
      </c>
      <c r="L1777">
        <v>78.73</v>
      </c>
      <c r="M1777">
        <v>23.67</v>
      </c>
      <c r="N1777">
        <v>14.84</v>
      </c>
      <c r="O1777">
        <v>10.49</v>
      </c>
      <c r="P1777">
        <v>546.54999999999995</v>
      </c>
      <c r="Q1777">
        <v>565</v>
      </c>
      <c r="R1777">
        <v>2</v>
      </c>
      <c r="S1777">
        <v>153</v>
      </c>
    </row>
    <row r="1778" spans="1:19" x14ac:dyDescent="0.3">
      <c r="A1778">
        <v>1777</v>
      </c>
      <c r="B1778" t="s">
        <v>1092</v>
      </c>
      <c r="C1778">
        <v>2024</v>
      </c>
      <c r="D1778" t="s">
        <v>96</v>
      </c>
      <c r="E1778">
        <v>5</v>
      </c>
      <c r="F1778" t="s">
        <v>62</v>
      </c>
      <c r="G1778" t="s">
        <v>22</v>
      </c>
      <c r="H1778">
        <v>14.51</v>
      </c>
      <c r="I1778" t="s">
        <v>47</v>
      </c>
      <c r="J1778">
        <v>14</v>
      </c>
      <c r="K1778">
        <v>542</v>
      </c>
      <c r="L1778">
        <v>90.41</v>
      </c>
      <c r="M1778">
        <v>33.15</v>
      </c>
      <c r="N1778">
        <v>8.81</v>
      </c>
      <c r="O1778">
        <v>4.22</v>
      </c>
      <c r="P1778">
        <v>446.17</v>
      </c>
      <c r="Q1778">
        <v>929</v>
      </c>
      <c r="R1778">
        <v>2</v>
      </c>
      <c r="S1778">
        <v>81</v>
      </c>
    </row>
    <row r="1779" spans="1:19" x14ac:dyDescent="0.3">
      <c r="A1779">
        <v>1778</v>
      </c>
      <c r="B1779" t="s">
        <v>1093</v>
      </c>
      <c r="C1779">
        <v>2024</v>
      </c>
      <c r="D1779" t="s">
        <v>96</v>
      </c>
      <c r="E1779">
        <v>5</v>
      </c>
      <c r="F1779" t="s">
        <v>29</v>
      </c>
      <c r="G1779" t="s">
        <v>40</v>
      </c>
      <c r="H1779">
        <v>38.33</v>
      </c>
      <c r="I1779" t="s">
        <v>23</v>
      </c>
      <c r="J1779">
        <v>36</v>
      </c>
      <c r="K1779">
        <v>537</v>
      </c>
      <c r="L1779">
        <v>82.4</v>
      </c>
      <c r="M1779">
        <v>22.24</v>
      </c>
      <c r="N1779">
        <v>5.79</v>
      </c>
      <c r="O1779">
        <v>3.15</v>
      </c>
      <c r="P1779">
        <v>512.66999999999996</v>
      </c>
      <c r="Q1779">
        <v>119</v>
      </c>
      <c r="R1779">
        <v>2</v>
      </c>
      <c r="S1779">
        <v>105</v>
      </c>
    </row>
    <row r="1780" spans="1:19" x14ac:dyDescent="0.3">
      <c r="A1780">
        <v>1779</v>
      </c>
      <c r="B1780" t="s">
        <v>1094</v>
      </c>
      <c r="C1780">
        <v>2024</v>
      </c>
      <c r="D1780" t="s">
        <v>96</v>
      </c>
      <c r="E1780">
        <v>5</v>
      </c>
      <c r="F1780" t="s">
        <v>29</v>
      </c>
      <c r="G1780" t="s">
        <v>22</v>
      </c>
      <c r="H1780">
        <v>25.66</v>
      </c>
      <c r="I1780" t="s">
        <v>27</v>
      </c>
      <c r="J1780">
        <v>18</v>
      </c>
      <c r="K1780">
        <v>236</v>
      </c>
      <c r="L1780">
        <v>93.91</v>
      </c>
      <c r="M1780">
        <v>9.18</v>
      </c>
      <c r="N1780">
        <v>8.08</v>
      </c>
      <c r="O1780">
        <v>14.82</v>
      </c>
      <c r="P1780">
        <v>499.35</v>
      </c>
      <c r="Q1780">
        <v>1080</v>
      </c>
      <c r="R1780">
        <v>2</v>
      </c>
      <c r="S1780">
        <v>113</v>
      </c>
    </row>
    <row r="1781" spans="1:19" x14ac:dyDescent="0.3">
      <c r="A1781">
        <v>1780</v>
      </c>
      <c r="B1781" t="s">
        <v>1095</v>
      </c>
      <c r="C1781">
        <v>2024</v>
      </c>
      <c r="D1781" t="s">
        <v>96</v>
      </c>
      <c r="E1781">
        <v>5</v>
      </c>
      <c r="F1781" t="s">
        <v>29</v>
      </c>
      <c r="G1781" t="s">
        <v>40</v>
      </c>
      <c r="H1781">
        <v>28.11</v>
      </c>
      <c r="I1781" t="s">
        <v>47</v>
      </c>
      <c r="J1781">
        <v>16</v>
      </c>
      <c r="K1781">
        <v>171</v>
      </c>
      <c r="L1781">
        <v>79.02</v>
      </c>
      <c r="M1781">
        <v>12.76</v>
      </c>
      <c r="N1781">
        <v>7.42</v>
      </c>
      <c r="O1781">
        <v>1.59</v>
      </c>
      <c r="P1781">
        <v>398.69</v>
      </c>
      <c r="Q1781">
        <v>1032</v>
      </c>
      <c r="R1781">
        <v>1</v>
      </c>
      <c r="S1781">
        <v>121</v>
      </c>
    </row>
    <row r="1782" spans="1:19" x14ac:dyDescent="0.3">
      <c r="A1782">
        <v>1781</v>
      </c>
      <c r="B1782" t="s">
        <v>1092</v>
      </c>
      <c r="C1782">
        <v>2024</v>
      </c>
      <c r="D1782" t="s">
        <v>96</v>
      </c>
      <c r="E1782">
        <v>5</v>
      </c>
      <c r="F1782" t="s">
        <v>37</v>
      </c>
      <c r="G1782" t="s">
        <v>35</v>
      </c>
      <c r="H1782">
        <v>54.57</v>
      </c>
      <c r="I1782" t="s">
        <v>47</v>
      </c>
      <c r="J1782">
        <v>34</v>
      </c>
      <c r="K1782">
        <v>142</v>
      </c>
      <c r="L1782">
        <v>80.319999999999993</v>
      </c>
      <c r="M1782">
        <v>20.32</v>
      </c>
      <c r="N1782">
        <v>16.64</v>
      </c>
      <c r="O1782">
        <v>12.28</v>
      </c>
      <c r="P1782">
        <v>341.01</v>
      </c>
      <c r="Q1782">
        <v>672</v>
      </c>
      <c r="R1782">
        <v>4</v>
      </c>
      <c r="S1782">
        <v>57</v>
      </c>
    </row>
    <row r="1783" spans="1:19" x14ac:dyDescent="0.3">
      <c r="A1783">
        <v>1782</v>
      </c>
      <c r="B1783" t="s">
        <v>1088</v>
      </c>
      <c r="C1783">
        <v>2024</v>
      </c>
      <c r="D1783" t="s">
        <v>96</v>
      </c>
      <c r="E1783">
        <v>5</v>
      </c>
      <c r="F1783" t="s">
        <v>53</v>
      </c>
      <c r="G1783" t="s">
        <v>42</v>
      </c>
      <c r="H1783">
        <v>38.36</v>
      </c>
      <c r="I1783" t="s">
        <v>27</v>
      </c>
      <c r="J1783">
        <v>34</v>
      </c>
      <c r="K1783">
        <v>280</v>
      </c>
      <c r="L1783">
        <v>82.12</v>
      </c>
      <c r="M1783">
        <v>27.54</v>
      </c>
      <c r="N1783">
        <v>4.8899999999999997</v>
      </c>
      <c r="O1783">
        <v>5.6</v>
      </c>
      <c r="P1783">
        <v>451.55</v>
      </c>
      <c r="Q1783">
        <v>632</v>
      </c>
      <c r="R1783">
        <v>3</v>
      </c>
      <c r="S1783">
        <v>93</v>
      </c>
    </row>
    <row r="1784" spans="1:19" x14ac:dyDescent="0.3">
      <c r="A1784">
        <v>1783</v>
      </c>
      <c r="B1784" t="s">
        <v>1096</v>
      </c>
      <c r="C1784">
        <v>2024</v>
      </c>
      <c r="D1784" t="s">
        <v>96</v>
      </c>
      <c r="E1784">
        <v>5</v>
      </c>
      <c r="F1784" t="s">
        <v>21</v>
      </c>
      <c r="G1784" t="s">
        <v>42</v>
      </c>
      <c r="H1784">
        <v>37.65</v>
      </c>
      <c r="I1784" t="s">
        <v>32</v>
      </c>
      <c r="J1784">
        <v>50</v>
      </c>
      <c r="K1784">
        <v>510</v>
      </c>
      <c r="L1784">
        <v>76.13</v>
      </c>
      <c r="M1784">
        <v>16.239999999999998</v>
      </c>
      <c r="N1784">
        <v>10.92</v>
      </c>
      <c r="O1784">
        <v>1.88</v>
      </c>
      <c r="P1784">
        <v>313.14</v>
      </c>
      <c r="Q1784">
        <v>894</v>
      </c>
      <c r="R1784">
        <v>2</v>
      </c>
      <c r="S1784">
        <v>134</v>
      </c>
    </row>
    <row r="1785" spans="1:19" x14ac:dyDescent="0.3">
      <c r="A1785">
        <v>1784</v>
      </c>
      <c r="B1785" t="s">
        <v>1085</v>
      </c>
      <c r="C1785">
        <v>2024</v>
      </c>
      <c r="D1785" t="s">
        <v>96</v>
      </c>
      <c r="E1785">
        <v>5</v>
      </c>
      <c r="F1785" t="s">
        <v>34</v>
      </c>
      <c r="G1785" t="s">
        <v>26</v>
      </c>
      <c r="H1785">
        <v>39.94</v>
      </c>
      <c r="I1785" t="s">
        <v>32</v>
      </c>
      <c r="J1785">
        <v>4</v>
      </c>
      <c r="K1785">
        <v>407</v>
      </c>
      <c r="L1785">
        <v>91.27</v>
      </c>
      <c r="M1785">
        <v>6.67</v>
      </c>
      <c r="N1785">
        <v>20.65</v>
      </c>
      <c r="O1785">
        <v>4.12</v>
      </c>
      <c r="P1785">
        <v>190.41</v>
      </c>
      <c r="Q1785">
        <v>294</v>
      </c>
      <c r="R1785">
        <v>1</v>
      </c>
      <c r="S1785">
        <v>203</v>
      </c>
    </row>
    <row r="1786" spans="1:19" x14ac:dyDescent="0.3">
      <c r="A1786">
        <v>1785</v>
      </c>
      <c r="B1786" t="s">
        <v>1097</v>
      </c>
      <c r="C1786">
        <v>2024</v>
      </c>
      <c r="D1786" t="s">
        <v>96</v>
      </c>
      <c r="E1786">
        <v>5</v>
      </c>
      <c r="F1786" t="s">
        <v>25</v>
      </c>
      <c r="G1786" t="s">
        <v>22</v>
      </c>
      <c r="H1786">
        <v>54.39</v>
      </c>
      <c r="I1786" t="s">
        <v>23</v>
      </c>
      <c r="J1786">
        <v>18</v>
      </c>
      <c r="K1786">
        <v>169</v>
      </c>
      <c r="L1786">
        <v>87.45</v>
      </c>
      <c r="M1786">
        <v>31.87</v>
      </c>
      <c r="N1786">
        <v>15.86</v>
      </c>
      <c r="O1786">
        <v>14.24</v>
      </c>
      <c r="P1786">
        <v>243.5</v>
      </c>
      <c r="Q1786">
        <v>976</v>
      </c>
      <c r="R1786">
        <v>3</v>
      </c>
      <c r="S1786">
        <v>87</v>
      </c>
    </row>
    <row r="1787" spans="1:19" x14ac:dyDescent="0.3">
      <c r="A1787">
        <v>1786</v>
      </c>
      <c r="B1787" t="s">
        <v>1097</v>
      </c>
      <c r="C1787">
        <v>2024</v>
      </c>
      <c r="D1787" t="s">
        <v>96</v>
      </c>
      <c r="E1787">
        <v>5</v>
      </c>
      <c r="F1787" t="s">
        <v>29</v>
      </c>
      <c r="G1787" t="s">
        <v>26</v>
      </c>
      <c r="H1787">
        <v>36.97</v>
      </c>
      <c r="I1787" t="s">
        <v>32</v>
      </c>
      <c r="J1787">
        <v>24</v>
      </c>
      <c r="K1787">
        <v>330</v>
      </c>
      <c r="L1787">
        <v>85.42</v>
      </c>
      <c r="M1787">
        <v>33.14</v>
      </c>
      <c r="N1787">
        <v>17.23</v>
      </c>
      <c r="O1787">
        <v>15.44</v>
      </c>
      <c r="P1787">
        <v>566.27</v>
      </c>
      <c r="Q1787">
        <v>1088</v>
      </c>
      <c r="R1787">
        <v>4</v>
      </c>
      <c r="S1787">
        <v>58</v>
      </c>
    </row>
    <row r="1788" spans="1:19" x14ac:dyDescent="0.3">
      <c r="A1788">
        <v>1787</v>
      </c>
      <c r="B1788" t="s">
        <v>1085</v>
      </c>
      <c r="C1788">
        <v>2024</v>
      </c>
      <c r="D1788" t="s">
        <v>96</v>
      </c>
      <c r="E1788">
        <v>5</v>
      </c>
      <c r="F1788" t="s">
        <v>34</v>
      </c>
      <c r="G1788" t="s">
        <v>26</v>
      </c>
      <c r="H1788">
        <v>33.03</v>
      </c>
      <c r="I1788" t="s">
        <v>47</v>
      </c>
      <c r="J1788">
        <v>43</v>
      </c>
      <c r="K1788">
        <v>473</v>
      </c>
      <c r="L1788">
        <v>91.34</v>
      </c>
      <c r="M1788">
        <v>14.33</v>
      </c>
      <c r="N1788">
        <v>16.829999999999998</v>
      </c>
      <c r="O1788">
        <v>10.4</v>
      </c>
      <c r="P1788">
        <v>593.74</v>
      </c>
      <c r="Q1788">
        <v>371</v>
      </c>
      <c r="R1788">
        <v>5</v>
      </c>
      <c r="S1788">
        <v>122</v>
      </c>
    </row>
    <row r="1789" spans="1:19" x14ac:dyDescent="0.3">
      <c r="A1789">
        <v>1788</v>
      </c>
      <c r="B1789" t="s">
        <v>1098</v>
      </c>
      <c r="C1789">
        <v>2024</v>
      </c>
      <c r="D1789" t="s">
        <v>96</v>
      </c>
      <c r="E1789">
        <v>5</v>
      </c>
      <c r="F1789" t="s">
        <v>53</v>
      </c>
      <c r="G1789" t="s">
        <v>40</v>
      </c>
      <c r="H1789">
        <v>38.799999999999997</v>
      </c>
      <c r="I1789" t="s">
        <v>38</v>
      </c>
      <c r="J1789">
        <v>27</v>
      </c>
      <c r="K1789">
        <v>151</v>
      </c>
      <c r="L1789">
        <v>93.54</v>
      </c>
      <c r="M1789">
        <v>24.58</v>
      </c>
      <c r="N1789">
        <v>7.29</v>
      </c>
      <c r="O1789">
        <v>15.25</v>
      </c>
      <c r="P1789">
        <v>121.54</v>
      </c>
      <c r="Q1789">
        <v>351</v>
      </c>
      <c r="R1789">
        <v>1</v>
      </c>
      <c r="S1789">
        <v>135</v>
      </c>
    </row>
    <row r="1790" spans="1:19" x14ac:dyDescent="0.3">
      <c r="A1790">
        <v>1789</v>
      </c>
      <c r="B1790" t="s">
        <v>1099</v>
      </c>
      <c r="C1790">
        <v>2024</v>
      </c>
      <c r="D1790" t="s">
        <v>96</v>
      </c>
      <c r="E1790">
        <v>5</v>
      </c>
      <c r="F1790" t="s">
        <v>62</v>
      </c>
      <c r="G1790" t="s">
        <v>35</v>
      </c>
      <c r="H1790">
        <v>28.23</v>
      </c>
      <c r="I1790" t="s">
        <v>38</v>
      </c>
      <c r="J1790">
        <v>9</v>
      </c>
      <c r="K1790">
        <v>252</v>
      </c>
      <c r="L1790">
        <v>88.48</v>
      </c>
      <c r="M1790">
        <v>18.2</v>
      </c>
      <c r="N1790">
        <v>11.05</v>
      </c>
      <c r="O1790">
        <v>7.93</v>
      </c>
      <c r="P1790">
        <v>415.94</v>
      </c>
      <c r="Q1790">
        <v>296</v>
      </c>
      <c r="R1790">
        <v>3</v>
      </c>
      <c r="S1790">
        <v>94</v>
      </c>
    </row>
    <row r="1791" spans="1:19" x14ac:dyDescent="0.3">
      <c r="A1791">
        <v>1790</v>
      </c>
      <c r="B1791" t="s">
        <v>1087</v>
      </c>
      <c r="C1791">
        <v>2024</v>
      </c>
      <c r="D1791" t="s">
        <v>96</v>
      </c>
      <c r="E1791">
        <v>5</v>
      </c>
      <c r="F1791" t="s">
        <v>37</v>
      </c>
      <c r="G1791" t="s">
        <v>26</v>
      </c>
      <c r="H1791">
        <v>46.62</v>
      </c>
      <c r="I1791" t="s">
        <v>47</v>
      </c>
      <c r="J1791">
        <v>24</v>
      </c>
      <c r="K1791">
        <v>561</v>
      </c>
      <c r="L1791">
        <v>84</v>
      </c>
      <c r="M1791">
        <v>15</v>
      </c>
      <c r="N1791">
        <v>19.98</v>
      </c>
      <c r="O1791">
        <v>2.2999999999999998</v>
      </c>
      <c r="P1791">
        <v>174.1</v>
      </c>
      <c r="Q1791">
        <v>670</v>
      </c>
      <c r="R1791">
        <v>4</v>
      </c>
      <c r="S1791">
        <v>167</v>
      </c>
    </row>
    <row r="1792" spans="1:19" x14ac:dyDescent="0.3">
      <c r="A1792">
        <v>1791</v>
      </c>
      <c r="B1792" t="s">
        <v>1087</v>
      </c>
      <c r="C1792">
        <v>2024</v>
      </c>
      <c r="D1792" t="s">
        <v>96</v>
      </c>
      <c r="E1792">
        <v>5</v>
      </c>
      <c r="F1792" t="s">
        <v>37</v>
      </c>
      <c r="G1792" t="s">
        <v>40</v>
      </c>
      <c r="H1792">
        <v>22.13</v>
      </c>
      <c r="I1792" t="s">
        <v>38</v>
      </c>
      <c r="J1792">
        <v>7</v>
      </c>
      <c r="K1792">
        <v>171</v>
      </c>
      <c r="L1792">
        <v>89.23</v>
      </c>
      <c r="M1792">
        <v>27.1</v>
      </c>
      <c r="N1792">
        <v>15.09</v>
      </c>
      <c r="O1792">
        <v>15.58</v>
      </c>
      <c r="P1792">
        <v>388.45</v>
      </c>
      <c r="Q1792">
        <v>879</v>
      </c>
      <c r="R1792">
        <v>3</v>
      </c>
      <c r="S1792">
        <v>169</v>
      </c>
    </row>
    <row r="1793" spans="1:19" x14ac:dyDescent="0.3">
      <c r="A1793">
        <v>1792</v>
      </c>
      <c r="B1793" t="s">
        <v>1100</v>
      </c>
      <c r="C1793">
        <v>2024</v>
      </c>
      <c r="D1793" t="s">
        <v>96</v>
      </c>
      <c r="E1793">
        <v>5</v>
      </c>
      <c r="F1793" t="s">
        <v>29</v>
      </c>
      <c r="G1793" t="s">
        <v>22</v>
      </c>
      <c r="H1793">
        <v>32.4</v>
      </c>
      <c r="I1793" t="s">
        <v>27</v>
      </c>
      <c r="J1793">
        <v>4</v>
      </c>
      <c r="K1793">
        <v>184</v>
      </c>
      <c r="L1793">
        <v>84.59</v>
      </c>
      <c r="M1793">
        <v>30.67</v>
      </c>
      <c r="N1793">
        <v>12.74</v>
      </c>
      <c r="O1793">
        <v>11.26</v>
      </c>
      <c r="P1793">
        <v>229.42</v>
      </c>
      <c r="Q1793">
        <v>839</v>
      </c>
      <c r="R1793">
        <v>5</v>
      </c>
      <c r="S1793">
        <v>81</v>
      </c>
    </row>
    <row r="1794" spans="1:19" x14ac:dyDescent="0.3">
      <c r="A1794">
        <v>1793</v>
      </c>
      <c r="B1794" t="s">
        <v>1097</v>
      </c>
      <c r="C1794">
        <v>2024</v>
      </c>
      <c r="D1794" t="s">
        <v>96</v>
      </c>
      <c r="E1794">
        <v>5</v>
      </c>
      <c r="F1794" t="s">
        <v>53</v>
      </c>
      <c r="G1794" t="s">
        <v>26</v>
      </c>
      <c r="H1794">
        <v>36.19</v>
      </c>
      <c r="I1794" t="s">
        <v>38</v>
      </c>
      <c r="J1794">
        <v>38</v>
      </c>
      <c r="K1794">
        <v>420</v>
      </c>
      <c r="L1794">
        <v>86.25</v>
      </c>
      <c r="M1794">
        <v>15.29</v>
      </c>
      <c r="N1794">
        <v>9.0399999999999991</v>
      </c>
      <c r="O1794">
        <v>2.2000000000000002</v>
      </c>
      <c r="P1794">
        <v>286.72000000000003</v>
      </c>
      <c r="Q1794">
        <v>731</v>
      </c>
      <c r="R1794">
        <v>5</v>
      </c>
      <c r="S1794">
        <v>160</v>
      </c>
    </row>
    <row r="1795" spans="1:19" x14ac:dyDescent="0.3">
      <c r="A1795">
        <v>1794</v>
      </c>
      <c r="B1795" t="s">
        <v>1097</v>
      </c>
      <c r="C1795">
        <v>2024</v>
      </c>
      <c r="D1795" t="s">
        <v>96</v>
      </c>
      <c r="E1795">
        <v>5</v>
      </c>
      <c r="F1795" t="s">
        <v>31</v>
      </c>
      <c r="G1795" t="s">
        <v>35</v>
      </c>
      <c r="H1795">
        <v>18.02</v>
      </c>
      <c r="I1795" t="s">
        <v>23</v>
      </c>
      <c r="J1795">
        <v>2</v>
      </c>
      <c r="K1795">
        <v>193</v>
      </c>
      <c r="L1795">
        <v>91.68</v>
      </c>
      <c r="M1795">
        <v>20.85</v>
      </c>
      <c r="N1795">
        <v>18.39</v>
      </c>
      <c r="O1795">
        <v>12.76</v>
      </c>
      <c r="P1795">
        <v>130.93</v>
      </c>
      <c r="Q1795">
        <v>192</v>
      </c>
      <c r="R1795">
        <v>1</v>
      </c>
      <c r="S1795">
        <v>198</v>
      </c>
    </row>
    <row r="1796" spans="1:19" x14ac:dyDescent="0.3">
      <c r="A1796">
        <v>1795</v>
      </c>
      <c r="B1796" t="s">
        <v>1101</v>
      </c>
      <c r="C1796">
        <v>2024</v>
      </c>
      <c r="D1796" t="s">
        <v>96</v>
      </c>
      <c r="E1796">
        <v>5</v>
      </c>
      <c r="F1796" t="s">
        <v>31</v>
      </c>
      <c r="G1796" t="s">
        <v>22</v>
      </c>
      <c r="H1796">
        <v>53.9</v>
      </c>
      <c r="I1796" t="s">
        <v>32</v>
      </c>
      <c r="J1796">
        <v>7</v>
      </c>
      <c r="K1796">
        <v>596</v>
      </c>
      <c r="L1796">
        <v>77.19</v>
      </c>
      <c r="M1796">
        <v>19.5</v>
      </c>
      <c r="N1796">
        <v>2.34</v>
      </c>
      <c r="O1796">
        <v>9.7200000000000006</v>
      </c>
      <c r="P1796">
        <v>307.26</v>
      </c>
      <c r="Q1796">
        <v>311</v>
      </c>
      <c r="R1796">
        <v>1</v>
      </c>
      <c r="S1796">
        <v>92</v>
      </c>
    </row>
    <row r="1797" spans="1:19" x14ac:dyDescent="0.3">
      <c r="A1797">
        <v>1796</v>
      </c>
      <c r="B1797" t="s">
        <v>1100</v>
      </c>
      <c r="C1797">
        <v>2024</v>
      </c>
      <c r="D1797" t="s">
        <v>96</v>
      </c>
      <c r="E1797">
        <v>5</v>
      </c>
      <c r="F1797" t="s">
        <v>21</v>
      </c>
      <c r="G1797" t="s">
        <v>40</v>
      </c>
      <c r="H1797">
        <v>11.93</v>
      </c>
      <c r="I1797" t="s">
        <v>27</v>
      </c>
      <c r="J1797">
        <v>27</v>
      </c>
      <c r="K1797">
        <v>237</v>
      </c>
      <c r="L1797">
        <v>81.06</v>
      </c>
      <c r="M1797">
        <v>6.56</v>
      </c>
      <c r="N1797">
        <v>15.75</v>
      </c>
      <c r="O1797">
        <v>9.9499999999999993</v>
      </c>
      <c r="P1797">
        <v>470.5</v>
      </c>
      <c r="Q1797">
        <v>543</v>
      </c>
      <c r="R1797">
        <v>5</v>
      </c>
      <c r="S1797">
        <v>216</v>
      </c>
    </row>
    <row r="1798" spans="1:19" x14ac:dyDescent="0.3">
      <c r="A1798">
        <v>1797</v>
      </c>
      <c r="B1798" t="s">
        <v>1091</v>
      </c>
      <c r="C1798">
        <v>2024</v>
      </c>
      <c r="D1798" t="s">
        <v>96</v>
      </c>
      <c r="E1798">
        <v>5</v>
      </c>
      <c r="F1798" t="s">
        <v>29</v>
      </c>
      <c r="G1798" t="s">
        <v>42</v>
      </c>
      <c r="H1798">
        <v>45.44</v>
      </c>
      <c r="I1798" t="s">
        <v>47</v>
      </c>
      <c r="J1798">
        <v>21</v>
      </c>
      <c r="K1798">
        <v>564</v>
      </c>
      <c r="L1798">
        <v>78.88</v>
      </c>
      <c r="M1798">
        <v>21.83</v>
      </c>
      <c r="N1798">
        <v>11.53</v>
      </c>
      <c r="O1798">
        <v>13.89</v>
      </c>
      <c r="P1798">
        <v>334.05</v>
      </c>
      <c r="Q1798">
        <v>1098</v>
      </c>
      <c r="R1798">
        <v>1</v>
      </c>
      <c r="S1798">
        <v>81</v>
      </c>
    </row>
    <row r="1799" spans="1:19" x14ac:dyDescent="0.3">
      <c r="A1799">
        <v>1798</v>
      </c>
      <c r="B1799" t="s">
        <v>1098</v>
      </c>
      <c r="C1799">
        <v>2024</v>
      </c>
      <c r="D1799" t="s">
        <v>96</v>
      </c>
      <c r="E1799">
        <v>5</v>
      </c>
      <c r="F1799" t="s">
        <v>62</v>
      </c>
      <c r="G1799" t="s">
        <v>40</v>
      </c>
      <c r="H1799">
        <v>46.18</v>
      </c>
      <c r="I1799" t="s">
        <v>32</v>
      </c>
      <c r="J1799">
        <v>10</v>
      </c>
      <c r="K1799">
        <v>304</v>
      </c>
      <c r="L1799">
        <v>87.61</v>
      </c>
      <c r="M1799">
        <v>6.02</v>
      </c>
      <c r="N1799">
        <v>17.93</v>
      </c>
      <c r="O1799">
        <v>5.09</v>
      </c>
      <c r="P1799">
        <v>278.14</v>
      </c>
      <c r="Q1799">
        <v>372</v>
      </c>
      <c r="R1799">
        <v>4</v>
      </c>
      <c r="S1799">
        <v>80</v>
      </c>
    </row>
    <row r="1800" spans="1:19" x14ac:dyDescent="0.3">
      <c r="A1800">
        <v>1799</v>
      </c>
      <c r="B1800" t="s">
        <v>1093</v>
      </c>
      <c r="C1800">
        <v>2024</v>
      </c>
      <c r="D1800" t="s">
        <v>96</v>
      </c>
      <c r="E1800">
        <v>5</v>
      </c>
      <c r="F1800" t="s">
        <v>34</v>
      </c>
      <c r="G1800" t="s">
        <v>35</v>
      </c>
      <c r="H1800">
        <v>24.96</v>
      </c>
      <c r="I1800" t="s">
        <v>38</v>
      </c>
      <c r="J1800">
        <v>39</v>
      </c>
      <c r="K1800">
        <v>142</v>
      </c>
      <c r="L1800">
        <v>76.099999999999994</v>
      </c>
      <c r="M1800">
        <v>30.79</v>
      </c>
      <c r="N1800">
        <v>18.63</v>
      </c>
      <c r="O1800">
        <v>1.08</v>
      </c>
      <c r="P1800">
        <v>304.04000000000002</v>
      </c>
      <c r="Q1800">
        <v>394</v>
      </c>
      <c r="R1800">
        <v>3</v>
      </c>
      <c r="S1800">
        <v>134</v>
      </c>
    </row>
    <row r="1801" spans="1:19" x14ac:dyDescent="0.3">
      <c r="A1801">
        <v>1800</v>
      </c>
      <c r="B1801" t="s">
        <v>1094</v>
      </c>
      <c r="C1801">
        <v>2024</v>
      </c>
      <c r="D1801" t="s">
        <v>96</v>
      </c>
      <c r="E1801">
        <v>5</v>
      </c>
      <c r="F1801" t="s">
        <v>34</v>
      </c>
      <c r="G1801" t="s">
        <v>26</v>
      </c>
      <c r="H1801">
        <v>20.73</v>
      </c>
      <c r="I1801" t="s">
        <v>27</v>
      </c>
      <c r="J1801">
        <v>48</v>
      </c>
      <c r="K1801">
        <v>191</v>
      </c>
      <c r="L1801">
        <v>77.86</v>
      </c>
      <c r="M1801">
        <v>7.01</v>
      </c>
      <c r="N1801">
        <v>17.579999999999998</v>
      </c>
      <c r="O1801">
        <v>8.7200000000000006</v>
      </c>
      <c r="P1801">
        <v>445.13</v>
      </c>
      <c r="Q1801">
        <v>537</v>
      </c>
      <c r="R1801">
        <v>1</v>
      </c>
      <c r="S1801">
        <v>239</v>
      </c>
    </row>
    <row r="1802" spans="1:19" x14ac:dyDescent="0.3">
      <c r="A1802">
        <v>1801</v>
      </c>
      <c r="B1802" t="s">
        <v>1094</v>
      </c>
      <c r="C1802">
        <v>2024</v>
      </c>
      <c r="D1802" t="s">
        <v>96</v>
      </c>
      <c r="E1802">
        <v>5</v>
      </c>
      <c r="F1802" t="s">
        <v>37</v>
      </c>
      <c r="G1802" t="s">
        <v>40</v>
      </c>
      <c r="H1802">
        <v>10.29</v>
      </c>
      <c r="I1802" t="s">
        <v>47</v>
      </c>
      <c r="J1802">
        <v>38</v>
      </c>
      <c r="K1802">
        <v>455</v>
      </c>
      <c r="L1802">
        <v>81.2</v>
      </c>
      <c r="M1802">
        <v>6.07</v>
      </c>
      <c r="N1802">
        <v>11.6</v>
      </c>
      <c r="O1802">
        <v>11.35</v>
      </c>
      <c r="P1802">
        <v>557.09</v>
      </c>
      <c r="Q1802">
        <v>589</v>
      </c>
      <c r="R1802">
        <v>4</v>
      </c>
      <c r="S1802">
        <v>186</v>
      </c>
    </row>
    <row r="1803" spans="1:19" x14ac:dyDescent="0.3">
      <c r="A1803">
        <v>1802</v>
      </c>
      <c r="B1803" t="s">
        <v>1091</v>
      </c>
      <c r="C1803">
        <v>2024</v>
      </c>
      <c r="D1803" t="s">
        <v>96</v>
      </c>
      <c r="E1803">
        <v>5</v>
      </c>
      <c r="F1803" t="s">
        <v>62</v>
      </c>
      <c r="G1803" t="s">
        <v>22</v>
      </c>
      <c r="H1803">
        <v>12.56</v>
      </c>
      <c r="I1803" t="s">
        <v>23</v>
      </c>
      <c r="J1803">
        <v>34</v>
      </c>
      <c r="K1803">
        <v>188</v>
      </c>
      <c r="L1803">
        <v>91.67</v>
      </c>
      <c r="M1803">
        <v>7.26</v>
      </c>
      <c r="N1803">
        <v>18.8</v>
      </c>
      <c r="O1803">
        <v>3</v>
      </c>
      <c r="P1803">
        <v>335.92</v>
      </c>
      <c r="Q1803">
        <v>573</v>
      </c>
      <c r="R1803">
        <v>2</v>
      </c>
      <c r="S1803">
        <v>185</v>
      </c>
    </row>
    <row r="1804" spans="1:19" x14ac:dyDescent="0.3">
      <c r="A1804">
        <v>1803</v>
      </c>
      <c r="B1804" t="s">
        <v>1102</v>
      </c>
      <c r="C1804">
        <v>2024</v>
      </c>
      <c r="D1804" t="s">
        <v>96</v>
      </c>
      <c r="E1804">
        <v>6</v>
      </c>
      <c r="F1804" t="s">
        <v>29</v>
      </c>
      <c r="G1804" t="s">
        <v>40</v>
      </c>
      <c r="H1804">
        <v>39.979999999999997</v>
      </c>
      <c r="I1804" t="s">
        <v>27</v>
      </c>
      <c r="J1804">
        <v>13</v>
      </c>
      <c r="K1804">
        <v>290</v>
      </c>
      <c r="L1804">
        <v>92.36</v>
      </c>
      <c r="M1804">
        <v>14.95</v>
      </c>
      <c r="N1804">
        <v>9.25</v>
      </c>
      <c r="O1804">
        <v>4.9000000000000004</v>
      </c>
      <c r="P1804">
        <v>354.46</v>
      </c>
      <c r="Q1804">
        <v>810</v>
      </c>
      <c r="R1804">
        <v>2</v>
      </c>
      <c r="S1804">
        <v>165</v>
      </c>
    </row>
    <row r="1805" spans="1:19" x14ac:dyDescent="0.3">
      <c r="A1805">
        <v>1804</v>
      </c>
      <c r="B1805" t="s">
        <v>1103</v>
      </c>
      <c r="C1805">
        <v>2024</v>
      </c>
      <c r="D1805" t="s">
        <v>96</v>
      </c>
      <c r="E1805">
        <v>6</v>
      </c>
      <c r="F1805" t="s">
        <v>25</v>
      </c>
      <c r="G1805" t="s">
        <v>22</v>
      </c>
      <c r="H1805">
        <v>54.28</v>
      </c>
      <c r="I1805" t="s">
        <v>38</v>
      </c>
      <c r="J1805">
        <v>44</v>
      </c>
      <c r="K1805">
        <v>196</v>
      </c>
      <c r="L1805">
        <v>84.32</v>
      </c>
      <c r="M1805">
        <v>34.74</v>
      </c>
      <c r="N1805">
        <v>13.49</v>
      </c>
      <c r="O1805">
        <v>11.19</v>
      </c>
      <c r="P1805">
        <v>486.87</v>
      </c>
      <c r="Q1805">
        <v>961</v>
      </c>
      <c r="R1805">
        <v>3</v>
      </c>
      <c r="S1805">
        <v>90</v>
      </c>
    </row>
    <row r="1806" spans="1:19" x14ac:dyDescent="0.3">
      <c r="A1806">
        <v>1805</v>
      </c>
      <c r="B1806" t="s">
        <v>1104</v>
      </c>
      <c r="C1806">
        <v>2024</v>
      </c>
      <c r="D1806" t="s">
        <v>96</v>
      </c>
      <c r="E1806">
        <v>6</v>
      </c>
      <c r="F1806" t="s">
        <v>62</v>
      </c>
      <c r="G1806" t="s">
        <v>40</v>
      </c>
      <c r="H1806">
        <v>14.31</v>
      </c>
      <c r="I1806" t="s">
        <v>38</v>
      </c>
      <c r="J1806">
        <v>8</v>
      </c>
      <c r="K1806">
        <v>497</v>
      </c>
      <c r="L1806">
        <v>82.87</v>
      </c>
      <c r="M1806">
        <v>29.93</v>
      </c>
      <c r="N1806">
        <v>8.67</v>
      </c>
      <c r="O1806">
        <v>12.78</v>
      </c>
      <c r="P1806">
        <v>222.31</v>
      </c>
      <c r="Q1806">
        <v>319</v>
      </c>
      <c r="R1806">
        <v>5</v>
      </c>
      <c r="S1806">
        <v>118</v>
      </c>
    </row>
    <row r="1807" spans="1:19" x14ac:dyDescent="0.3">
      <c r="A1807">
        <v>1806</v>
      </c>
      <c r="B1807" t="s">
        <v>1105</v>
      </c>
      <c r="C1807">
        <v>2024</v>
      </c>
      <c r="D1807" t="s">
        <v>96</v>
      </c>
      <c r="E1807">
        <v>6</v>
      </c>
      <c r="F1807" t="s">
        <v>37</v>
      </c>
      <c r="G1807" t="s">
        <v>26</v>
      </c>
      <c r="H1807">
        <v>19.66</v>
      </c>
      <c r="I1807" t="s">
        <v>23</v>
      </c>
      <c r="J1807">
        <v>49</v>
      </c>
      <c r="K1807">
        <v>540</v>
      </c>
      <c r="L1807">
        <v>87.54</v>
      </c>
      <c r="M1807">
        <v>19.579999999999998</v>
      </c>
      <c r="N1807">
        <v>20.71</v>
      </c>
      <c r="O1807">
        <v>9.49</v>
      </c>
      <c r="P1807">
        <v>351.42</v>
      </c>
      <c r="Q1807">
        <v>586</v>
      </c>
      <c r="R1807">
        <v>4</v>
      </c>
      <c r="S1807">
        <v>221</v>
      </c>
    </row>
    <row r="1808" spans="1:19" x14ac:dyDescent="0.3">
      <c r="A1808">
        <v>1807</v>
      </c>
      <c r="B1808" t="s">
        <v>1106</v>
      </c>
      <c r="C1808">
        <v>2024</v>
      </c>
      <c r="D1808" t="s">
        <v>96</v>
      </c>
      <c r="E1808">
        <v>6</v>
      </c>
      <c r="F1808" t="s">
        <v>21</v>
      </c>
      <c r="G1808" t="s">
        <v>42</v>
      </c>
      <c r="H1808">
        <v>26.81</v>
      </c>
      <c r="I1808" t="s">
        <v>23</v>
      </c>
      <c r="J1808">
        <v>50</v>
      </c>
      <c r="K1808">
        <v>249</v>
      </c>
      <c r="L1808">
        <v>81.62</v>
      </c>
      <c r="M1808">
        <v>20.3</v>
      </c>
      <c r="N1808">
        <v>10.46</v>
      </c>
      <c r="O1808">
        <v>1.39</v>
      </c>
      <c r="P1808">
        <v>121.83</v>
      </c>
      <c r="Q1808">
        <v>952</v>
      </c>
      <c r="R1808">
        <v>1</v>
      </c>
      <c r="S1808">
        <v>241</v>
      </c>
    </row>
    <row r="1809" spans="1:19" x14ac:dyDescent="0.3">
      <c r="A1809">
        <v>1808</v>
      </c>
      <c r="B1809" t="s">
        <v>1107</v>
      </c>
      <c r="C1809">
        <v>2024</v>
      </c>
      <c r="D1809" t="s">
        <v>96</v>
      </c>
      <c r="E1809">
        <v>6</v>
      </c>
      <c r="F1809" t="s">
        <v>53</v>
      </c>
      <c r="G1809" t="s">
        <v>35</v>
      </c>
      <c r="H1809">
        <v>50.83</v>
      </c>
      <c r="I1809" t="s">
        <v>32</v>
      </c>
      <c r="J1809">
        <v>38</v>
      </c>
      <c r="K1809">
        <v>404</v>
      </c>
      <c r="L1809">
        <v>76.989999999999995</v>
      </c>
      <c r="M1809">
        <v>23</v>
      </c>
      <c r="N1809">
        <v>16.39</v>
      </c>
      <c r="O1809">
        <v>4.54</v>
      </c>
      <c r="P1809">
        <v>107.32</v>
      </c>
      <c r="Q1809">
        <v>113</v>
      </c>
      <c r="R1809">
        <v>5</v>
      </c>
      <c r="S1809">
        <v>87</v>
      </c>
    </row>
    <row r="1810" spans="1:19" x14ac:dyDescent="0.3">
      <c r="A1810">
        <v>1809</v>
      </c>
      <c r="B1810" t="s">
        <v>1107</v>
      </c>
      <c r="C1810">
        <v>2024</v>
      </c>
      <c r="D1810" t="s">
        <v>96</v>
      </c>
      <c r="E1810">
        <v>6</v>
      </c>
      <c r="F1810" t="s">
        <v>62</v>
      </c>
      <c r="G1810" t="s">
        <v>26</v>
      </c>
      <c r="H1810">
        <v>6.5</v>
      </c>
      <c r="I1810" t="s">
        <v>32</v>
      </c>
      <c r="J1810">
        <v>31</v>
      </c>
      <c r="K1810">
        <v>582</v>
      </c>
      <c r="L1810">
        <v>82.92</v>
      </c>
      <c r="M1810">
        <v>33.299999999999997</v>
      </c>
      <c r="N1810">
        <v>19.52</v>
      </c>
      <c r="O1810">
        <v>13.46</v>
      </c>
      <c r="P1810">
        <v>173.2</v>
      </c>
      <c r="Q1810">
        <v>389</v>
      </c>
      <c r="R1810">
        <v>4</v>
      </c>
      <c r="S1810">
        <v>212</v>
      </c>
    </row>
    <row r="1811" spans="1:19" x14ac:dyDescent="0.3">
      <c r="A1811">
        <v>1810</v>
      </c>
      <c r="B1811" t="s">
        <v>1108</v>
      </c>
      <c r="C1811">
        <v>2024</v>
      </c>
      <c r="D1811" t="s">
        <v>96</v>
      </c>
      <c r="E1811">
        <v>6</v>
      </c>
      <c r="F1811" t="s">
        <v>34</v>
      </c>
      <c r="G1811" t="s">
        <v>26</v>
      </c>
      <c r="H1811">
        <v>43.02</v>
      </c>
      <c r="I1811" t="s">
        <v>27</v>
      </c>
      <c r="J1811">
        <v>32</v>
      </c>
      <c r="K1811">
        <v>331</v>
      </c>
      <c r="L1811">
        <v>93.63</v>
      </c>
      <c r="M1811">
        <v>5.12</v>
      </c>
      <c r="N1811">
        <v>2.52</v>
      </c>
      <c r="O1811">
        <v>1.8</v>
      </c>
      <c r="P1811">
        <v>392.86</v>
      </c>
      <c r="Q1811">
        <v>142</v>
      </c>
      <c r="R1811">
        <v>2</v>
      </c>
      <c r="S1811">
        <v>106</v>
      </c>
    </row>
    <row r="1812" spans="1:19" x14ac:dyDescent="0.3">
      <c r="A1812">
        <v>1811</v>
      </c>
      <c r="B1812" t="s">
        <v>1109</v>
      </c>
      <c r="C1812">
        <v>2024</v>
      </c>
      <c r="D1812" t="s">
        <v>96</v>
      </c>
      <c r="E1812">
        <v>6</v>
      </c>
      <c r="F1812" t="s">
        <v>31</v>
      </c>
      <c r="G1812" t="s">
        <v>26</v>
      </c>
      <c r="H1812">
        <v>38.19</v>
      </c>
      <c r="I1812" t="s">
        <v>27</v>
      </c>
      <c r="J1812">
        <v>12</v>
      </c>
      <c r="K1812">
        <v>489</v>
      </c>
      <c r="L1812">
        <v>75.099999999999994</v>
      </c>
      <c r="M1812">
        <v>25.78</v>
      </c>
      <c r="N1812">
        <v>9.42</v>
      </c>
      <c r="O1812">
        <v>2.67</v>
      </c>
      <c r="P1812">
        <v>342.73</v>
      </c>
      <c r="Q1812">
        <v>473</v>
      </c>
      <c r="R1812">
        <v>3</v>
      </c>
      <c r="S1812">
        <v>89</v>
      </c>
    </row>
    <row r="1813" spans="1:19" x14ac:dyDescent="0.3">
      <c r="A1813">
        <v>1812</v>
      </c>
      <c r="B1813" t="s">
        <v>1110</v>
      </c>
      <c r="C1813">
        <v>2024</v>
      </c>
      <c r="D1813" t="s">
        <v>96</v>
      </c>
      <c r="E1813">
        <v>6</v>
      </c>
      <c r="F1813" t="s">
        <v>62</v>
      </c>
      <c r="G1813" t="s">
        <v>42</v>
      </c>
      <c r="H1813">
        <v>30.12</v>
      </c>
      <c r="I1813" t="s">
        <v>38</v>
      </c>
      <c r="J1813">
        <v>9</v>
      </c>
      <c r="K1813">
        <v>554</v>
      </c>
      <c r="L1813">
        <v>84.89</v>
      </c>
      <c r="M1813">
        <v>17.93</v>
      </c>
      <c r="N1813">
        <v>2.82</v>
      </c>
      <c r="O1813">
        <v>7</v>
      </c>
      <c r="P1813">
        <v>334.41</v>
      </c>
      <c r="Q1813">
        <v>483</v>
      </c>
      <c r="R1813">
        <v>1</v>
      </c>
      <c r="S1813">
        <v>193</v>
      </c>
    </row>
    <row r="1814" spans="1:19" x14ac:dyDescent="0.3">
      <c r="A1814">
        <v>1813</v>
      </c>
      <c r="B1814" t="s">
        <v>1102</v>
      </c>
      <c r="C1814">
        <v>2024</v>
      </c>
      <c r="D1814" t="s">
        <v>96</v>
      </c>
      <c r="E1814">
        <v>6</v>
      </c>
      <c r="F1814" t="s">
        <v>25</v>
      </c>
      <c r="G1814" t="s">
        <v>35</v>
      </c>
      <c r="H1814">
        <v>9.2200000000000006</v>
      </c>
      <c r="I1814" t="s">
        <v>38</v>
      </c>
      <c r="J1814">
        <v>28</v>
      </c>
      <c r="K1814">
        <v>585</v>
      </c>
      <c r="L1814">
        <v>90.67</v>
      </c>
      <c r="M1814">
        <v>9.32</v>
      </c>
      <c r="N1814">
        <v>19.63</v>
      </c>
      <c r="O1814">
        <v>14.8</v>
      </c>
      <c r="P1814">
        <v>409.24</v>
      </c>
      <c r="Q1814">
        <v>148</v>
      </c>
      <c r="R1814">
        <v>3</v>
      </c>
      <c r="S1814">
        <v>98</v>
      </c>
    </row>
    <row r="1815" spans="1:19" x14ac:dyDescent="0.3">
      <c r="A1815">
        <v>1814</v>
      </c>
      <c r="B1815" t="s">
        <v>1111</v>
      </c>
      <c r="C1815">
        <v>2024</v>
      </c>
      <c r="D1815" t="s">
        <v>96</v>
      </c>
      <c r="E1815">
        <v>6</v>
      </c>
      <c r="F1815" t="s">
        <v>62</v>
      </c>
      <c r="G1815" t="s">
        <v>26</v>
      </c>
      <c r="H1815">
        <v>42.11</v>
      </c>
      <c r="I1815" t="s">
        <v>47</v>
      </c>
      <c r="J1815">
        <v>30</v>
      </c>
      <c r="K1815">
        <v>168</v>
      </c>
      <c r="L1815">
        <v>82.59</v>
      </c>
      <c r="M1815">
        <v>16.32</v>
      </c>
      <c r="N1815">
        <v>8.6300000000000008</v>
      </c>
      <c r="O1815">
        <v>14.56</v>
      </c>
      <c r="P1815">
        <v>123.62</v>
      </c>
      <c r="Q1815">
        <v>1039</v>
      </c>
      <c r="R1815">
        <v>1</v>
      </c>
      <c r="S1815">
        <v>220</v>
      </c>
    </row>
    <row r="1816" spans="1:19" x14ac:dyDescent="0.3">
      <c r="A1816">
        <v>1815</v>
      </c>
      <c r="B1816" t="s">
        <v>1111</v>
      </c>
      <c r="C1816">
        <v>2024</v>
      </c>
      <c r="D1816" t="s">
        <v>96</v>
      </c>
      <c r="E1816">
        <v>6</v>
      </c>
      <c r="F1816" t="s">
        <v>62</v>
      </c>
      <c r="G1816" t="s">
        <v>40</v>
      </c>
      <c r="H1816">
        <v>32.950000000000003</v>
      </c>
      <c r="I1816" t="s">
        <v>27</v>
      </c>
      <c r="J1816">
        <v>13</v>
      </c>
      <c r="K1816">
        <v>480</v>
      </c>
      <c r="L1816">
        <v>89.05</v>
      </c>
      <c r="M1816">
        <v>23.76</v>
      </c>
      <c r="N1816">
        <v>15.88</v>
      </c>
      <c r="O1816">
        <v>3.44</v>
      </c>
      <c r="P1816">
        <v>444.28</v>
      </c>
      <c r="Q1816">
        <v>1069</v>
      </c>
      <c r="R1816">
        <v>5</v>
      </c>
      <c r="S1816">
        <v>194</v>
      </c>
    </row>
    <row r="1817" spans="1:19" x14ac:dyDescent="0.3">
      <c r="A1817">
        <v>1816</v>
      </c>
      <c r="B1817" t="s">
        <v>1104</v>
      </c>
      <c r="C1817">
        <v>2024</v>
      </c>
      <c r="D1817" t="s">
        <v>96</v>
      </c>
      <c r="E1817">
        <v>6</v>
      </c>
      <c r="F1817" t="s">
        <v>21</v>
      </c>
      <c r="G1817" t="s">
        <v>22</v>
      </c>
      <c r="H1817">
        <v>43.74</v>
      </c>
      <c r="I1817" t="s">
        <v>47</v>
      </c>
      <c r="J1817">
        <v>6</v>
      </c>
      <c r="K1817">
        <v>139</v>
      </c>
      <c r="L1817">
        <v>75.14</v>
      </c>
      <c r="M1817">
        <v>17.46</v>
      </c>
      <c r="N1817">
        <v>13.17</v>
      </c>
      <c r="O1817">
        <v>15.54</v>
      </c>
      <c r="P1817">
        <v>451.51</v>
      </c>
      <c r="Q1817">
        <v>742</v>
      </c>
      <c r="R1817">
        <v>4</v>
      </c>
      <c r="S1817">
        <v>230</v>
      </c>
    </row>
    <row r="1818" spans="1:19" x14ac:dyDescent="0.3">
      <c r="A1818">
        <v>1817</v>
      </c>
      <c r="B1818" t="s">
        <v>1107</v>
      </c>
      <c r="C1818">
        <v>2024</v>
      </c>
      <c r="D1818" t="s">
        <v>96</v>
      </c>
      <c r="E1818">
        <v>6</v>
      </c>
      <c r="F1818" t="s">
        <v>37</v>
      </c>
      <c r="G1818" t="s">
        <v>40</v>
      </c>
      <c r="H1818">
        <v>30.09</v>
      </c>
      <c r="I1818" t="s">
        <v>23</v>
      </c>
      <c r="J1818">
        <v>3</v>
      </c>
      <c r="K1818">
        <v>506</v>
      </c>
      <c r="L1818">
        <v>86.43</v>
      </c>
      <c r="M1818">
        <v>10.33</v>
      </c>
      <c r="N1818">
        <v>8.42</v>
      </c>
      <c r="O1818">
        <v>4.9000000000000004</v>
      </c>
      <c r="P1818">
        <v>292.24</v>
      </c>
      <c r="Q1818">
        <v>1088</v>
      </c>
      <c r="R1818">
        <v>2</v>
      </c>
      <c r="S1818">
        <v>220</v>
      </c>
    </row>
    <row r="1819" spans="1:19" x14ac:dyDescent="0.3">
      <c r="A1819">
        <v>1818</v>
      </c>
      <c r="B1819" t="s">
        <v>1112</v>
      </c>
      <c r="C1819">
        <v>2024</v>
      </c>
      <c r="D1819" t="s">
        <v>96</v>
      </c>
      <c r="E1819">
        <v>6</v>
      </c>
      <c r="F1819" t="s">
        <v>37</v>
      </c>
      <c r="G1819" t="s">
        <v>42</v>
      </c>
      <c r="H1819">
        <v>53.23</v>
      </c>
      <c r="I1819" t="s">
        <v>32</v>
      </c>
      <c r="J1819">
        <v>17</v>
      </c>
      <c r="K1819">
        <v>434</v>
      </c>
      <c r="L1819">
        <v>80.52</v>
      </c>
      <c r="M1819">
        <v>12.57</v>
      </c>
      <c r="N1819">
        <v>16.59</v>
      </c>
      <c r="O1819">
        <v>8.4600000000000009</v>
      </c>
      <c r="P1819">
        <v>533.36</v>
      </c>
      <c r="Q1819">
        <v>726</v>
      </c>
      <c r="R1819">
        <v>2</v>
      </c>
      <c r="S1819">
        <v>135</v>
      </c>
    </row>
    <row r="1820" spans="1:19" x14ac:dyDescent="0.3">
      <c r="A1820">
        <v>1819</v>
      </c>
      <c r="B1820" t="s">
        <v>1102</v>
      </c>
      <c r="C1820">
        <v>2024</v>
      </c>
      <c r="D1820" t="s">
        <v>96</v>
      </c>
      <c r="E1820">
        <v>6</v>
      </c>
      <c r="F1820" t="s">
        <v>34</v>
      </c>
      <c r="G1820" t="s">
        <v>42</v>
      </c>
      <c r="H1820">
        <v>37.07</v>
      </c>
      <c r="I1820" t="s">
        <v>27</v>
      </c>
      <c r="J1820">
        <v>43</v>
      </c>
      <c r="K1820">
        <v>419</v>
      </c>
      <c r="L1820">
        <v>89.32</v>
      </c>
      <c r="M1820">
        <v>21.8</v>
      </c>
      <c r="N1820">
        <v>13.34</v>
      </c>
      <c r="O1820">
        <v>2.4900000000000002</v>
      </c>
      <c r="P1820">
        <v>456.94</v>
      </c>
      <c r="Q1820">
        <v>1051</v>
      </c>
      <c r="R1820">
        <v>1</v>
      </c>
      <c r="S1820">
        <v>137</v>
      </c>
    </row>
    <row r="1821" spans="1:19" x14ac:dyDescent="0.3">
      <c r="A1821">
        <v>1820</v>
      </c>
      <c r="B1821" t="s">
        <v>1104</v>
      </c>
      <c r="C1821">
        <v>2024</v>
      </c>
      <c r="D1821" t="s">
        <v>96</v>
      </c>
      <c r="E1821">
        <v>6</v>
      </c>
      <c r="F1821" t="s">
        <v>34</v>
      </c>
      <c r="G1821" t="s">
        <v>22</v>
      </c>
      <c r="H1821">
        <v>40.35</v>
      </c>
      <c r="I1821" t="s">
        <v>32</v>
      </c>
      <c r="J1821">
        <v>16</v>
      </c>
      <c r="K1821">
        <v>360</v>
      </c>
      <c r="L1821">
        <v>88.89</v>
      </c>
      <c r="M1821">
        <v>28.75</v>
      </c>
      <c r="N1821">
        <v>7.81</v>
      </c>
      <c r="O1821">
        <v>5.33</v>
      </c>
      <c r="P1821">
        <v>534.58000000000004</v>
      </c>
      <c r="Q1821">
        <v>191</v>
      </c>
      <c r="R1821">
        <v>5</v>
      </c>
      <c r="S1821">
        <v>67</v>
      </c>
    </row>
    <row r="1822" spans="1:19" x14ac:dyDescent="0.3">
      <c r="A1822">
        <v>1821</v>
      </c>
      <c r="B1822" t="s">
        <v>1113</v>
      </c>
      <c r="C1822">
        <v>2024</v>
      </c>
      <c r="D1822" t="s">
        <v>96</v>
      </c>
      <c r="E1822">
        <v>6</v>
      </c>
      <c r="F1822" t="s">
        <v>25</v>
      </c>
      <c r="G1822" t="s">
        <v>22</v>
      </c>
      <c r="H1822">
        <v>10.039999999999999</v>
      </c>
      <c r="I1822" t="s">
        <v>27</v>
      </c>
      <c r="J1822">
        <v>16</v>
      </c>
      <c r="K1822">
        <v>286</v>
      </c>
      <c r="L1822">
        <v>82.5</v>
      </c>
      <c r="M1822">
        <v>13.92</v>
      </c>
      <c r="N1822">
        <v>21.45</v>
      </c>
      <c r="O1822">
        <v>3.09</v>
      </c>
      <c r="P1822">
        <v>528.65</v>
      </c>
      <c r="Q1822">
        <v>420</v>
      </c>
      <c r="R1822">
        <v>3</v>
      </c>
      <c r="S1822">
        <v>213</v>
      </c>
    </row>
    <row r="1823" spans="1:19" x14ac:dyDescent="0.3">
      <c r="A1823">
        <v>1822</v>
      </c>
      <c r="B1823" t="s">
        <v>1105</v>
      </c>
      <c r="C1823">
        <v>2024</v>
      </c>
      <c r="D1823" t="s">
        <v>96</v>
      </c>
      <c r="E1823">
        <v>6</v>
      </c>
      <c r="F1823" t="s">
        <v>37</v>
      </c>
      <c r="G1823" t="s">
        <v>22</v>
      </c>
      <c r="H1823">
        <v>22.09</v>
      </c>
      <c r="I1823" t="s">
        <v>47</v>
      </c>
      <c r="J1823">
        <v>33</v>
      </c>
      <c r="K1823">
        <v>169</v>
      </c>
      <c r="L1823">
        <v>86.64</v>
      </c>
      <c r="M1823">
        <v>8.01</v>
      </c>
      <c r="N1823">
        <v>6.46</v>
      </c>
      <c r="O1823">
        <v>7.16</v>
      </c>
      <c r="P1823">
        <v>181.37</v>
      </c>
      <c r="Q1823">
        <v>217</v>
      </c>
      <c r="R1823">
        <v>2</v>
      </c>
      <c r="S1823">
        <v>62</v>
      </c>
    </row>
    <row r="1824" spans="1:19" x14ac:dyDescent="0.3">
      <c r="A1824">
        <v>1823</v>
      </c>
      <c r="B1824" t="s">
        <v>1114</v>
      </c>
      <c r="C1824">
        <v>2024</v>
      </c>
      <c r="D1824" t="s">
        <v>96</v>
      </c>
      <c r="E1824">
        <v>6</v>
      </c>
      <c r="F1824" t="s">
        <v>34</v>
      </c>
      <c r="G1824" t="s">
        <v>42</v>
      </c>
      <c r="H1824">
        <v>38.5</v>
      </c>
      <c r="I1824" t="s">
        <v>27</v>
      </c>
      <c r="J1824">
        <v>20</v>
      </c>
      <c r="K1824">
        <v>223</v>
      </c>
      <c r="L1824">
        <v>82.05</v>
      </c>
      <c r="M1824">
        <v>33.99</v>
      </c>
      <c r="N1824">
        <v>13.32</v>
      </c>
      <c r="O1824">
        <v>6.12</v>
      </c>
      <c r="P1824">
        <v>227.71</v>
      </c>
      <c r="Q1824">
        <v>493</v>
      </c>
      <c r="R1824">
        <v>3</v>
      </c>
      <c r="S1824">
        <v>181</v>
      </c>
    </row>
    <row r="1825" spans="1:19" x14ac:dyDescent="0.3">
      <c r="A1825">
        <v>1824</v>
      </c>
      <c r="B1825" t="s">
        <v>1115</v>
      </c>
      <c r="C1825">
        <v>2024</v>
      </c>
      <c r="D1825" t="s">
        <v>96</v>
      </c>
      <c r="E1825">
        <v>6</v>
      </c>
      <c r="F1825" t="s">
        <v>62</v>
      </c>
      <c r="G1825" t="s">
        <v>40</v>
      </c>
      <c r="H1825">
        <v>26.88</v>
      </c>
      <c r="I1825" t="s">
        <v>32</v>
      </c>
      <c r="J1825">
        <v>29</v>
      </c>
      <c r="K1825">
        <v>401</v>
      </c>
      <c r="L1825">
        <v>86.23</v>
      </c>
      <c r="M1825">
        <v>25.55</v>
      </c>
      <c r="N1825">
        <v>6.59</v>
      </c>
      <c r="O1825">
        <v>11.59</v>
      </c>
      <c r="P1825">
        <v>350.28</v>
      </c>
      <c r="Q1825">
        <v>1016</v>
      </c>
      <c r="R1825">
        <v>2</v>
      </c>
      <c r="S1825">
        <v>115</v>
      </c>
    </row>
    <row r="1826" spans="1:19" x14ac:dyDescent="0.3">
      <c r="A1826">
        <v>1825</v>
      </c>
      <c r="B1826" t="s">
        <v>1102</v>
      </c>
      <c r="C1826">
        <v>2024</v>
      </c>
      <c r="D1826" t="s">
        <v>96</v>
      </c>
      <c r="E1826">
        <v>6</v>
      </c>
      <c r="F1826" t="s">
        <v>53</v>
      </c>
      <c r="G1826" t="s">
        <v>42</v>
      </c>
      <c r="H1826">
        <v>26.53</v>
      </c>
      <c r="I1826" t="s">
        <v>32</v>
      </c>
      <c r="J1826">
        <v>27</v>
      </c>
      <c r="K1826">
        <v>313</v>
      </c>
      <c r="L1826">
        <v>94.07</v>
      </c>
      <c r="M1826">
        <v>25.86</v>
      </c>
      <c r="N1826">
        <v>20.27</v>
      </c>
      <c r="O1826">
        <v>13.25</v>
      </c>
      <c r="P1826">
        <v>176.58</v>
      </c>
      <c r="Q1826">
        <v>287</v>
      </c>
      <c r="R1826">
        <v>4</v>
      </c>
      <c r="S1826">
        <v>208</v>
      </c>
    </row>
    <row r="1827" spans="1:19" x14ac:dyDescent="0.3">
      <c r="A1827">
        <v>1826</v>
      </c>
      <c r="B1827" t="s">
        <v>1109</v>
      </c>
      <c r="C1827">
        <v>2024</v>
      </c>
      <c r="D1827" t="s">
        <v>96</v>
      </c>
      <c r="E1827">
        <v>6</v>
      </c>
      <c r="F1827" t="s">
        <v>31</v>
      </c>
      <c r="G1827" t="s">
        <v>40</v>
      </c>
      <c r="H1827">
        <v>13.17</v>
      </c>
      <c r="I1827" t="s">
        <v>27</v>
      </c>
      <c r="J1827">
        <v>42</v>
      </c>
      <c r="K1827">
        <v>309</v>
      </c>
      <c r="L1827">
        <v>75.510000000000005</v>
      </c>
      <c r="M1827">
        <v>25.46</v>
      </c>
      <c r="N1827">
        <v>2.57</v>
      </c>
      <c r="O1827">
        <v>4.22</v>
      </c>
      <c r="P1827">
        <v>465.36</v>
      </c>
      <c r="Q1827">
        <v>986</v>
      </c>
      <c r="R1827">
        <v>3</v>
      </c>
      <c r="S1827">
        <v>52</v>
      </c>
    </row>
    <row r="1828" spans="1:19" x14ac:dyDescent="0.3">
      <c r="A1828">
        <v>1827</v>
      </c>
      <c r="B1828" t="s">
        <v>1116</v>
      </c>
      <c r="C1828">
        <v>2024</v>
      </c>
      <c r="D1828" t="s">
        <v>96</v>
      </c>
      <c r="E1828">
        <v>6</v>
      </c>
      <c r="F1828" t="s">
        <v>34</v>
      </c>
      <c r="G1828" t="s">
        <v>35</v>
      </c>
      <c r="H1828">
        <v>26.96</v>
      </c>
      <c r="I1828" t="s">
        <v>27</v>
      </c>
      <c r="J1828">
        <v>25</v>
      </c>
      <c r="K1828">
        <v>403</v>
      </c>
      <c r="L1828">
        <v>89.2</v>
      </c>
      <c r="M1828">
        <v>10.54</v>
      </c>
      <c r="N1828">
        <v>16.07</v>
      </c>
      <c r="O1828">
        <v>4</v>
      </c>
      <c r="P1828">
        <v>324.57</v>
      </c>
      <c r="Q1828">
        <v>867</v>
      </c>
      <c r="R1828">
        <v>4</v>
      </c>
      <c r="S1828">
        <v>208</v>
      </c>
    </row>
    <row r="1829" spans="1:19" x14ac:dyDescent="0.3">
      <c r="A1829">
        <v>1828</v>
      </c>
      <c r="B1829" t="s">
        <v>1113</v>
      </c>
      <c r="C1829">
        <v>2024</v>
      </c>
      <c r="D1829" t="s">
        <v>96</v>
      </c>
      <c r="E1829">
        <v>6</v>
      </c>
      <c r="F1829" t="s">
        <v>37</v>
      </c>
      <c r="G1829" t="s">
        <v>40</v>
      </c>
      <c r="H1829">
        <v>11.27</v>
      </c>
      <c r="I1829" t="s">
        <v>32</v>
      </c>
      <c r="J1829">
        <v>28</v>
      </c>
      <c r="K1829">
        <v>487</v>
      </c>
      <c r="L1829">
        <v>77.72</v>
      </c>
      <c r="M1829">
        <v>10.56</v>
      </c>
      <c r="N1829">
        <v>11.4</v>
      </c>
      <c r="O1829">
        <v>14.54</v>
      </c>
      <c r="P1829">
        <v>532.1</v>
      </c>
      <c r="Q1829">
        <v>1051</v>
      </c>
      <c r="R1829">
        <v>2</v>
      </c>
      <c r="S1829">
        <v>153</v>
      </c>
    </row>
    <row r="1830" spans="1:19" x14ac:dyDescent="0.3">
      <c r="A1830">
        <v>1829</v>
      </c>
      <c r="B1830" t="s">
        <v>1103</v>
      </c>
      <c r="C1830">
        <v>2024</v>
      </c>
      <c r="D1830" t="s">
        <v>96</v>
      </c>
      <c r="E1830">
        <v>6</v>
      </c>
      <c r="F1830" t="s">
        <v>31</v>
      </c>
      <c r="G1830" t="s">
        <v>22</v>
      </c>
      <c r="H1830">
        <v>37.79</v>
      </c>
      <c r="I1830" t="s">
        <v>38</v>
      </c>
      <c r="J1830">
        <v>41</v>
      </c>
      <c r="K1830">
        <v>230</v>
      </c>
      <c r="L1830">
        <v>90.42</v>
      </c>
      <c r="M1830">
        <v>19.7</v>
      </c>
      <c r="N1830">
        <v>18.68</v>
      </c>
      <c r="O1830">
        <v>3.25</v>
      </c>
      <c r="P1830">
        <v>591.99</v>
      </c>
      <c r="Q1830">
        <v>522</v>
      </c>
      <c r="R1830">
        <v>3</v>
      </c>
      <c r="S1830">
        <v>134</v>
      </c>
    </row>
    <row r="1831" spans="1:19" x14ac:dyDescent="0.3">
      <c r="A1831">
        <v>1830</v>
      </c>
      <c r="B1831" t="s">
        <v>1108</v>
      </c>
      <c r="C1831">
        <v>2024</v>
      </c>
      <c r="D1831" t="s">
        <v>96</v>
      </c>
      <c r="E1831">
        <v>6</v>
      </c>
      <c r="F1831" t="s">
        <v>29</v>
      </c>
      <c r="G1831" t="s">
        <v>42</v>
      </c>
      <c r="H1831">
        <v>10.98</v>
      </c>
      <c r="I1831" t="s">
        <v>32</v>
      </c>
      <c r="J1831">
        <v>36</v>
      </c>
      <c r="K1831">
        <v>203</v>
      </c>
      <c r="L1831">
        <v>76.14</v>
      </c>
      <c r="M1831">
        <v>25.79</v>
      </c>
      <c r="N1831">
        <v>14.37</v>
      </c>
      <c r="O1831">
        <v>14.13</v>
      </c>
      <c r="P1831">
        <v>408.17</v>
      </c>
      <c r="Q1831">
        <v>797</v>
      </c>
      <c r="R1831">
        <v>3</v>
      </c>
      <c r="S1831">
        <v>232</v>
      </c>
    </row>
    <row r="1832" spans="1:19" x14ac:dyDescent="0.3">
      <c r="A1832">
        <v>1831</v>
      </c>
      <c r="B1832" t="s">
        <v>1117</v>
      </c>
      <c r="C1832">
        <v>2024</v>
      </c>
      <c r="D1832" t="s">
        <v>96</v>
      </c>
      <c r="E1832">
        <v>6</v>
      </c>
      <c r="F1832" t="s">
        <v>25</v>
      </c>
      <c r="G1832" t="s">
        <v>42</v>
      </c>
      <c r="H1832">
        <v>54.06</v>
      </c>
      <c r="I1832" t="s">
        <v>27</v>
      </c>
      <c r="J1832">
        <v>35</v>
      </c>
      <c r="K1832">
        <v>104</v>
      </c>
      <c r="L1832">
        <v>80.2</v>
      </c>
      <c r="M1832">
        <v>23.42</v>
      </c>
      <c r="N1832">
        <v>2.59</v>
      </c>
      <c r="O1832">
        <v>9.1999999999999993</v>
      </c>
      <c r="P1832">
        <v>490.01</v>
      </c>
      <c r="Q1832">
        <v>418</v>
      </c>
      <c r="R1832">
        <v>4</v>
      </c>
      <c r="S1832">
        <v>133</v>
      </c>
    </row>
    <row r="1833" spans="1:19" x14ac:dyDescent="0.3">
      <c r="A1833">
        <v>1832</v>
      </c>
      <c r="B1833" t="s">
        <v>1118</v>
      </c>
      <c r="C1833">
        <v>2024</v>
      </c>
      <c r="D1833" t="s">
        <v>96</v>
      </c>
      <c r="E1833">
        <v>6</v>
      </c>
      <c r="F1833" t="s">
        <v>29</v>
      </c>
      <c r="G1833" t="s">
        <v>40</v>
      </c>
      <c r="H1833">
        <v>24.15</v>
      </c>
      <c r="I1833" t="s">
        <v>47</v>
      </c>
      <c r="J1833">
        <v>39</v>
      </c>
      <c r="K1833">
        <v>343</v>
      </c>
      <c r="L1833">
        <v>92.65</v>
      </c>
      <c r="M1833">
        <v>13.91</v>
      </c>
      <c r="N1833">
        <v>19.13</v>
      </c>
      <c r="O1833">
        <v>7.8</v>
      </c>
      <c r="P1833">
        <v>379.02</v>
      </c>
      <c r="Q1833">
        <v>800</v>
      </c>
      <c r="R1833">
        <v>1</v>
      </c>
      <c r="S1833">
        <v>136</v>
      </c>
    </row>
    <row r="1834" spans="1:19" x14ac:dyDescent="0.3">
      <c r="A1834">
        <v>1833</v>
      </c>
      <c r="B1834" t="s">
        <v>1119</v>
      </c>
      <c r="C1834">
        <v>2024</v>
      </c>
      <c r="D1834" t="s">
        <v>96</v>
      </c>
      <c r="E1834">
        <v>6</v>
      </c>
      <c r="F1834" t="s">
        <v>21</v>
      </c>
      <c r="G1834" t="s">
        <v>22</v>
      </c>
      <c r="H1834">
        <v>29.62</v>
      </c>
      <c r="I1834" t="s">
        <v>38</v>
      </c>
      <c r="J1834">
        <v>30</v>
      </c>
      <c r="K1834">
        <v>573</v>
      </c>
      <c r="L1834">
        <v>75.510000000000005</v>
      </c>
      <c r="M1834">
        <v>18.010000000000002</v>
      </c>
      <c r="N1834">
        <v>15.02</v>
      </c>
      <c r="O1834">
        <v>1.76</v>
      </c>
      <c r="P1834">
        <v>102.97</v>
      </c>
      <c r="Q1834">
        <v>942</v>
      </c>
      <c r="R1834">
        <v>5</v>
      </c>
      <c r="S1834">
        <v>52</v>
      </c>
    </row>
    <row r="1835" spans="1:19" x14ac:dyDescent="0.3">
      <c r="A1835">
        <v>1834</v>
      </c>
      <c r="B1835" t="s">
        <v>1116</v>
      </c>
      <c r="C1835">
        <v>2024</v>
      </c>
      <c r="D1835" t="s">
        <v>96</v>
      </c>
      <c r="E1835">
        <v>6</v>
      </c>
      <c r="F1835" t="s">
        <v>21</v>
      </c>
      <c r="G1835" t="s">
        <v>35</v>
      </c>
      <c r="H1835">
        <v>34.06</v>
      </c>
      <c r="I1835" t="s">
        <v>47</v>
      </c>
      <c r="J1835">
        <v>7</v>
      </c>
      <c r="K1835">
        <v>375</v>
      </c>
      <c r="L1835">
        <v>84.33</v>
      </c>
      <c r="M1835">
        <v>24.32</v>
      </c>
      <c r="N1835">
        <v>18.600000000000001</v>
      </c>
      <c r="O1835">
        <v>5.16</v>
      </c>
      <c r="P1835">
        <v>388.22</v>
      </c>
      <c r="Q1835">
        <v>555</v>
      </c>
      <c r="R1835">
        <v>3</v>
      </c>
      <c r="S1835">
        <v>109</v>
      </c>
    </row>
    <row r="1836" spans="1:19" x14ac:dyDescent="0.3">
      <c r="A1836">
        <v>1835</v>
      </c>
      <c r="B1836" t="s">
        <v>1120</v>
      </c>
      <c r="C1836">
        <v>2024</v>
      </c>
      <c r="D1836" t="s">
        <v>96</v>
      </c>
      <c r="E1836">
        <v>6</v>
      </c>
      <c r="F1836" t="s">
        <v>62</v>
      </c>
      <c r="G1836" t="s">
        <v>35</v>
      </c>
      <c r="H1836">
        <v>47.75</v>
      </c>
      <c r="I1836" t="s">
        <v>38</v>
      </c>
      <c r="J1836">
        <v>47</v>
      </c>
      <c r="K1836">
        <v>168</v>
      </c>
      <c r="L1836">
        <v>81.42</v>
      </c>
      <c r="M1836">
        <v>24.68</v>
      </c>
      <c r="N1836">
        <v>2.02</v>
      </c>
      <c r="O1836">
        <v>10.42</v>
      </c>
      <c r="P1836">
        <v>240.73</v>
      </c>
      <c r="Q1836">
        <v>142</v>
      </c>
      <c r="R1836">
        <v>2</v>
      </c>
      <c r="S1836">
        <v>201</v>
      </c>
    </row>
    <row r="1837" spans="1:19" x14ac:dyDescent="0.3">
      <c r="A1837">
        <v>1836</v>
      </c>
      <c r="B1837" t="s">
        <v>1121</v>
      </c>
      <c r="C1837">
        <v>2024</v>
      </c>
      <c r="D1837" t="s">
        <v>96</v>
      </c>
      <c r="E1837">
        <v>6</v>
      </c>
      <c r="F1837" t="s">
        <v>34</v>
      </c>
      <c r="G1837" t="s">
        <v>42</v>
      </c>
      <c r="H1837">
        <v>31.86</v>
      </c>
      <c r="I1837" t="s">
        <v>38</v>
      </c>
      <c r="J1837">
        <v>44</v>
      </c>
      <c r="K1837">
        <v>550</v>
      </c>
      <c r="L1837">
        <v>91.6</v>
      </c>
      <c r="M1837">
        <v>23.51</v>
      </c>
      <c r="N1837">
        <v>8.91</v>
      </c>
      <c r="O1837">
        <v>1.6</v>
      </c>
      <c r="P1837">
        <v>195.04</v>
      </c>
      <c r="Q1837">
        <v>413</v>
      </c>
      <c r="R1837">
        <v>3</v>
      </c>
      <c r="S1837">
        <v>231</v>
      </c>
    </row>
    <row r="1838" spans="1:19" x14ac:dyDescent="0.3">
      <c r="A1838">
        <v>1837</v>
      </c>
      <c r="B1838" t="s">
        <v>1122</v>
      </c>
      <c r="C1838">
        <v>2024</v>
      </c>
      <c r="D1838" t="s">
        <v>161</v>
      </c>
      <c r="E1838">
        <v>7</v>
      </c>
      <c r="F1838" t="s">
        <v>29</v>
      </c>
      <c r="G1838" t="s">
        <v>42</v>
      </c>
      <c r="H1838">
        <v>53.94</v>
      </c>
      <c r="I1838" t="s">
        <v>32</v>
      </c>
      <c r="J1838">
        <v>30</v>
      </c>
      <c r="K1838">
        <v>202</v>
      </c>
      <c r="L1838">
        <v>88</v>
      </c>
      <c r="M1838">
        <v>8.83</v>
      </c>
      <c r="N1838">
        <v>20.51</v>
      </c>
      <c r="O1838">
        <v>5.7</v>
      </c>
      <c r="P1838">
        <v>317.01</v>
      </c>
      <c r="Q1838">
        <v>575</v>
      </c>
      <c r="R1838">
        <v>5</v>
      </c>
      <c r="S1838">
        <v>180</v>
      </c>
    </row>
    <row r="1839" spans="1:19" x14ac:dyDescent="0.3">
      <c r="A1839">
        <v>1838</v>
      </c>
      <c r="B1839" t="s">
        <v>1123</v>
      </c>
      <c r="C1839">
        <v>2024</v>
      </c>
      <c r="D1839" t="s">
        <v>161</v>
      </c>
      <c r="E1839">
        <v>7</v>
      </c>
      <c r="F1839" t="s">
        <v>29</v>
      </c>
      <c r="G1839" t="s">
        <v>40</v>
      </c>
      <c r="H1839">
        <v>23.07</v>
      </c>
      <c r="I1839" t="s">
        <v>23</v>
      </c>
      <c r="J1839">
        <v>48</v>
      </c>
      <c r="K1839">
        <v>495</v>
      </c>
      <c r="L1839">
        <v>86.26</v>
      </c>
      <c r="M1839">
        <v>31.87</v>
      </c>
      <c r="N1839">
        <v>16.5</v>
      </c>
      <c r="O1839">
        <v>3.06</v>
      </c>
      <c r="P1839">
        <v>577.79999999999995</v>
      </c>
      <c r="Q1839">
        <v>498</v>
      </c>
      <c r="R1839">
        <v>4</v>
      </c>
      <c r="S1839">
        <v>219</v>
      </c>
    </row>
    <row r="1840" spans="1:19" x14ac:dyDescent="0.3">
      <c r="A1840">
        <v>1839</v>
      </c>
      <c r="B1840" t="s">
        <v>1124</v>
      </c>
      <c r="C1840">
        <v>2024</v>
      </c>
      <c r="D1840" t="s">
        <v>161</v>
      </c>
      <c r="E1840">
        <v>7</v>
      </c>
      <c r="F1840" t="s">
        <v>34</v>
      </c>
      <c r="G1840" t="s">
        <v>22</v>
      </c>
      <c r="H1840">
        <v>52.64</v>
      </c>
      <c r="I1840" t="s">
        <v>23</v>
      </c>
      <c r="J1840">
        <v>28</v>
      </c>
      <c r="K1840">
        <v>369</v>
      </c>
      <c r="L1840">
        <v>76.41</v>
      </c>
      <c r="M1840">
        <v>6.13</v>
      </c>
      <c r="N1840">
        <v>7.52</v>
      </c>
      <c r="O1840">
        <v>13.41</v>
      </c>
      <c r="P1840">
        <v>358.96</v>
      </c>
      <c r="Q1840">
        <v>314</v>
      </c>
      <c r="R1840">
        <v>2</v>
      </c>
      <c r="S1840">
        <v>61</v>
      </c>
    </row>
    <row r="1841" spans="1:19" x14ac:dyDescent="0.3">
      <c r="A1841">
        <v>1840</v>
      </c>
      <c r="B1841" t="s">
        <v>1123</v>
      </c>
      <c r="C1841">
        <v>2024</v>
      </c>
      <c r="D1841" t="s">
        <v>161</v>
      </c>
      <c r="E1841">
        <v>7</v>
      </c>
      <c r="F1841" t="s">
        <v>21</v>
      </c>
      <c r="G1841" t="s">
        <v>22</v>
      </c>
      <c r="H1841">
        <v>41.25</v>
      </c>
      <c r="I1841" t="s">
        <v>47</v>
      </c>
      <c r="J1841">
        <v>12</v>
      </c>
      <c r="K1841">
        <v>467</v>
      </c>
      <c r="L1841">
        <v>86.02</v>
      </c>
      <c r="M1841">
        <v>15</v>
      </c>
      <c r="N1841">
        <v>5.19</v>
      </c>
      <c r="O1841">
        <v>9.48</v>
      </c>
      <c r="P1841">
        <v>201.86</v>
      </c>
      <c r="Q1841">
        <v>243</v>
      </c>
      <c r="R1841">
        <v>1</v>
      </c>
      <c r="S1841">
        <v>226</v>
      </c>
    </row>
    <row r="1842" spans="1:19" x14ac:dyDescent="0.3">
      <c r="A1842">
        <v>1841</v>
      </c>
      <c r="B1842" t="s">
        <v>1125</v>
      </c>
      <c r="C1842">
        <v>2024</v>
      </c>
      <c r="D1842" t="s">
        <v>161</v>
      </c>
      <c r="E1842">
        <v>7</v>
      </c>
      <c r="F1842" t="s">
        <v>31</v>
      </c>
      <c r="G1842" t="s">
        <v>26</v>
      </c>
      <c r="H1842">
        <v>22.94</v>
      </c>
      <c r="I1842" t="s">
        <v>38</v>
      </c>
      <c r="J1842">
        <v>24</v>
      </c>
      <c r="K1842">
        <v>273</v>
      </c>
      <c r="L1842">
        <v>92.55</v>
      </c>
      <c r="M1842">
        <v>8.9600000000000009</v>
      </c>
      <c r="N1842">
        <v>11.7</v>
      </c>
      <c r="O1842">
        <v>4.7</v>
      </c>
      <c r="P1842">
        <v>261.66000000000003</v>
      </c>
      <c r="Q1842">
        <v>237</v>
      </c>
      <c r="R1842">
        <v>1</v>
      </c>
      <c r="S1842">
        <v>144</v>
      </c>
    </row>
    <row r="1843" spans="1:19" x14ac:dyDescent="0.3">
      <c r="A1843">
        <v>1842</v>
      </c>
      <c r="B1843" t="s">
        <v>1125</v>
      </c>
      <c r="C1843">
        <v>2024</v>
      </c>
      <c r="D1843" t="s">
        <v>161</v>
      </c>
      <c r="E1843">
        <v>7</v>
      </c>
      <c r="F1843" t="s">
        <v>31</v>
      </c>
      <c r="G1843" t="s">
        <v>42</v>
      </c>
      <c r="H1843">
        <v>6.78</v>
      </c>
      <c r="I1843" t="s">
        <v>27</v>
      </c>
      <c r="J1843">
        <v>8</v>
      </c>
      <c r="K1843">
        <v>508</v>
      </c>
      <c r="L1843">
        <v>94.74</v>
      </c>
      <c r="M1843">
        <v>25.07</v>
      </c>
      <c r="N1843">
        <v>17.87</v>
      </c>
      <c r="O1843">
        <v>1.96</v>
      </c>
      <c r="P1843">
        <v>147.55000000000001</v>
      </c>
      <c r="Q1843">
        <v>186</v>
      </c>
      <c r="R1843">
        <v>1</v>
      </c>
      <c r="S1843">
        <v>118</v>
      </c>
    </row>
    <row r="1844" spans="1:19" x14ac:dyDescent="0.3">
      <c r="A1844">
        <v>1843</v>
      </c>
      <c r="B1844" t="s">
        <v>1126</v>
      </c>
      <c r="C1844">
        <v>2024</v>
      </c>
      <c r="D1844" t="s">
        <v>161</v>
      </c>
      <c r="E1844">
        <v>7</v>
      </c>
      <c r="F1844" t="s">
        <v>29</v>
      </c>
      <c r="G1844" t="s">
        <v>40</v>
      </c>
      <c r="H1844">
        <v>49.73</v>
      </c>
      <c r="I1844" t="s">
        <v>47</v>
      </c>
      <c r="J1844">
        <v>25</v>
      </c>
      <c r="K1844">
        <v>434</v>
      </c>
      <c r="L1844">
        <v>83.4</v>
      </c>
      <c r="M1844">
        <v>16.46</v>
      </c>
      <c r="N1844">
        <v>10.82</v>
      </c>
      <c r="O1844">
        <v>10.85</v>
      </c>
      <c r="P1844">
        <v>529.86</v>
      </c>
      <c r="Q1844">
        <v>775</v>
      </c>
      <c r="R1844">
        <v>2</v>
      </c>
      <c r="S1844">
        <v>249</v>
      </c>
    </row>
    <row r="1845" spans="1:19" x14ac:dyDescent="0.3">
      <c r="A1845">
        <v>1844</v>
      </c>
      <c r="B1845" t="s">
        <v>1127</v>
      </c>
      <c r="C1845">
        <v>2024</v>
      </c>
      <c r="D1845" t="s">
        <v>161</v>
      </c>
      <c r="E1845">
        <v>7</v>
      </c>
      <c r="F1845" t="s">
        <v>62</v>
      </c>
      <c r="G1845" t="s">
        <v>22</v>
      </c>
      <c r="H1845">
        <v>48.82</v>
      </c>
      <c r="I1845" t="s">
        <v>32</v>
      </c>
      <c r="J1845">
        <v>45</v>
      </c>
      <c r="K1845">
        <v>390</v>
      </c>
      <c r="L1845">
        <v>92.06</v>
      </c>
      <c r="M1845">
        <v>20.54</v>
      </c>
      <c r="N1845">
        <v>11.61</v>
      </c>
      <c r="O1845">
        <v>9.25</v>
      </c>
      <c r="P1845">
        <v>431.65</v>
      </c>
      <c r="Q1845">
        <v>144</v>
      </c>
      <c r="R1845">
        <v>3</v>
      </c>
      <c r="S1845">
        <v>96</v>
      </c>
    </row>
    <row r="1846" spans="1:19" x14ac:dyDescent="0.3">
      <c r="A1846">
        <v>1845</v>
      </c>
      <c r="B1846" t="s">
        <v>1128</v>
      </c>
      <c r="C1846">
        <v>2024</v>
      </c>
      <c r="D1846" t="s">
        <v>161</v>
      </c>
      <c r="E1846">
        <v>7</v>
      </c>
      <c r="F1846" t="s">
        <v>53</v>
      </c>
      <c r="G1846" t="s">
        <v>35</v>
      </c>
      <c r="H1846">
        <v>10.61</v>
      </c>
      <c r="I1846" t="s">
        <v>27</v>
      </c>
      <c r="J1846">
        <v>43</v>
      </c>
      <c r="K1846">
        <v>114</v>
      </c>
      <c r="L1846">
        <v>94.82</v>
      </c>
      <c r="M1846">
        <v>34.04</v>
      </c>
      <c r="N1846">
        <v>20.63</v>
      </c>
      <c r="O1846">
        <v>9.14</v>
      </c>
      <c r="P1846">
        <v>318.19</v>
      </c>
      <c r="Q1846">
        <v>113</v>
      </c>
      <c r="R1846">
        <v>1</v>
      </c>
      <c r="S1846">
        <v>80</v>
      </c>
    </row>
    <row r="1847" spans="1:19" x14ac:dyDescent="0.3">
      <c r="A1847">
        <v>1846</v>
      </c>
      <c r="B1847" t="s">
        <v>1129</v>
      </c>
      <c r="C1847">
        <v>2024</v>
      </c>
      <c r="D1847" t="s">
        <v>161</v>
      </c>
      <c r="E1847">
        <v>7</v>
      </c>
      <c r="F1847" t="s">
        <v>21</v>
      </c>
      <c r="G1847" t="s">
        <v>26</v>
      </c>
      <c r="H1847">
        <v>22.02</v>
      </c>
      <c r="I1847" t="s">
        <v>27</v>
      </c>
      <c r="J1847">
        <v>49</v>
      </c>
      <c r="K1847">
        <v>183</v>
      </c>
      <c r="L1847">
        <v>92.48</v>
      </c>
      <c r="M1847">
        <v>30.51</v>
      </c>
      <c r="N1847">
        <v>19.579999999999998</v>
      </c>
      <c r="O1847">
        <v>7.99</v>
      </c>
      <c r="P1847">
        <v>264.8</v>
      </c>
      <c r="Q1847">
        <v>619</v>
      </c>
      <c r="R1847">
        <v>3</v>
      </c>
      <c r="S1847">
        <v>55</v>
      </c>
    </row>
    <row r="1848" spans="1:19" x14ac:dyDescent="0.3">
      <c r="A1848">
        <v>1847</v>
      </c>
      <c r="B1848" t="s">
        <v>1130</v>
      </c>
      <c r="C1848">
        <v>2024</v>
      </c>
      <c r="D1848" t="s">
        <v>161</v>
      </c>
      <c r="E1848">
        <v>7</v>
      </c>
      <c r="F1848" t="s">
        <v>37</v>
      </c>
      <c r="G1848" t="s">
        <v>26</v>
      </c>
      <c r="H1848">
        <v>15.9</v>
      </c>
      <c r="I1848" t="s">
        <v>23</v>
      </c>
      <c r="J1848">
        <v>8</v>
      </c>
      <c r="K1848">
        <v>268</v>
      </c>
      <c r="L1848">
        <v>78.64</v>
      </c>
      <c r="M1848">
        <v>17.600000000000001</v>
      </c>
      <c r="N1848">
        <v>2.54</v>
      </c>
      <c r="O1848">
        <v>15.84</v>
      </c>
      <c r="P1848">
        <v>432.09</v>
      </c>
      <c r="Q1848">
        <v>580</v>
      </c>
      <c r="R1848">
        <v>5</v>
      </c>
      <c r="S1848">
        <v>184</v>
      </c>
    </row>
    <row r="1849" spans="1:19" x14ac:dyDescent="0.3">
      <c r="A1849">
        <v>1848</v>
      </c>
      <c r="B1849" t="s">
        <v>1122</v>
      </c>
      <c r="C1849">
        <v>2024</v>
      </c>
      <c r="D1849" t="s">
        <v>161</v>
      </c>
      <c r="E1849">
        <v>7</v>
      </c>
      <c r="F1849" t="s">
        <v>31</v>
      </c>
      <c r="G1849" t="s">
        <v>40</v>
      </c>
      <c r="H1849">
        <v>39.1</v>
      </c>
      <c r="I1849" t="s">
        <v>47</v>
      </c>
      <c r="J1849">
        <v>12</v>
      </c>
      <c r="K1849">
        <v>415</v>
      </c>
      <c r="L1849">
        <v>94.94</v>
      </c>
      <c r="M1849">
        <v>17.309999999999999</v>
      </c>
      <c r="N1849">
        <v>17.3</v>
      </c>
      <c r="O1849">
        <v>10.81</v>
      </c>
      <c r="P1849">
        <v>465.26</v>
      </c>
      <c r="Q1849">
        <v>827</v>
      </c>
      <c r="R1849">
        <v>1</v>
      </c>
      <c r="S1849">
        <v>218</v>
      </c>
    </row>
    <row r="1850" spans="1:19" x14ac:dyDescent="0.3">
      <c r="A1850">
        <v>1849</v>
      </c>
      <c r="B1850" t="s">
        <v>1124</v>
      </c>
      <c r="C1850">
        <v>2024</v>
      </c>
      <c r="D1850" t="s">
        <v>161</v>
      </c>
      <c r="E1850">
        <v>7</v>
      </c>
      <c r="F1850" t="s">
        <v>62</v>
      </c>
      <c r="G1850" t="s">
        <v>40</v>
      </c>
      <c r="H1850">
        <v>15.31</v>
      </c>
      <c r="I1850" t="s">
        <v>47</v>
      </c>
      <c r="J1850">
        <v>23</v>
      </c>
      <c r="K1850">
        <v>101</v>
      </c>
      <c r="L1850">
        <v>80.989999999999995</v>
      </c>
      <c r="M1850">
        <v>15.33</v>
      </c>
      <c r="N1850">
        <v>21.19</v>
      </c>
      <c r="O1850">
        <v>13.64</v>
      </c>
      <c r="P1850">
        <v>488.91</v>
      </c>
      <c r="Q1850">
        <v>1091</v>
      </c>
      <c r="R1850">
        <v>3</v>
      </c>
      <c r="S1850">
        <v>207</v>
      </c>
    </row>
    <row r="1851" spans="1:19" x14ac:dyDescent="0.3">
      <c r="A1851">
        <v>1850</v>
      </c>
      <c r="B1851" t="s">
        <v>1129</v>
      </c>
      <c r="C1851">
        <v>2024</v>
      </c>
      <c r="D1851" t="s">
        <v>161</v>
      </c>
      <c r="E1851">
        <v>7</v>
      </c>
      <c r="F1851" t="s">
        <v>53</v>
      </c>
      <c r="G1851" t="s">
        <v>22</v>
      </c>
      <c r="H1851">
        <v>6.82</v>
      </c>
      <c r="I1851" t="s">
        <v>47</v>
      </c>
      <c r="J1851">
        <v>15</v>
      </c>
      <c r="K1851">
        <v>122</v>
      </c>
      <c r="L1851">
        <v>77.2</v>
      </c>
      <c r="M1851">
        <v>5.31</v>
      </c>
      <c r="N1851">
        <v>19.510000000000002</v>
      </c>
      <c r="O1851">
        <v>12.33</v>
      </c>
      <c r="P1851">
        <v>263.68</v>
      </c>
      <c r="Q1851">
        <v>991</v>
      </c>
      <c r="R1851">
        <v>4</v>
      </c>
      <c r="S1851">
        <v>84</v>
      </c>
    </row>
    <row r="1852" spans="1:19" x14ac:dyDescent="0.3">
      <c r="A1852">
        <v>1851</v>
      </c>
      <c r="B1852" t="s">
        <v>1131</v>
      </c>
      <c r="C1852">
        <v>2024</v>
      </c>
      <c r="D1852" t="s">
        <v>161</v>
      </c>
      <c r="E1852">
        <v>7</v>
      </c>
      <c r="F1852" t="s">
        <v>34</v>
      </c>
      <c r="G1852" t="s">
        <v>42</v>
      </c>
      <c r="H1852">
        <v>34.32</v>
      </c>
      <c r="I1852" t="s">
        <v>27</v>
      </c>
      <c r="J1852">
        <v>6</v>
      </c>
      <c r="K1852">
        <v>126</v>
      </c>
      <c r="L1852">
        <v>84.92</v>
      </c>
      <c r="M1852">
        <v>21.55</v>
      </c>
      <c r="N1852">
        <v>7.57</v>
      </c>
      <c r="O1852">
        <v>1.47</v>
      </c>
      <c r="P1852">
        <v>394.95</v>
      </c>
      <c r="Q1852">
        <v>793</v>
      </c>
      <c r="R1852">
        <v>4</v>
      </c>
      <c r="S1852">
        <v>134</v>
      </c>
    </row>
    <row r="1853" spans="1:19" x14ac:dyDescent="0.3">
      <c r="A1853">
        <v>1852</v>
      </c>
      <c r="B1853" t="s">
        <v>1132</v>
      </c>
      <c r="C1853">
        <v>2024</v>
      </c>
      <c r="D1853" t="s">
        <v>161</v>
      </c>
      <c r="E1853">
        <v>7</v>
      </c>
      <c r="F1853" t="s">
        <v>29</v>
      </c>
      <c r="G1853" t="s">
        <v>26</v>
      </c>
      <c r="H1853">
        <v>48.11</v>
      </c>
      <c r="I1853" t="s">
        <v>38</v>
      </c>
      <c r="J1853">
        <v>23</v>
      </c>
      <c r="K1853">
        <v>203</v>
      </c>
      <c r="L1853">
        <v>77.489999999999995</v>
      </c>
      <c r="M1853">
        <v>29.76</v>
      </c>
      <c r="N1853">
        <v>13.11</v>
      </c>
      <c r="O1853">
        <v>7.68</v>
      </c>
      <c r="P1853">
        <v>523.09</v>
      </c>
      <c r="Q1853">
        <v>439</v>
      </c>
      <c r="R1853">
        <v>1</v>
      </c>
      <c r="S1853">
        <v>194</v>
      </c>
    </row>
    <row r="1854" spans="1:19" x14ac:dyDescent="0.3">
      <c r="A1854">
        <v>1853</v>
      </c>
      <c r="B1854" t="s">
        <v>1131</v>
      </c>
      <c r="C1854">
        <v>2024</v>
      </c>
      <c r="D1854" t="s">
        <v>161</v>
      </c>
      <c r="E1854">
        <v>7</v>
      </c>
      <c r="F1854" t="s">
        <v>62</v>
      </c>
      <c r="G1854" t="s">
        <v>22</v>
      </c>
      <c r="H1854">
        <v>18.77</v>
      </c>
      <c r="I1854" t="s">
        <v>23</v>
      </c>
      <c r="J1854">
        <v>28</v>
      </c>
      <c r="K1854">
        <v>396</v>
      </c>
      <c r="L1854">
        <v>94.75</v>
      </c>
      <c r="M1854">
        <v>5.69</v>
      </c>
      <c r="N1854">
        <v>21.15</v>
      </c>
      <c r="O1854">
        <v>11.61</v>
      </c>
      <c r="P1854">
        <v>540.77</v>
      </c>
      <c r="Q1854">
        <v>577</v>
      </c>
      <c r="R1854">
        <v>2</v>
      </c>
      <c r="S1854">
        <v>66</v>
      </c>
    </row>
    <row r="1855" spans="1:19" x14ac:dyDescent="0.3">
      <c r="A1855">
        <v>1854</v>
      </c>
      <c r="B1855" t="s">
        <v>1133</v>
      </c>
      <c r="C1855">
        <v>2024</v>
      </c>
      <c r="D1855" t="s">
        <v>161</v>
      </c>
      <c r="E1855">
        <v>7</v>
      </c>
      <c r="F1855" t="s">
        <v>21</v>
      </c>
      <c r="G1855" t="s">
        <v>22</v>
      </c>
      <c r="H1855">
        <v>45.12</v>
      </c>
      <c r="I1855" t="s">
        <v>27</v>
      </c>
      <c r="J1855">
        <v>5</v>
      </c>
      <c r="K1855">
        <v>108</v>
      </c>
      <c r="L1855">
        <v>88.88</v>
      </c>
      <c r="M1855">
        <v>32.51</v>
      </c>
      <c r="N1855">
        <v>10.17</v>
      </c>
      <c r="O1855">
        <v>6.47</v>
      </c>
      <c r="P1855">
        <v>486.49</v>
      </c>
      <c r="Q1855">
        <v>723</v>
      </c>
      <c r="R1855">
        <v>2</v>
      </c>
      <c r="S1855">
        <v>103</v>
      </c>
    </row>
    <row r="1856" spans="1:19" x14ac:dyDescent="0.3">
      <c r="A1856">
        <v>1855</v>
      </c>
      <c r="B1856" t="s">
        <v>1124</v>
      </c>
      <c r="C1856">
        <v>2024</v>
      </c>
      <c r="D1856" t="s">
        <v>161</v>
      </c>
      <c r="E1856">
        <v>7</v>
      </c>
      <c r="F1856" t="s">
        <v>31</v>
      </c>
      <c r="G1856" t="s">
        <v>26</v>
      </c>
      <c r="H1856">
        <v>20.66</v>
      </c>
      <c r="I1856" t="s">
        <v>47</v>
      </c>
      <c r="J1856">
        <v>14</v>
      </c>
      <c r="K1856">
        <v>574</v>
      </c>
      <c r="L1856">
        <v>90.76</v>
      </c>
      <c r="M1856">
        <v>30.42</v>
      </c>
      <c r="N1856">
        <v>8.26</v>
      </c>
      <c r="O1856">
        <v>6.49</v>
      </c>
      <c r="P1856">
        <v>553.88</v>
      </c>
      <c r="Q1856">
        <v>457</v>
      </c>
      <c r="R1856">
        <v>3</v>
      </c>
      <c r="S1856">
        <v>157</v>
      </c>
    </row>
    <row r="1857" spans="1:19" x14ac:dyDescent="0.3">
      <c r="A1857">
        <v>1856</v>
      </c>
      <c r="B1857" t="s">
        <v>1131</v>
      </c>
      <c r="C1857">
        <v>2024</v>
      </c>
      <c r="D1857" t="s">
        <v>161</v>
      </c>
      <c r="E1857">
        <v>7</v>
      </c>
      <c r="F1857" t="s">
        <v>29</v>
      </c>
      <c r="G1857" t="s">
        <v>26</v>
      </c>
      <c r="H1857">
        <v>10.49</v>
      </c>
      <c r="I1857" t="s">
        <v>32</v>
      </c>
      <c r="J1857">
        <v>30</v>
      </c>
      <c r="K1857">
        <v>317</v>
      </c>
      <c r="L1857">
        <v>86.07</v>
      </c>
      <c r="M1857">
        <v>29.07</v>
      </c>
      <c r="N1857">
        <v>14.3</v>
      </c>
      <c r="O1857">
        <v>8.68</v>
      </c>
      <c r="P1857">
        <v>144.26</v>
      </c>
      <c r="Q1857">
        <v>152</v>
      </c>
      <c r="R1857">
        <v>5</v>
      </c>
      <c r="S1857">
        <v>51</v>
      </c>
    </row>
    <row r="1858" spans="1:19" x14ac:dyDescent="0.3">
      <c r="A1858">
        <v>1857</v>
      </c>
      <c r="B1858" t="s">
        <v>1134</v>
      </c>
      <c r="C1858">
        <v>2024</v>
      </c>
      <c r="D1858" t="s">
        <v>161</v>
      </c>
      <c r="E1858">
        <v>7</v>
      </c>
      <c r="F1858" t="s">
        <v>29</v>
      </c>
      <c r="G1858" t="s">
        <v>42</v>
      </c>
      <c r="H1858">
        <v>15.79</v>
      </c>
      <c r="I1858" t="s">
        <v>38</v>
      </c>
      <c r="J1858">
        <v>9</v>
      </c>
      <c r="K1858">
        <v>452</v>
      </c>
      <c r="L1858">
        <v>92.29</v>
      </c>
      <c r="M1858">
        <v>15.1</v>
      </c>
      <c r="N1858">
        <v>2.14</v>
      </c>
      <c r="O1858">
        <v>1.2</v>
      </c>
      <c r="P1858">
        <v>461.51</v>
      </c>
      <c r="Q1858">
        <v>606</v>
      </c>
      <c r="R1858">
        <v>4</v>
      </c>
      <c r="S1858">
        <v>112</v>
      </c>
    </row>
    <row r="1859" spans="1:19" x14ac:dyDescent="0.3">
      <c r="A1859">
        <v>1858</v>
      </c>
      <c r="B1859" t="s">
        <v>1135</v>
      </c>
      <c r="C1859">
        <v>2024</v>
      </c>
      <c r="D1859" t="s">
        <v>161</v>
      </c>
      <c r="E1859">
        <v>7</v>
      </c>
      <c r="F1859" t="s">
        <v>31</v>
      </c>
      <c r="G1859" t="s">
        <v>40</v>
      </c>
      <c r="H1859">
        <v>34.090000000000003</v>
      </c>
      <c r="I1859" t="s">
        <v>27</v>
      </c>
      <c r="J1859">
        <v>44</v>
      </c>
      <c r="K1859">
        <v>471</v>
      </c>
      <c r="L1859">
        <v>80.150000000000006</v>
      </c>
      <c r="M1859">
        <v>33.75</v>
      </c>
      <c r="N1859">
        <v>11.87</v>
      </c>
      <c r="O1859">
        <v>7.92</v>
      </c>
      <c r="P1859">
        <v>599.64</v>
      </c>
      <c r="Q1859">
        <v>329</v>
      </c>
      <c r="R1859">
        <v>3</v>
      </c>
      <c r="S1859">
        <v>70</v>
      </c>
    </row>
    <row r="1860" spans="1:19" x14ac:dyDescent="0.3">
      <c r="A1860">
        <v>1859</v>
      </c>
      <c r="B1860" t="s">
        <v>1136</v>
      </c>
      <c r="C1860">
        <v>2024</v>
      </c>
      <c r="D1860" t="s">
        <v>161</v>
      </c>
      <c r="E1860">
        <v>7</v>
      </c>
      <c r="F1860" t="s">
        <v>21</v>
      </c>
      <c r="G1860" t="s">
        <v>22</v>
      </c>
      <c r="H1860">
        <v>33.44</v>
      </c>
      <c r="I1860" t="s">
        <v>47</v>
      </c>
      <c r="J1860">
        <v>13</v>
      </c>
      <c r="K1860">
        <v>137</v>
      </c>
      <c r="L1860">
        <v>87.6</v>
      </c>
      <c r="M1860">
        <v>28.76</v>
      </c>
      <c r="N1860">
        <v>13.89</v>
      </c>
      <c r="O1860">
        <v>14.18</v>
      </c>
      <c r="P1860">
        <v>231.24</v>
      </c>
      <c r="Q1860">
        <v>967</v>
      </c>
      <c r="R1860">
        <v>2</v>
      </c>
      <c r="S1860">
        <v>79</v>
      </c>
    </row>
    <row r="1861" spans="1:19" x14ac:dyDescent="0.3">
      <c r="A1861">
        <v>1860</v>
      </c>
      <c r="B1861" t="s">
        <v>1137</v>
      </c>
      <c r="C1861">
        <v>2024</v>
      </c>
      <c r="D1861" t="s">
        <v>161</v>
      </c>
      <c r="E1861">
        <v>7</v>
      </c>
      <c r="F1861" t="s">
        <v>53</v>
      </c>
      <c r="G1861" t="s">
        <v>40</v>
      </c>
      <c r="H1861">
        <v>22.45</v>
      </c>
      <c r="I1861" t="s">
        <v>38</v>
      </c>
      <c r="J1861">
        <v>50</v>
      </c>
      <c r="K1861">
        <v>322</v>
      </c>
      <c r="L1861">
        <v>77.63</v>
      </c>
      <c r="M1861">
        <v>17.32</v>
      </c>
      <c r="N1861">
        <v>7.93</v>
      </c>
      <c r="O1861">
        <v>6.14</v>
      </c>
      <c r="P1861">
        <v>264.89</v>
      </c>
      <c r="Q1861">
        <v>694</v>
      </c>
      <c r="R1861">
        <v>5</v>
      </c>
      <c r="S1861">
        <v>179</v>
      </c>
    </row>
    <row r="1862" spans="1:19" x14ac:dyDescent="0.3">
      <c r="A1862">
        <v>1861</v>
      </c>
      <c r="B1862" t="s">
        <v>1137</v>
      </c>
      <c r="C1862">
        <v>2024</v>
      </c>
      <c r="D1862" t="s">
        <v>161</v>
      </c>
      <c r="E1862">
        <v>7</v>
      </c>
      <c r="F1862" t="s">
        <v>25</v>
      </c>
      <c r="G1862" t="s">
        <v>40</v>
      </c>
      <c r="H1862">
        <v>9.01</v>
      </c>
      <c r="I1862" t="s">
        <v>32</v>
      </c>
      <c r="J1862">
        <v>30</v>
      </c>
      <c r="K1862">
        <v>365</v>
      </c>
      <c r="L1862">
        <v>94.58</v>
      </c>
      <c r="M1862">
        <v>12.02</v>
      </c>
      <c r="N1862">
        <v>18.5</v>
      </c>
      <c r="O1862">
        <v>6.92</v>
      </c>
      <c r="P1862">
        <v>271.58999999999997</v>
      </c>
      <c r="Q1862">
        <v>791</v>
      </c>
      <c r="R1862">
        <v>2</v>
      </c>
      <c r="S1862">
        <v>121</v>
      </c>
    </row>
    <row r="1863" spans="1:19" x14ac:dyDescent="0.3">
      <c r="A1863">
        <v>1862</v>
      </c>
      <c r="B1863" t="s">
        <v>1130</v>
      </c>
      <c r="C1863">
        <v>2024</v>
      </c>
      <c r="D1863" t="s">
        <v>161</v>
      </c>
      <c r="E1863">
        <v>7</v>
      </c>
      <c r="F1863" t="s">
        <v>31</v>
      </c>
      <c r="G1863" t="s">
        <v>42</v>
      </c>
      <c r="H1863">
        <v>38.450000000000003</v>
      </c>
      <c r="I1863" t="s">
        <v>27</v>
      </c>
      <c r="J1863">
        <v>47</v>
      </c>
      <c r="K1863">
        <v>195</v>
      </c>
      <c r="L1863">
        <v>93.78</v>
      </c>
      <c r="M1863">
        <v>24.95</v>
      </c>
      <c r="N1863">
        <v>2.48</v>
      </c>
      <c r="O1863">
        <v>11.15</v>
      </c>
      <c r="P1863">
        <v>349.38</v>
      </c>
      <c r="Q1863">
        <v>414</v>
      </c>
      <c r="R1863">
        <v>1</v>
      </c>
      <c r="S1863">
        <v>79</v>
      </c>
    </row>
    <row r="1864" spans="1:19" x14ac:dyDescent="0.3">
      <c r="A1864">
        <v>1863</v>
      </c>
      <c r="B1864" t="s">
        <v>1133</v>
      </c>
      <c r="C1864">
        <v>2024</v>
      </c>
      <c r="D1864" t="s">
        <v>161</v>
      </c>
      <c r="E1864">
        <v>7</v>
      </c>
      <c r="F1864" t="s">
        <v>34</v>
      </c>
      <c r="G1864" t="s">
        <v>26</v>
      </c>
      <c r="H1864">
        <v>38.869999999999997</v>
      </c>
      <c r="I1864" t="s">
        <v>32</v>
      </c>
      <c r="J1864">
        <v>39</v>
      </c>
      <c r="K1864">
        <v>522</v>
      </c>
      <c r="L1864">
        <v>82.44</v>
      </c>
      <c r="M1864">
        <v>11.87</v>
      </c>
      <c r="N1864">
        <v>16.25</v>
      </c>
      <c r="O1864">
        <v>7</v>
      </c>
      <c r="P1864">
        <v>295.23</v>
      </c>
      <c r="Q1864">
        <v>585</v>
      </c>
      <c r="R1864">
        <v>5</v>
      </c>
      <c r="S1864">
        <v>171</v>
      </c>
    </row>
    <row r="1865" spans="1:19" x14ac:dyDescent="0.3">
      <c r="A1865">
        <v>1864</v>
      </c>
      <c r="B1865" t="s">
        <v>1131</v>
      </c>
      <c r="C1865">
        <v>2024</v>
      </c>
      <c r="D1865" t="s">
        <v>161</v>
      </c>
      <c r="E1865">
        <v>7</v>
      </c>
      <c r="F1865" t="s">
        <v>53</v>
      </c>
      <c r="G1865" t="s">
        <v>26</v>
      </c>
      <c r="H1865">
        <v>42.04</v>
      </c>
      <c r="I1865" t="s">
        <v>47</v>
      </c>
      <c r="J1865">
        <v>10</v>
      </c>
      <c r="K1865">
        <v>463</v>
      </c>
      <c r="L1865">
        <v>85.01</v>
      </c>
      <c r="M1865">
        <v>29.36</v>
      </c>
      <c r="N1865">
        <v>5.0599999999999996</v>
      </c>
      <c r="O1865">
        <v>8.9700000000000006</v>
      </c>
      <c r="P1865">
        <v>159.65</v>
      </c>
      <c r="Q1865">
        <v>166</v>
      </c>
      <c r="R1865">
        <v>2</v>
      </c>
      <c r="S1865">
        <v>81</v>
      </c>
    </row>
    <row r="1866" spans="1:19" x14ac:dyDescent="0.3">
      <c r="A1866">
        <v>1865</v>
      </c>
      <c r="B1866" t="s">
        <v>1124</v>
      </c>
      <c r="C1866">
        <v>2024</v>
      </c>
      <c r="D1866" t="s">
        <v>161</v>
      </c>
      <c r="E1866">
        <v>7</v>
      </c>
      <c r="F1866" t="s">
        <v>37</v>
      </c>
      <c r="G1866" t="s">
        <v>42</v>
      </c>
      <c r="H1866">
        <v>49.81</v>
      </c>
      <c r="I1866" t="s">
        <v>38</v>
      </c>
      <c r="J1866">
        <v>11</v>
      </c>
      <c r="K1866">
        <v>452</v>
      </c>
      <c r="L1866">
        <v>76.8</v>
      </c>
      <c r="M1866">
        <v>22.86</v>
      </c>
      <c r="N1866">
        <v>10.02</v>
      </c>
      <c r="O1866">
        <v>5.39</v>
      </c>
      <c r="P1866">
        <v>253.93</v>
      </c>
      <c r="Q1866">
        <v>997</v>
      </c>
      <c r="R1866">
        <v>3</v>
      </c>
      <c r="S1866">
        <v>104</v>
      </c>
    </row>
    <row r="1867" spans="1:19" x14ac:dyDescent="0.3">
      <c r="A1867">
        <v>1866</v>
      </c>
      <c r="B1867" t="s">
        <v>1138</v>
      </c>
      <c r="C1867">
        <v>2024</v>
      </c>
      <c r="D1867" t="s">
        <v>161</v>
      </c>
      <c r="E1867">
        <v>7</v>
      </c>
      <c r="F1867" t="s">
        <v>31</v>
      </c>
      <c r="G1867" t="s">
        <v>40</v>
      </c>
      <c r="H1867">
        <v>39.04</v>
      </c>
      <c r="I1867" t="s">
        <v>27</v>
      </c>
      <c r="J1867">
        <v>30</v>
      </c>
      <c r="K1867">
        <v>317</v>
      </c>
      <c r="L1867">
        <v>83.67</v>
      </c>
      <c r="M1867">
        <v>26.21</v>
      </c>
      <c r="N1867">
        <v>19.600000000000001</v>
      </c>
      <c r="O1867">
        <v>8.0500000000000007</v>
      </c>
      <c r="P1867">
        <v>416.8</v>
      </c>
      <c r="Q1867">
        <v>400</v>
      </c>
      <c r="R1867">
        <v>5</v>
      </c>
      <c r="S1867">
        <v>213</v>
      </c>
    </row>
    <row r="1868" spans="1:19" x14ac:dyDescent="0.3">
      <c r="A1868">
        <v>1867</v>
      </c>
      <c r="B1868" t="s">
        <v>1134</v>
      </c>
      <c r="C1868">
        <v>2024</v>
      </c>
      <c r="D1868" t="s">
        <v>161</v>
      </c>
      <c r="E1868">
        <v>7</v>
      </c>
      <c r="F1868" t="s">
        <v>34</v>
      </c>
      <c r="G1868" t="s">
        <v>26</v>
      </c>
      <c r="H1868">
        <v>36.03</v>
      </c>
      <c r="I1868" t="s">
        <v>47</v>
      </c>
      <c r="J1868">
        <v>44</v>
      </c>
      <c r="K1868">
        <v>239</v>
      </c>
      <c r="L1868">
        <v>87.83</v>
      </c>
      <c r="M1868">
        <v>11.72</v>
      </c>
      <c r="N1868">
        <v>7.7</v>
      </c>
      <c r="O1868">
        <v>8.73</v>
      </c>
      <c r="P1868">
        <v>174.17</v>
      </c>
      <c r="Q1868">
        <v>810</v>
      </c>
      <c r="R1868">
        <v>1</v>
      </c>
      <c r="S1868">
        <v>127</v>
      </c>
    </row>
    <row r="1869" spans="1:19" x14ac:dyDescent="0.3">
      <c r="A1869">
        <v>1868</v>
      </c>
      <c r="B1869" t="s">
        <v>1139</v>
      </c>
      <c r="C1869">
        <v>2024</v>
      </c>
      <c r="D1869" t="s">
        <v>161</v>
      </c>
      <c r="E1869">
        <v>7</v>
      </c>
      <c r="F1869" t="s">
        <v>31</v>
      </c>
      <c r="G1869" t="s">
        <v>26</v>
      </c>
      <c r="H1869">
        <v>10.130000000000001</v>
      </c>
      <c r="I1869" t="s">
        <v>32</v>
      </c>
      <c r="J1869">
        <v>14</v>
      </c>
      <c r="K1869">
        <v>233</v>
      </c>
      <c r="L1869">
        <v>75.430000000000007</v>
      </c>
      <c r="M1869">
        <v>33.6</v>
      </c>
      <c r="N1869">
        <v>14.68</v>
      </c>
      <c r="O1869">
        <v>6.6</v>
      </c>
      <c r="P1869">
        <v>562.42999999999995</v>
      </c>
      <c r="Q1869">
        <v>903</v>
      </c>
      <c r="R1869">
        <v>4</v>
      </c>
      <c r="S1869">
        <v>146</v>
      </c>
    </row>
    <row r="1870" spans="1:19" x14ac:dyDescent="0.3">
      <c r="A1870">
        <v>1869</v>
      </c>
      <c r="B1870" t="s">
        <v>1140</v>
      </c>
      <c r="C1870">
        <v>2024</v>
      </c>
      <c r="D1870" t="s">
        <v>161</v>
      </c>
      <c r="E1870">
        <v>7</v>
      </c>
      <c r="F1870" t="s">
        <v>25</v>
      </c>
      <c r="G1870" t="s">
        <v>35</v>
      </c>
      <c r="H1870">
        <v>14.07</v>
      </c>
      <c r="I1870" t="s">
        <v>23</v>
      </c>
      <c r="J1870">
        <v>30</v>
      </c>
      <c r="K1870">
        <v>415</v>
      </c>
      <c r="L1870">
        <v>80.900000000000006</v>
      </c>
      <c r="M1870">
        <v>10.81</v>
      </c>
      <c r="N1870">
        <v>3.63</v>
      </c>
      <c r="O1870">
        <v>15.79</v>
      </c>
      <c r="P1870">
        <v>225.16</v>
      </c>
      <c r="Q1870">
        <v>377</v>
      </c>
      <c r="R1870">
        <v>4</v>
      </c>
      <c r="S1870">
        <v>84</v>
      </c>
    </row>
    <row r="1871" spans="1:19" x14ac:dyDescent="0.3">
      <c r="A1871">
        <v>1870</v>
      </c>
      <c r="B1871" t="s">
        <v>1136</v>
      </c>
      <c r="C1871">
        <v>2024</v>
      </c>
      <c r="D1871" t="s">
        <v>161</v>
      </c>
      <c r="E1871">
        <v>7</v>
      </c>
      <c r="F1871" t="s">
        <v>62</v>
      </c>
      <c r="G1871" t="s">
        <v>42</v>
      </c>
      <c r="H1871">
        <v>21.56</v>
      </c>
      <c r="I1871" t="s">
        <v>23</v>
      </c>
      <c r="J1871">
        <v>21</v>
      </c>
      <c r="K1871">
        <v>439</v>
      </c>
      <c r="L1871">
        <v>87.85</v>
      </c>
      <c r="M1871">
        <v>10.6</v>
      </c>
      <c r="N1871">
        <v>14.72</v>
      </c>
      <c r="O1871">
        <v>10.5</v>
      </c>
      <c r="P1871">
        <v>461.91</v>
      </c>
      <c r="Q1871">
        <v>467</v>
      </c>
      <c r="R1871">
        <v>1</v>
      </c>
      <c r="S1871">
        <v>217</v>
      </c>
    </row>
    <row r="1872" spans="1:19" x14ac:dyDescent="0.3">
      <c r="A1872">
        <v>1871</v>
      </c>
      <c r="B1872" t="s">
        <v>1141</v>
      </c>
      <c r="C1872">
        <v>2024</v>
      </c>
      <c r="D1872" t="s">
        <v>161</v>
      </c>
      <c r="E1872">
        <v>8</v>
      </c>
      <c r="F1872" t="s">
        <v>25</v>
      </c>
      <c r="G1872" t="s">
        <v>26</v>
      </c>
      <c r="H1872">
        <v>26.6</v>
      </c>
      <c r="I1872" t="s">
        <v>23</v>
      </c>
      <c r="J1872">
        <v>10</v>
      </c>
      <c r="K1872">
        <v>394</v>
      </c>
      <c r="L1872">
        <v>76.040000000000006</v>
      </c>
      <c r="M1872">
        <v>22.56</v>
      </c>
      <c r="N1872">
        <v>9.44</v>
      </c>
      <c r="O1872">
        <v>2.09</v>
      </c>
      <c r="P1872">
        <v>460.58</v>
      </c>
      <c r="Q1872">
        <v>726</v>
      </c>
      <c r="R1872">
        <v>5</v>
      </c>
      <c r="S1872">
        <v>88</v>
      </c>
    </row>
    <row r="1873" spans="1:19" x14ac:dyDescent="0.3">
      <c r="A1873">
        <v>1872</v>
      </c>
      <c r="B1873" t="s">
        <v>1142</v>
      </c>
      <c r="C1873">
        <v>2024</v>
      </c>
      <c r="D1873" t="s">
        <v>161</v>
      </c>
      <c r="E1873">
        <v>8</v>
      </c>
      <c r="F1873" t="s">
        <v>62</v>
      </c>
      <c r="G1873" t="s">
        <v>26</v>
      </c>
      <c r="H1873">
        <v>44.01</v>
      </c>
      <c r="I1873" t="s">
        <v>47</v>
      </c>
      <c r="J1873">
        <v>36</v>
      </c>
      <c r="K1873">
        <v>281</v>
      </c>
      <c r="L1873">
        <v>78.209999999999994</v>
      </c>
      <c r="M1873">
        <v>17.329999999999998</v>
      </c>
      <c r="N1873">
        <v>5.14</v>
      </c>
      <c r="O1873">
        <v>4.99</v>
      </c>
      <c r="P1873">
        <v>587.76</v>
      </c>
      <c r="Q1873">
        <v>731</v>
      </c>
      <c r="R1873">
        <v>5</v>
      </c>
      <c r="S1873">
        <v>87</v>
      </c>
    </row>
    <row r="1874" spans="1:19" x14ac:dyDescent="0.3">
      <c r="A1874">
        <v>1873</v>
      </c>
      <c r="B1874" t="s">
        <v>1143</v>
      </c>
      <c r="C1874">
        <v>2024</v>
      </c>
      <c r="D1874" t="s">
        <v>161</v>
      </c>
      <c r="E1874">
        <v>8</v>
      </c>
      <c r="F1874" t="s">
        <v>53</v>
      </c>
      <c r="G1874" t="s">
        <v>35</v>
      </c>
      <c r="H1874">
        <v>53.41</v>
      </c>
      <c r="I1874" t="s">
        <v>27</v>
      </c>
      <c r="J1874">
        <v>8</v>
      </c>
      <c r="K1874">
        <v>465</v>
      </c>
      <c r="L1874">
        <v>87.48</v>
      </c>
      <c r="M1874">
        <v>19.45</v>
      </c>
      <c r="N1874">
        <v>15.39</v>
      </c>
      <c r="O1874">
        <v>2.2200000000000002</v>
      </c>
      <c r="P1874">
        <v>164.51</v>
      </c>
      <c r="Q1874">
        <v>260</v>
      </c>
      <c r="R1874">
        <v>5</v>
      </c>
      <c r="S1874">
        <v>133</v>
      </c>
    </row>
    <row r="1875" spans="1:19" x14ac:dyDescent="0.3">
      <c r="A1875">
        <v>1874</v>
      </c>
      <c r="B1875" t="s">
        <v>1144</v>
      </c>
      <c r="C1875">
        <v>2024</v>
      </c>
      <c r="D1875" t="s">
        <v>161</v>
      </c>
      <c r="E1875">
        <v>8</v>
      </c>
      <c r="F1875" t="s">
        <v>25</v>
      </c>
      <c r="G1875" t="s">
        <v>42</v>
      </c>
      <c r="H1875">
        <v>6.01</v>
      </c>
      <c r="I1875" t="s">
        <v>27</v>
      </c>
      <c r="J1875">
        <v>27</v>
      </c>
      <c r="K1875">
        <v>275</v>
      </c>
      <c r="L1875">
        <v>87.12</v>
      </c>
      <c r="M1875">
        <v>18.18</v>
      </c>
      <c r="N1875">
        <v>11.03</v>
      </c>
      <c r="O1875">
        <v>7.6</v>
      </c>
      <c r="P1875">
        <v>402.01</v>
      </c>
      <c r="Q1875">
        <v>282</v>
      </c>
      <c r="R1875">
        <v>4</v>
      </c>
      <c r="S1875">
        <v>190</v>
      </c>
    </row>
    <row r="1876" spans="1:19" x14ac:dyDescent="0.3">
      <c r="A1876">
        <v>1875</v>
      </c>
      <c r="B1876" t="s">
        <v>1141</v>
      </c>
      <c r="C1876">
        <v>2024</v>
      </c>
      <c r="D1876" t="s">
        <v>161</v>
      </c>
      <c r="E1876">
        <v>8</v>
      </c>
      <c r="F1876" t="s">
        <v>37</v>
      </c>
      <c r="G1876" t="s">
        <v>22</v>
      </c>
      <c r="H1876">
        <v>51.47</v>
      </c>
      <c r="I1876" t="s">
        <v>32</v>
      </c>
      <c r="J1876">
        <v>38</v>
      </c>
      <c r="K1876">
        <v>236</v>
      </c>
      <c r="L1876">
        <v>88.87</v>
      </c>
      <c r="M1876">
        <v>32.78</v>
      </c>
      <c r="N1876">
        <v>5.04</v>
      </c>
      <c r="O1876">
        <v>2.74</v>
      </c>
      <c r="P1876">
        <v>365.32</v>
      </c>
      <c r="Q1876">
        <v>127</v>
      </c>
      <c r="R1876">
        <v>5</v>
      </c>
      <c r="S1876">
        <v>71</v>
      </c>
    </row>
    <row r="1877" spans="1:19" x14ac:dyDescent="0.3">
      <c r="A1877">
        <v>1876</v>
      </c>
      <c r="B1877" t="s">
        <v>1145</v>
      </c>
      <c r="C1877">
        <v>2024</v>
      </c>
      <c r="D1877" t="s">
        <v>161</v>
      </c>
      <c r="E1877">
        <v>8</v>
      </c>
      <c r="F1877" t="s">
        <v>34</v>
      </c>
      <c r="G1877" t="s">
        <v>26</v>
      </c>
      <c r="H1877">
        <v>34.630000000000003</v>
      </c>
      <c r="I1877" t="s">
        <v>27</v>
      </c>
      <c r="J1877">
        <v>50</v>
      </c>
      <c r="K1877">
        <v>522</v>
      </c>
      <c r="L1877">
        <v>81.96</v>
      </c>
      <c r="M1877">
        <v>29.85</v>
      </c>
      <c r="N1877">
        <v>21.55</v>
      </c>
      <c r="O1877">
        <v>7.95</v>
      </c>
      <c r="P1877">
        <v>444.5</v>
      </c>
      <c r="Q1877">
        <v>561</v>
      </c>
      <c r="R1877">
        <v>1</v>
      </c>
      <c r="S1877">
        <v>191</v>
      </c>
    </row>
    <row r="1878" spans="1:19" x14ac:dyDescent="0.3">
      <c r="A1878">
        <v>1877</v>
      </c>
      <c r="B1878" t="s">
        <v>1143</v>
      </c>
      <c r="C1878">
        <v>2024</v>
      </c>
      <c r="D1878" t="s">
        <v>161</v>
      </c>
      <c r="E1878">
        <v>8</v>
      </c>
      <c r="F1878" t="s">
        <v>34</v>
      </c>
      <c r="G1878" t="s">
        <v>35</v>
      </c>
      <c r="H1878">
        <v>17.73</v>
      </c>
      <c r="I1878" t="s">
        <v>32</v>
      </c>
      <c r="J1878">
        <v>21</v>
      </c>
      <c r="K1878">
        <v>267</v>
      </c>
      <c r="L1878">
        <v>84.12</v>
      </c>
      <c r="M1878">
        <v>5.13</v>
      </c>
      <c r="N1878">
        <v>20.350000000000001</v>
      </c>
      <c r="O1878">
        <v>13.16</v>
      </c>
      <c r="P1878">
        <v>242.73</v>
      </c>
      <c r="Q1878">
        <v>310</v>
      </c>
      <c r="R1878">
        <v>5</v>
      </c>
      <c r="S1878">
        <v>156</v>
      </c>
    </row>
    <row r="1879" spans="1:19" x14ac:dyDescent="0.3">
      <c r="A1879">
        <v>1878</v>
      </c>
      <c r="B1879" t="s">
        <v>1146</v>
      </c>
      <c r="C1879">
        <v>2024</v>
      </c>
      <c r="D1879" t="s">
        <v>161</v>
      </c>
      <c r="E1879">
        <v>8</v>
      </c>
      <c r="F1879" t="s">
        <v>25</v>
      </c>
      <c r="G1879" t="s">
        <v>22</v>
      </c>
      <c r="H1879">
        <v>14.04</v>
      </c>
      <c r="I1879" t="s">
        <v>27</v>
      </c>
      <c r="J1879">
        <v>37</v>
      </c>
      <c r="K1879">
        <v>566</v>
      </c>
      <c r="L1879">
        <v>90.4</v>
      </c>
      <c r="M1879">
        <v>18.559999999999999</v>
      </c>
      <c r="N1879">
        <v>8.2899999999999991</v>
      </c>
      <c r="O1879">
        <v>3.93</v>
      </c>
      <c r="P1879">
        <v>581.55999999999995</v>
      </c>
      <c r="Q1879">
        <v>731</v>
      </c>
      <c r="R1879">
        <v>3</v>
      </c>
      <c r="S1879">
        <v>188</v>
      </c>
    </row>
    <row r="1880" spans="1:19" x14ac:dyDescent="0.3">
      <c r="A1880">
        <v>1879</v>
      </c>
      <c r="B1880" t="s">
        <v>1147</v>
      </c>
      <c r="C1880">
        <v>2024</v>
      </c>
      <c r="D1880" t="s">
        <v>161</v>
      </c>
      <c r="E1880">
        <v>8</v>
      </c>
      <c r="F1880" t="s">
        <v>53</v>
      </c>
      <c r="G1880" t="s">
        <v>26</v>
      </c>
      <c r="H1880">
        <v>49.34</v>
      </c>
      <c r="I1880" t="s">
        <v>38</v>
      </c>
      <c r="J1880">
        <v>6</v>
      </c>
      <c r="K1880">
        <v>596</v>
      </c>
      <c r="L1880">
        <v>81.37</v>
      </c>
      <c r="M1880">
        <v>28.24</v>
      </c>
      <c r="N1880">
        <v>7.96</v>
      </c>
      <c r="O1880">
        <v>11.31</v>
      </c>
      <c r="P1880">
        <v>145.69</v>
      </c>
      <c r="Q1880">
        <v>126</v>
      </c>
      <c r="R1880">
        <v>4</v>
      </c>
      <c r="S1880">
        <v>52</v>
      </c>
    </row>
    <row r="1881" spans="1:19" x14ac:dyDescent="0.3">
      <c r="A1881">
        <v>1880</v>
      </c>
      <c r="B1881" t="s">
        <v>1146</v>
      </c>
      <c r="C1881">
        <v>2024</v>
      </c>
      <c r="D1881" t="s">
        <v>161</v>
      </c>
      <c r="E1881">
        <v>8</v>
      </c>
      <c r="F1881" t="s">
        <v>21</v>
      </c>
      <c r="G1881" t="s">
        <v>22</v>
      </c>
      <c r="H1881">
        <v>18.47</v>
      </c>
      <c r="I1881" t="s">
        <v>38</v>
      </c>
      <c r="J1881">
        <v>7</v>
      </c>
      <c r="K1881">
        <v>451</v>
      </c>
      <c r="L1881">
        <v>90.65</v>
      </c>
      <c r="M1881">
        <v>8.91</v>
      </c>
      <c r="N1881">
        <v>20.329999999999998</v>
      </c>
      <c r="O1881">
        <v>8.3800000000000008</v>
      </c>
      <c r="P1881">
        <v>524.5</v>
      </c>
      <c r="Q1881">
        <v>849</v>
      </c>
      <c r="R1881">
        <v>4</v>
      </c>
      <c r="S1881">
        <v>154</v>
      </c>
    </row>
    <row r="1882" spans="1:19" x14ac:dyDescent="0.3">
      <c r="A1882">
        <v>1881</v>
      </c>
      <c r="B1882" t="s">
        <v>1147</v>
      </c>
      <c r="C1882">
        <v>2024</v>
      </c>
      <c r="D1882" t="s">
        <v>161</v>
      </c>
      <c r="E1882">
        <v>8</v>
      </c>
      <c r="F1882" t="s">
        <v>34</v>
      </c>
      <c r="G1882" t="s">
        <v>26</v>
      </c>
      <c r="H1882">
        <v>17.54</v>
      </c>
      <c r="I1882" t="s">
        <v>27</v>
      </c>
      <c r="J1882">
        <v>23</v>
      </c>
      <c r="K1882">
        <v>578</v>
      </c>
      <c r="L1882">
        <v>82.72</v>
      </c>
      <c r="M1882">
        <v>27.57</v>
      </c>
      <c r="N1882">
        <v>5.65</v>
      </c>
      <c r="O1882">
        <v>6.91</v>
      </c>
      <c r="P1882">
        <v>129.47</v>
      </c>
      <c r="Q1882">
        <v>790</v>
      </c>
      <c r="R1882">
        <v>3</v>
      </c>
      <c r="S1882">
        <v>116</v>
      </c>
    </row>
    <row r="1883" spans="1:19" x14ac:dyDescent="0.3">
      <c r="A1883">
        <v>1882</v>
      </c>
      <c r="B1883" t="s">
        <v>1148</v>
      </c>
      <c r="C1883">
        <v>2024</v>
      </c>
      <c r="D1883" t="s">
        <v>161</v>
      </c>
      <c r="E1883">
        <v>8</v>
      </c>
      <c r="F1883" t="s">
        <v>62</v>
      </c>
      <c r="G1883" t="s">
        <v>35</v>
      </c>
      <c r="H1883">
        <v>10.16</v>
      </c>
      <c r="I1883" t="s">
        <v>27</v>
      </c>
      <c r="J1883">
        <v>23</v>
      </c>
      <c r="K1883">
        <v>249</v>
      </c>
      <c r="L1883">
        <v>83.88</v>
      </c>
      <c r="M1883">
        <v>16.7</v>
      </c>
      <c r="N1883">
        <v>4.16</v>
      </c>
      <c r="O1883">
        <v>2.33</v>
      </c>
      <c r="P1883">
        <v>408.86</v>
      </c>
      <c r="Q1883">
        <v>968</v>
      </c>
      <c r="R1883">
        <v>2</v>
      </c>
      <c r="S1883">
        <v>74</v>
      </c>
    </row>
    <row r="1884" spans="1:19" x14ac:dyDescent="0.3">
      <c r="A1884">
        <v>1883</v>
      </c>
      <c r="B1884" t="s">
        <v>1141</v>
      </c>
      <c r="C1884">
        <v>2024</v>
      </c>
      <c r="D1884" t="s">
        <v>161</v>
      </c>
      <c r="E1884">
        <v>8</v>
      </c>
      <c r="F1884" t="s">
        <v>34</v>
      </c>
      <c r="G1884" t="s">
        <v>35</v>
      </c>
      <c r="H1884">
        <v>26.22</v>
      </c>
      <c r="I1884" t="s">
        <v>47</v>
      </c>
      <c r="J1884">
        <v>11</v>
      </c>
      <c r="K1884">
        <v>539</v>
      </c>
      <c r="L1884">
        <v>83.21</v>
      </c>
      <c r="M1884">
        <v>17.82</v>
      </c>
      <c r="N1884">
        <v>14.74</v>
      </c>
      <c r="O1884">
        <v>12.32</v>
      </c>
      <c r="P1884">
        <v>398.32</v>
      </c>
      <c r="Q1884">
        <v>203</v>
      </c>
      <c r="R1884">
        <v>3</v>
      </c>
      <c r="S1884">
        <v>217</v>
      </c>
    </row>
    <row r="1885" spans="1:19" x14ac:dyDescent="0.3">
      <c r="A1885">
        <v>1884</v>
      </c>
      <c r="B1885" t="s">
        <v>1149</v>
      </c>
      <c r="C1885">
        <v>2024</v>
      </c>
      <c r="D1885" t="s">
        <v>161</v>
      </c>
      <c r="E1885">
        <v>8</v>
      </c>
      <c r="F1885" t="s">
        <v>34</v>
      </c>
      <c r="G1885" t="s">
        <v>22</v>
      </c>
      <c r="H1885">
        <v>21.24</v>
      </c>
      <c r="I1885" t="s">
        <v>23</v>
      </c>
      <c r="J1885">
        <v>31</v>
      </c>
      <c r="K1885">
        <v>532</v>
      </c>
      <c r="L1885">
        <v>89.81</v>
      </c>
      <c r="M1885">
        <v>17.02</v>
      </c>
      <c r="N1885">
        <v>12.69</v>
      </c>
      <c r="O1885">
        <v>10.66</v>
      </c>
      <c r="P1885">
        <v>155.91999999999999</v>
      </c>
      <c r="Q1885">
        <v>991</v>
      </c>
      <c r="R1885">
        <v>4</v>
      </c>
      <c r="S1885">
        <v>228</v>
      </c>
    </row>
    <row r="1886" spans="1:19" x14ac:dyDescent="0.3">
      <c r="A1886">
        <v>1885</v>
      </c>
      <c r="B1886" t="s">
        <v>1150</v>
      </c>
      <c r="C1886">
        <v>2024</v>
      </c>
      <c r="D1886" t="s">
        <v>161</v>
      </c>
      <c r="E1886">
        <v>8</v>
      </c>
      <c r="F1886" t="s">
        <v>29</v>
      </c>
      <c r="G1886" t="s">
        <v>22</v>
      </c>
      <c r="H1886">
        <v>16.559999999999999</v>
      </c>
      <c r="I1886" t="s">
        <v>38</v>
      </c>
      <c r="J1886">
        <v>8</v>
      </c>
      <c r="K1886">
        <v>340</v>
      </c>
      <c r="L1886">
        <v>85.27</v>
      </c>
      <c r="M1886">
        <v>28.14</v>
      </c>
      <c r="N1886">
        <v>13.9</v>
      </c>
      <c r="O1886">
        <v>12.99</v>
      </c>
      <c r="P1886">
        <v>114.61</v>
      </c>
      <c r="Q1886">
        <v>262</v>
      </c>
      <c r="R1886">
        <v>4</v>
      </c>
      <c r="S1886">
        <v>170</v>
      </c>
    </row>
    <row r="1887" spans="1:19" x14ac:dyDescent="0.3">
      <c r="A1887">
        <v>1886</v>
      </c>
      <c r="B1887" t="s">
        <v>1142</v>
      </c>
      <c r="C1887">
        <v>2024</v>
      </c>
      <c r="D1887" t="s">
        <v>161</v>
      </c>
      <c r="E1887">
        <v>8</v>
      </c>
      <c r="F1887" t="s">
        <v>25</v>
      </c>
      <c r="G1887" t="s">
        <v>42</v>
      </c>
      <c r="H1887">
        <v>17.489999999999998</v>
      </c>
      <c r="I1887" t="s">
        <v>38</v>
      </c>
      <c r="J1887">
        <v>33</v>
      </c>
      <c r="K1887">
        <v>165</v>
      </c>
      <c r="L1887">
        <v>78.400000000000006</v>
      </c>
      <c r="M1887">
        <v>7.68</v>
      </c>
      <c r="N1887">
        <v>21.94</v>
      </c>
      <c r="O1887">
        <v>11.42</v>
      </c>
      <c r="P1887">
        <v>471.48</v>
      </c>
      <c r="Q1887">
        <v>543</v>
      </c>
      <c r="R1887">
        <v>5</v>
      </c>
      <c r="S1887">
        <v>182</v>
      </c>
    </row>
    <row r="1888" spans="1:19" x14ac:dyDescent="0.3">
      <c r="A1888">
        <v>1887</v>
      </c>
      <c r="B1888" t="s">
        <v>1146</v>
      </c>
      <c r="C1888">
        <v>2024</v>
      </c>
      <c r="D1888" t="s">
        <v>161</v>
      </c>
      <c r="E1888">
        <v>8</v>
      </c>
      <c r="F1888" t="s">
        <v>25</v>
      </c>
      <c r="G1888" t="s">
        <v>22</v>
      </c>
      <c r="H1888">
        <v>20.87</v>
      </c>
      <c r="I1888" t="s">
        <v>27</v>
      </c>
      <c r="J1888">
        <v>1</v>
      </c>
      <c r="K1888">
        <v>195</v>
      </c>
      <c r="L1888">
        <v>84.11</v>
      </c>
      <c r="M1888">
        <v>32.69</v>
      </c>
      <c r="N1888">
        <v>7.39</v>
      </c>
      <c r="O1888">
        <v>8.19</v>
      </c>
      <c r="P1888">
        <v>433.97</v>
      </c>
      <c r="Q1888">
        <v>522</v>
      </c>
      <c r="R1888">
        <v>2</v>
      </c>
      <c r="S1888">
        <v>170</v>
      </c>
    </row>
    <row r="1889" spans="1:19" x14ac:dyDescent="0.3">
      <c r="A1889">
        <v>1888</v>
      </c>
      <c r="B1889" t="s">
        <v>1151</v>
      </c>
      <c r="C1889">
        <v>2024</v>
      </c>
      <c r="D1889" t="s">
        <v>161</v>
      </c>
      <c r="E1889">
        <v>8</v>
      </c>
      <c r="F1889" t="s">
        <v>53</v>
      </c>
      <c r="G1889" t="s">
        <v>35</v>
      </c>
      <c r="H1889">
        <v>43.47</v>
      </c>
      <c r="I1889" t="s">
        <v>32</v>
      </c>
      <c r="J1889">
        <v>19</v>
      </c>
      <c r="K1889">
        <v>106</v>
      </c>
      <c r="L1889">
        <v>89.32</v>
      </c>
      <c r="M1889">
        <v>8.11</v>
      </c>
      <c r="N1889">
        <v>19.86</v>
      </c>
      <c r="O1889">
        <v>3.6</v>
      </c>
      <c r="P1889">
        <v>289.36</v>
      </c>
      <c r="Q1889">
        <v>647</v>
      </c>
      <c r="R1889">
        <v>1</v>
      </c>
      <c r="S1889">
        <v>69</v>
      </c>
    </row>
    <row r="1890" spans="1:19" x14ac:dyDescent="0.3">
      <c r="A1890">
        <v>1889</v>
      </c>
      <c r="B1890" t="s">
        <v>1146</v>
      </c>
      <c r="C1890">
        <v>2024</v>
      </c>
      <c r="D1890" t="s">
        <v>161</v>
      </c>
      <c r="E1890">
        <v>8</v>
      </c>
      <c r="F1890" t="s">
        <v>29</v>
      </c>
      <c r="G1890" t="s">
        <v>22</v>
      </c>
      <c r="H1890">
        <v>14.29</v>
      </c>
      <c r="I1890" t="s">
        <v>23</v>
      </c>
      <c r="J1890">
        <v>41</v>
      </c>
      <c r="K1890">
        <v>194</v>
      </c>
      <c r="L1890">
        <v>83.35</v>
      </c>
      <c r="M1890">
        <v>18.09</v>
      </c>
      <c r="N1890">
        <v>2.0499999999999998</v>
      </c>
      <c r="O1890">
        <v>5.84</v>
      </c>
      <c r="P1890">
        <v>342.4</v>
      </c>
      <c r="Q1890">
        <v>1084</v>
      </c>
      <c r="R1890">
        <v>3</v>
      </c>
      <c r="S1890">
        <v>96</v>
      </c>
    </row>
    <row r="1891" spans="1:19" x14ac:dyDescent="0.3">
      <c r="A1891">
        <v>1890</v>
      </c>
      <c r="B1891" t="s">
        <v>1152</v>
      </c>
      <c r="C1891">
        <v>2024</v>
      </c>
      <c r="D1891" t="s">
        <v>161</v>
      </c>
      <c r="E1891">
        <v>8</v>
      </c>
      <c r="F1891" t="s">
        <v>21</v>
      </c>
      <c r="G1891" t="s">
        <v>42</v>
      </c>
      <c r="H1891">
        <v>25.23</v>
      </c>
      <c r="I1891" t="s">
        <v>27</v>
      </c>
      <c r="J1891">
        <v>35</v>
      </c>
      <c r="K1891">
        <v>412</v>
      </c>
      <c r="L1891">
        <v>83.69</v>
      </c>
      <c r="M1891">
        <v>14.79</v>
      </c>
      <c r="N1891">
        <v>12.51</v>
      </c>
      <c r="O1891">
        <v>10.78</v>
      </c>
      <c r="P1891">
        <v>101.88</v>
      </c>
      <c r="Q1891">
        <v>257</v>
      </c>
      <c r="R1891">
        <v>5</v>
      </c>
      <c r="S1891">
        <v>168</v>
      </c>
    </row>
    <row r="1892" spans="1:19" x14ac:dyDescent="0.3">
      <c r="A1892">
        <v>1891</v>
      </c>
      <c r="B1892" t="s">
        <v>1153</v>
      </c>
      <c r="C1892">
        <v>2024</v>
      </c>
      <c r="D1892" t="s">
        <v>161</v>
      </c>
      <c r="E1892">
        <v>8</v>
      </c>
      <c r="F1892" t="s">
        <v>29</v>
      </c>
      <c r="G1892" t="s">
        <v>22</v>
      </c>
      <c r="H1892">
        <v>19.02</v>
      </c>
      <c r="I1892" t="s">
        <v>38</v>
      </c>
      <c r="J1892">
        <v>33</v>
      </c>
      <c r="K1892">
        <v>593</v>
      </c>
      <c r="L1892">
        <v>94.26</v>
      </c>
      <c r="M1892">
        <v>22.2</v>
      </c>
      <c r="N1892">
        <v>9.64</v>
      </c>
      <c r="O1892">
        <v>4.62</v>
      </c>
      <c r="P1892">
        <v>340.2</v>
      </c>
      <c r="Q1892">
        <v>560</v>
      </c>
      <c r="R1892">
        <v>4</v>
      </c>
      <c r="S1892">
        <v>182</v>
      </c>
    </row>
    <row r="1893" spans="1:19" x14ac:dyDescent="0.3">
      <c r="A1893">
        <v>1892</v>
      </c>
      <c r="B1893" t="s">
        <v>1154</v>
      </c>
      <c r="C1893">
        <v>2024</v>
      </c>
      <c r="D1893" t="s">
        <v>161</v>
      </c>
      <c r="E1893">
        <v>8</v>
      </c>
      <c r="F1893" t="s">
        <v>37</v>
      </c>
      <c r="G1893" t="s">
        <v>26</v>
      </c>
      <c r="H1893">
        <v>13.69</v>
      </c>
      <c r="I1893" t="s">
        <v>32</v>
      </c>
      <c r="J1893">
        <v>11</v>
      </c>
      <c r="K1893">
        <v>461</v>
      </c>
      <c r="L1893">
        <v>93.05</v>
      </c>
      <c r="M1893">
        <v>26.01</v>
      </c>
      <c r="N1893">
        <v>10.74</v>
      </c>
      <c r="O1893">
        <v>13.11</v>
      </c>
      <c r="P1893">
        <v>527.11</v>
      </c>
      <c r="Q1893">
        <v>887</v>
      </c>
      <c r="R1893">
        <v>2</v>
      </c>
      <c r="S1893">
        <v>67</v>
      </c>
    </row>
    <row r="1894" spans="1:19" x14ac:dyDescent="0.3">
      <c r="A1894">
        <v>1893</v>
      </c>
      <c r="B1894" t="s">
        <v>1155</v>
      </c>
      <c r="C1894">
        <v>2024</v>
      </c>
      <c r="D1894" t="s">
        <v>161</v>
      </c>
      <c r="E1894">
        <v>8</v>
      </c>
      <c r="F1894" t="s">
        <v>53</v>
      </c>
      <c r="G1894" t="s">
        <v>22</v>
      </c>
      <c r="H1894">
        <v>12.83</v>
      </c>
      <c r="I1894" t="s">
        <v>47</v>
      </c>
      <c r="J1894">
        <v>43</v>
      </c>
      <c r="K1894">
        <v>317</v>
      </c>
      <c r="L1894">
        <v>83.5</v>
      </c>
      <c r="M1894">
        <v>6.04</v>
      </c>
      <c r="N1894">
        <v>11.77</v>
      </c>
      <c r="O1894">
        <v>2.48</v>
      </c>
      <c r="P1894">
        <v>502.99</v>
      </c>
      <c r="Q1894">
        <v>495</v>
      </c>
      <c r="R1894">
        <v>5</v>
      </c>
      <c r="S1894">
        <v>185</v>
      </c>
    </row>
    <row r="1895" spans="1:19" x14ac:dyDescent="0.3">
      <c r="A1895">
        <v>1894</v>
      </c>
      <c r="B1895" t="s">
        <v>1156</v>
      </c>
      <c r="C1895">
        <v>2024</v>
      </c>
      <c r="D1895" t="s">
        <v>161</v>
      </c>
      <c r="E1895">
        <v>8</v>
      </c>
      <c r="F1895" t="s">
        <v>37</v>
      </c>
      <c r="G1895" t="s">
        <v>40</v>
      </c>
      <c r="H1895">
        <v>13.67</v>
      </c>
      <c r="I1895" t="s">
        <v>47</v>
      </c>
      <c r="J1895">
        <v>27</v>
      </c>
      <c r="K1895">
        <v>492</v>
      </c>
      <c r="L1895">
        <v>87.24</v>
      </c>
      <c r="M1895">
        <v>34.53</v>
      </c>
      <c r="N1895">
        <v>6.68</v>
      </c>
      <c r="O1895">
        <v>4.29</v>
      </c>
      <c r="P1895">
        <v>221.86</v>
      </c>
      <c r="Q1895">
        <v>524</v>
      </c>
      <c r="R1895">
        <v>5</v>
      </c>
      <c r="S1895">
        <v>86</v>
      </c>
    </row>
    <row r="1896" spans="1:19" x14ac:dyDescent="0.3">
      <c r="A1896">
        <v>1895</v>
      </c>
      <c r="B1896" t="s">
        <v>1157</v>
      </c>
      <c r="C1896">
        <v>2024</v>
      </c>
      <c r="D1896" t="s">
        <v>161</v>
      </c>
      <c r="E1896">
        <v>8</v>
      </c>
      <c r="F1896" t="s">
        <v>29</v>
      </c>
      <c r="G1896" t="s">
        <v>35</v>
      </c>
      <c r="H1896">
        <v>43.61</v>
      </c>
      <c r="I1896" t="s">
        <v>23</v>
      </c>
      <c r="J1896">
        <v>40</v>
      </c>
      <c r="K1896">
        <v>198</v>
      </c>
      <c r="L1896">
        <v>81.67</v>
      </c>
      <c r="M1896">
        <v>17.03</v>
      </c>
      <c r="N1896">
        <v>8.44</v>
      </c>
      <c r="O1896">
        <v>2.16</v>
      </c>
      <c r="P1896">
        <v>173.57</v>
      </c>
      <c r="Q1896">
        <v>873</v>
      </c>
      <c r="R1896">
        <v>2</v>
      </c>
      <c r="S1896">
        <v>146</v>
      </c>
    </row>
    <row r="1897" spans="1:19" x14ac:dyDescent="0.3">
      <c r="A1897">
        <v>1896</v>
      </c>
      <c r="B1897" t="s">
        <v>1157</v>
      </c>
      <c r="C1897">
        <v>2024</v>
      </c>
      <c r="D1897" t="s">
        <v>161</v>
      </c>
      <c r="E1897">
        <v>8</v>
      </c>
      <c r="F1897" t="s">
        <v>34</v>
      </c>
      <c r="G1897" t="s">
        <v>40</v>
      </c>
      <c r="H1897">
        <v>8.49</v>
      </c>
      <c r="I1897" t="s">
        <v>47</v>
      </c>
      <c r="J1897">
        <v>14</v>
      </c>
      <c r="K1897">
        <v>344</v>
      </c>
      <c r="L1897">
        <v>93.51</v>
      </c>
      <c r="M1897">
        <v>6.53</v>
      </c>
      <c r="N1897">
        <v>16.68</v>
      </c>
      <c r="O1897">
        <v>14.53</v>
      </c>
      <c r="P1897">
        <v>277.02</v>
      </c>
      <c r="Q1897">
        <v>482</v>
      </c>
      <c r="R1897">
        <v>1</v>
      </c>
      <c r="S1897">
        <v>54</v>
      </c>
    </row>
    <row r="1898" spans="1:19" x14ac:dyDescent="0.3">
      <c r="A1898">
        <v>1897</v>
      </c>
      <c r="B1898" t="s">
        <v>1158</v>
      </c>
      <c r="C1898">
        <v>2024</v>
      </c>
      <c r="D1898" t="s">
        <v>161</v>
      </c>
      <c r="E1898">
        <v>8</v>
      </c>
      <c r="F1898" t="s">
        <v>53</v>
      </c>
      <c r="G1898" t="s">
        <v>35</v>
      </c>
      <c r="H1898">
        <v>46.54</v>
      </c>
      <c r="I1898" t="s">
        <v>32</v>
      </c>
      <c r="J1898">
        <v>44</v>
      </c>
      <c r="K1898">
        <v>328</v>
      </c>
      <c r="L1898">
        <v>80.2</v>
      </c>
      <c r="M1898">
        <v>34.78</v>
      </c>
      <c r="N1898">
        <v>4.72</v>
      </c>
      <c r="O1898">
        <v>11.24</v>
      </c>
      <c r="P1898">
        <v>346.63</v>
      </c>
      <c r="Q1898">
        <v>705</v>
      </c>
      <c r="R1898">
        <v>2</v>
      </c>
      <c r="S1898">
        <v>238</v>
      </c>
    </row>
    <row r="1899" spans="1:19" x14ac:dyDescent="0.3">
      <c r="A1899">
        <v>1898</v>
      </c>
      <c r="B1899" t="s">
        <v>1145</v>
      </c>
      <c r="C1899">
        <v>2024</v>
      </c>
      <c r="D1899" t="s">
        <v>161</v>
      </c>
      <c r="E1899">
        <v>8</v>
      </c>
      <c r="F1899" t="s">
        <v>62</v>
      </c>
      <c r="G1899" t="s">
        <v>35</v>
      </c>
      <c r="H1899">
        <v>24.63</v>
      </c>
      <c r="I1899" t="s">
        <v>23</v>
      </c>
      <c r="J1899">
        <v>20</v>
      </c>
      <c r="K1899">
        <v>144</v>
      </c>
      <c r="L1899">
        <v>94.54</v>
      </c>
      <c r="M1899">
        <v>9.1199999999999992</v>
      </c>
      <c r="N1899">
        <v>5.78</v>
      </c>
      <c r="O1899">
        <v>2.15</v>
      </c>
      <c r="P1899">
        <v>478.89</v>
      </c>
      <c r="Q1899">
        <v>899</v>
      </c>
      <c r="R1899">
        <v>2</v>
      </c>
      <c r="S1899">
        <v>160</v>
      </c>
    </row>
    <row r="1900" spans="1:19" x14ac:dyDescent="0.3">
      <c r="A1900">
        <v>1899</v>
      </c>
      <c r="B1900" t="s">
        <v>1158</v>
      </c>
      <c r="C1900">
        <v>2024</v>
      </c>
      <c r="D1900" t="s">
        <v>161</v>
      </c>
      <c r="E1900">
        <v>8</v>
      </c>
      <c r="F1900" t="s">
        <v>31</v>
      </c>
      <c r="G1900" t="s">
        <v>22</v>
      </c>
      <c r="H1900">
        <v>27.31</v>
      </c>
      <c r="I1900" t="s">
        <v>27</v>
      </c>
      <c r="J1900">
        <v>11</v>
      </c>
      <c r="K1900">
        <v>125</v>
      </c>
      <c r="L1900">
        <v>77.19</v>
      </c>
      <c r="M1900">
        <v>16.34</v>
      </c>
      <c r="N1900">
        <v>13.69</v>
      </c>
      <c r="O1900">
        <v>11.23</v>
      </c>
      <c r="P1900">
        <v>506.18</v>
      </c>
      <c r="Q1900">
        <v>253</v>
      </c>
      <c r="R1900">
        <v>3</v>
      </c>
      <c r="S1900">
        <v>221</v>
      </c>
    </row>
    <row r="1901" spans="1:19" x14ac:dyDescent="0.3">
      <c r="A1901">
        <v>1900</v>
      </c>
      <c r="B1901" t="s">
        <v>1155</v>
      </c>
      <c r="C1901">
        <v>2024</v>
      </c>
      <c r="D1901" t="s">
        <v>161</v>
      </c>
      <c r="E1901">
        <v>8</v>
      </c>
      <c r="F1901" t="s">
        <v>37</v>
      </c>
      <c r="G1901" t="s">
        <v>35</v>
      </c>
      <c r="H1901">
        <v>19.13</v>
      </c>
      <c r="I1901" t="s">
        <v>47</v>
      </c>
      <c r="J1901">
        <v>21</v>
      </c>
      <c r="K1901">
        <v>581</v>
      </c>
      <c r="L1901">
        <v>86.16</v>
      </c>
      <c r="M1901">
        <v>27.2</v>
      </c>
      <c r="N1901">
        <v>19.16</v>
      </c>
      <c r="O1901">
        <v>4.16</v>
      </c>
      <c r="P1901">
        <v>198.79</v>
      </c>
      <c r="Q1901">
        <v>483</v>
      </c>
      <c r="R1901">
        <v>2</v>
      </c>
      <c r="S1901">
        <v>95</v>
      </c>
    </row>
    <row r="1902" spans="1:19" x14ac:dyDescent="0.3">
      <c r="A1902">
        <v>1901</v>
      </c>
      <c r="B1902" t="s">
        <v>1159</v>
      </c>
      <c r="C1902">
        <v>2024</v>
      </c>
      <c r="D1902" t="s">
        <v>161</v>
      </c>
      <c r="E1902">
        <v>8</v>
      </c>
      <c r="F1902" t="s">
        <v>62</v>
      </c>
      <c r="G1902" t="s">
        <v>35</v>
      </c>
      <c r="H1902">
        <v>46.21</v>
      </c>
      <c r="I1902" t="s">
        <v>32</v>
      </c>
      <c r="J1902">
        <v>5</v>
      </c>
      <c r="K1902">
        <v>525</v>
      </c>
      <c r="L1902">
        <v>75.790000000000006</v>
      </c>
      <c r="M1902">
        <v>18.3</v>
      </c>
      <c r="N1902">
        <v>15.24</v>
      </c>
      <c r="O1902">
        <v>5.34</v>
      </c>
      <c r="P1902">
        <v>568.5</v>
      </c>
      <c r="Q1902">
        <v>339</v>
      </c>
      <c r="R1902">
        <v>5</v>
      </c>
      <c r="S1902">
        <v>69</v>
      </c>
    </row>
    <row r="1903" spans="1:19" x14ac:dyDescent="0.3">
      <c r="A1903">
        <v>1902</v>
      </c>
      <c r="B1903" t="s">
        <v>1143</v>
      </c>
      <c r="C1903">
        <v>2024</v>
      </c>
      <c r="D1903" t="s">
        <v>161</v>
      </c>
      <c r="E1903">
        <v>8</v>
      </c>
      <c r="F1903" t="s">
        <v>29</v>
      </c>
      <c r="G1903" t="s">
        <v>35</v>
      </c>
      <c r="H1903">
        <v>6.38</v>
      </c>
      <c r="I1903" t="s">
        <v>47</v>
      </c>
      <c r="J1903">
        <v>5</v>
      </c>
      <c r="K1903">
        <v>220</v>
      </c>
      <c r="L1903">
        <v>84.13</v>
      </c>
      <c r="M1903">
        <v>22.43</v>
      </c>
      <c r="N1903">
        <v>7.67</v>
      </c>
      <c r="O1903">
        <v>5.39</v>
      </c>
      <c r="P1903">
        <v>220.18</v>
      </c>
      <c r="Q1903">
        <v>268</v>
      </c>
      <c r="R1903">
        <v>5</v>
      </c>
      <c r="S1903">
        <v>181</v>
      </c>
    </row>
    <row r="1904" spans="1:19" x14ac:dyDescent="0.3">
      <c r="A1904">
        <v>1903</v>
      </c>
      <c r="B1904" t="s">
        <v>1143</v>
      </c>
      <c r="C1904">
        <v>2024</v>
      </c>
      <c r="D1904" t="s">
        <v>161</v>
      </c>
      <c r="E1904">
        <v>8</v>
      </c>
      <c r="F1904" t="s">
        <v>21</v>
      </c>
      <c r="G1904" t="s">
        <v>42</v>
      </c>
      <c r="H1904">
        <v>34.85</v>
      </c>
      <c r="I1904" t="s">
        <v>32</v>
      </c>
      <c r="J1904">
        <v>47</v>
      </c>
      <c r="K1904">
        <v>356</v>
      </c>
      <c r="L1904">
        <v>76.55</v>
      </c>
      <c r="M1904">
        <v>18.38</v>
      </c>
      <c r="N1904">
        <v>7.44</v>
      </c>
      <c r="O1904">
        <v>10.1</v>
      </c>
      <c r="P1904">
        <v>526.91</v>
      </c>
      <c r="Q1904">
        <v>437</v>
      </c>
      <c r="R1904">
        <v>5</v>
      </c>
      <c r="S1904">
        <v>182</v>
      </c>
    </row>
    <row r="1905" spans="1:19" x14ac:dyDescent="0.3">
      <c r="A1905">
        <v>1904</v>
      </c>
      <c r="B1905" t="s">
        <v>1160</v>
      </c>
      <c r="C1905">
        <v>2024</v>
      </c>
      <c r="D1905" t="s">
        <v>161</v>
      </c>
      <c r="E1905">
        <v>8</v>
      </c>
      <c r="F1905" t="s">
        <v>37</v>
      </c>
      <c r="G1905" t="s">
        <v>26</v>
      </c>
      <c r="H1905">
        <v>8.02</v>
      </c>
      <c r="I1905" t="s">
        <v>47</v>
      </c>
      <c r="J1905">
        <v>13</v>
      </c>
      <c r="K1905">
        <v>531</v>
      </c>
      <c r="L1905">
        <v>90.59</v>
      </c>
      <c r="M1905">
        <v>26.76</v>
      </c>
      <c r="N1905">
        <v>21.48</v>
      </c>
      <c r="O1905">
        <v>1.74</v>
      </c>
      <c r="P1905">
        <v>210.3</v>
      </c>
      <c r="Q1905">
        <v>733</v>
      </c>
      <c r="R1905">
        <v>2</v>
      </c>
      <c r="S1905">
        <v>100</v>
      </c>
    </row>
    <row r="1906" spans="1:19" x14ac:dyDescent="0.3">
      <c r="A1906">
        <v>1905</v>
      </c>
      <c r="B1906" t="s">
        <v>1161</v>
      </c>
      <c r="C1906">
        <v>2024</v>
      </c>
      <c r="D1906" t="s">
        <v>161</v>
      </c>
      <c r="E1906">
        <v>9</v>
      </c>
      <c r="F1906" t="s">
        <v>31</v>
      </c>
      <c r="G1906" t="s">
        <v>42</v>
      </c>
      <c r="H1906">
        <v>25.05</v>
      </c>
      <c r="I1906" t="s">
        <v>27</v>
      </c>
      <c r="J1906">
        <v>10</v>
      </c>
      <c r="K1906">
        <v>331</v>
      </c>
      <c r="L1906">
        <v>93.1</v>
      </c>
      <c r="M1906">
        <v>20.76</v>
      </c>
      <c r="N1906">
        <v>2.82</v>
      </c>
      <c r="O1906">
        <v>13.4</v>
      </c>
      <c r="P1906">
        <v>269.54000000000002</v>
      </c>
      <c r="Q1906">
        <v>853</v>
      </c>
      <c r="R1906">
        <v>2</v>
      </c>
      <c r="S1906">
        <v>72</v>
      </c>
    </row>
    <row r="1907" spans="1:19" x14ac:dyDescent="0.3">
      <c r="A1907">
        <v>1906</v>
      </c>
      <c r="B1907" t="s">
        <v>1162</v>
      </c>
      <c r="C1907">
        <v>2024</v>
      </c>
      <c r="D1907" t="s">
        <v>161</v>
      </c>
      <c r="E1907">
        <v>9</v>
      </c>
      <c r="F1907" t="s">
        <v>31</v>
      </c>
      <c r="G1907" t="s">
        <v>42</v>
      </c>
      <c r="H1907">
        <v>9.74</v>
      </c>
      <c r="I1907" t="s">
        <v>27</v>
      </c>
      <c r="J1907">
        <v>15</v>
      </c>
      <c r="K1907">
        <v>122</v>
      </c>
      <c r="L1907">
        <v>84.43</v>
      </c>
      <c r="M1907">
        <v>6.31</v>
      </c>
      <c r="N1907">
        <v>3.94</v>
      </c>
      <c r="O1907">
        <v>14.55</v>
      </c>
      <c r="P1907">
        <v>120.77</v>
      </c>
      <c r="Q1907">
        <v>182</v>
      </c>
      <c r="R1907">
        <v>5</v>
      </c>
      <c r="S1907">
        <v>183</v>
      </c>
    </row>
    <row r="1908" spans="1:19" x14ac:dyDescent="0.3">
      <c r="A1908">
        <v>1907</v>
      </c>
      <c r="B1908" t="s">
        <v>1163</v>
      </c>
      <c r="C1908">
        <v>2024</v>
      </c>
      <c r="D1908" t="s">
        <v>161</v>
      </c>
      <c r="E1908">
        <v>9</v>
      </c>
      <c r="F1908" t="s">
        <v>34</v>
      </c>
      <c r="G1908" t="s">
        <v>35</v>
      </c>
      <c r="H1908">
        <v>29.51</v>
      </c>
      <c r="I1908" t="s">
        <v>38</v>
      </c>
      <c r="J1908">
        <v>20</v>
      </c>
      <c r="K1908">
        <v>367</v>
      </c>
      <c r="L1908">
        <v>89.46</v>
      </c>
      <c r="M1908">
        <v>29.39</v>
      </c>
      <c r="N1908">
        <v>14.33</v>
      </c>
      <c r="O1908">
        <v>9.4600000000000009</v>
      </c>
      <c r="P1908">
        <v>385.28</v>
      </c>
      <c r="Q1908">
        <v>825</v>
      </c>
      <c r="R1908">
        <v>4</v>
      </c>
      <c r="S1908">
        <v>80</v>
      </c>
    </row>
    <row r="1909" spans="1:19" x14ac:dyDescent="0.3">
      <c r="A1909">
        <v>1908</v>
      </c>
      <c r="B1909" t="s">
        <v>1162</v>
      </c>
      <c r="C1909">
        <v>2024</v>
      </c>
      <c r="D1909" t="s">
        <v>161</v>
      </c>
      <c r="E1909">
        <v>9</v>
      </c>
      <c r="F1909" t="s">
        <v>62</v>
      </c>
      <c r="G1909" t="s">
        <v>35</v>
      </c>
      <c r="H1909">
        <v>28.14</v>
      </c>
      <c r="I1909" t="s">
        <v>27</v>
      </c>
      <c r="J1909">
        <v>5</v>
      </c>
      <c r="K1909">
        <v>478</v>
      </c>
      <c r="L1909">
        <v>92.84</v>
      </c>
      <c r="M1909">
        <v>20.5</v>
      </c>
      <c r="N1909">
        <v>6.65</v>
      </c>
      <c r="O1909">
        <v>1.41</v>
      </c>
      <c r="P1909">
        <v>505.15</v>
      </c>
      <c r="Q1909">
        <v>843</v>
      </c>
      <c r="R1909">
        <v>3</v>
      </c>
      <c r="S1909">
        <v>231</v>
      </c>
    </row>
    <row r="1910" spans="1:19" x14ac:dyDescent="0.3">
      <c r="A1910">
        <v>1909</v>
      </c>
      <c r="B1910" t="s">
        <v>1164</v>
      </c>
      <c r="C1910">
        <v>2024</v>
      </c>
      <c r="D1910" t="s">
        <v>161</v>
      </c>
      <c r="E1910">
        <v>9</v>
      </c>
      <c r="F1910" t="s">
        <v>37</v>
      </c>
      <c r="G1910" t="s">
        <v>22</v>
      </c>
      <c r="H1910">
        <v>46.03</v>
      </c>
      <c r="I1910" t="s">
        <v>32</v>
      </c>
      <c r="J1910">
        <v>47</v>
      </c>
      <c r="K1910">
        <v>576</v>
      </c>
      <c r="L1910">
        <v>90.05</v>
      </c>
      <c r="M1910">
        <v>15.73</v>
      </c>
      <c r="N1910">
        <v>16.809999999999999</v>
      </c>
      <c r="O1910">
        <v>4.43</v>
      </c>
      <c r="P1910">
        <v>521.42999999999995</v>
      </c>
      <c r="Q1910">
        <v>514</v>
      </c>
      <c r="R1910">
        <v>4</v>
      </c>
      <c r="S1910">
        <v>181</v>
      </c>
    </row>
    <row r="1911" spans="1:19" x14ac:dyDescent="0.3">
      <c r="A1911">
        <v>1910</v>
      </c>
      <c r="B1911" t="s">
        <v>1163</v>
      </c>
      <c r="C1911">
        <v>2024</v>
      </c>
      <c r="D1911" t="s">
        <v>161</v>
      </c>
      <c r="E1911">
        <v>9</v>
      </c>
      <c r="F1911" t="s">
        <v>31</v>
      </c>
      <c r="G1911" t="s">
        <v>40</v>
      </c>
      <c r="H1911">
        <v>32.61</v>
      </c>
      <c r="I1911" t="s">
        <v>32</v>
      </c>
      <c r="J1911">
        <v>32</v>
      </c>
      <c r="K1911">
        <v>364</v>
      </c>
      <c r="L1911">
        <v>92.53</v>
      </c>
      <c r="M1911">
        <v>34.549999999999997</v>
      </c>
      <c r="N1911">
        <v>17.75</v>
      </c>
      <c r="O1911">
        <v>10.93</v>
      </c>
      <c r="P1911">
        <v>121.2</v>
      </c>
      <c r="Q1911">
        <v>179</v>
      </c>
      <c r="R1911">
        <v>1</v>
      </c>
      <c r="S1911">
        <v>202</v>
      </c>
    </row>
    <row r="1912" spans="1:19" x14ac:dyDescent="0.3">
      <c r="A1912">
        <v>1911</v>
      </c>
      <c r="B1912" t="s">
        <v>1165</v>
      </c>
      <c r="C1912">
        <v>2024</v>
      </c>
      <c r="D1912" t="s">
        <v>161</v>
      </c>
      <c r="E1912">
        <v>9</v>
      </c>
      <c r="F1912" t="s">
        <v>34</v>
      </c>
      <c r="G1912" t="s">
        <v>40</v>
      </c>
      <c r="H1912">
        <v>29.43</v>
      </c>
      <c r="I1912" t="s">
        <v>23</v>
      </c>
      <c r="J1912">
        <v>28</v>
      </c>
      <c r="K1912">
        <v>183</v>
      </c>
      <c r="L1912">
        <v>79.91</v>
      </c>
      <c r="M1912">
        <v>31.79</v>
      </c>
      <c r="N1912">
        <v>8.27</v>
      </c>
      <c r="O1912">
        <v>11.66</v>
      </c>
      <c r="P1912">
        <v>286.79000000000002</v>
      </c>
      <c r="Q1912">
        <v>625</v>
      </c>
      <c r="R1912">
        <v>2</v>
      </c>
      <c r="S1912">
        <v>132</v>
      </c>
    </row>
    <row r="1913" spans="1:19" x14ac:dyDescent="0.3">
      <c r="A1913">
        <v>1912</v>
      </c>
      <c r="B1913" t="s">
        <v>1166</v>
      </c>
      <c r="C1913">
        <v>2024</v>
      </c>
      <c r="D1913" t="s">
        <v>161</v>
      </c>
      <c r="E1913">
        <v>9</v>
      </c>
      <c r="F1913" t="s">
        <v>34</v>
      </c>
      <c r="G1913" t="s">
        <v>35</v>
      </c>
      <c r="H1913">
        <v>37.21</v>
      </c>
      <c r="I1913" t="s">
        <v>47</v>
      </c>
      <c r="J1913">
        <v>27</v>
      </c>
      <c r="K1913">
        <v>425</v>
      </c>
      <c r="L1913">
        <v>92.61</v>
      </c>
      <c r="M1913">
        <v>6.88</v>
      </c>
      <c r="N1913">
        <v>16.61</v>
      </c>
      <c r="O1913">
        <v>6.09</v>
      </c>
      <c r="P1913">
        <v>331.2</v>
      </c>
      <c r="Q1913">
        <v>586</v>
      </c>
      <c r="R1913">
        <v>3</v>
      </c>
      <c r="S1913">
        <v>156</v>
      </c>
    </row>
    <row r="1914" spans="1:19" x14ac:dyDescent="0.3">
      <c r="A1914">
        <v>1913</v>
      </c>
      <c r="B1914" t="s">
        <v>1167</v>
      </c>
      <c r="C1914">
        <v>2024</v>
      </c>
      <c r="D1914" t="s">
        <v>161</v>
      </c>
      <c r="E1914">
        <v>9</v>
      </c>
      <c r="F1914" t="s">
        <v>37</v>
      </c>
      <c r="G1914" t="s">
        <v>42</v>
      </c>
      <c r="H1914">
        <v>47.14</v>
      </c>
      <c r="I1914" t="s">
        <v>47</v>
      </c>
      <c r="J1914">
        <v>24</v>
      </c>
      <c r="K1914">
        <v>563</v>
      </c>
      <c r="L1914">
        <v>89.68</v>
      </c>
      <c r="M1914">
        <v>10.87</v>
      </c>
      <c r="N1914">
        <v>20.28</v>
      </c>
      <c r="O1914">
        <v>12.19</v>
      </c>
      <c r="P1914">
        <v>572.76</v>
      </c>
      <c r="Q1914">
        <v>130</v>
      </c>
      <c r="R1914">
        <v>2</v>
      </c>
      <c r="S1914">
        <v>70</v>
      </c>
    </row>
    <row r="1915" spans="1:19" x14ac:dyDescent="0.3">
      <c r="A1915">
        <v>1914</v>
      </c>
      <c r="B1915" t="s">
        <v>1165</v>
      </c>
      <c r="C1915">
        <v>2024</v>
      </c>
      <c r="D1915" t="s">
        <v>161</v>
      </c>
      <c r="E1915">
        <v>9</v>
      </c>
      <c r="F1915" t="s">
        <v>31</v>
      </c>
      <c r="G1915" t="s">
        <v>35</v>
      </c>
      <c r="H1915">
        <v>7.01</v>
      </c>
      <c r="I1915" t="s">
        <v>38</v>
      </c>
      <c r="J1915">
        <v>18</v>
      </c>
      <c r="K1915">
        <v>184</v>
      </c>
      <c r="L1915">
        <v>90.54</v>
      </c>
      <c r="M1915">
        <v>20.23</v>
      </c>
      <c r="N1915">
        <v>3.17</v>
      </c>
      <c r="O1915">
        <v>10.199999999999999</v>
      </c>
      <c r="P1915">
        <v>289.02</v>
      </c>
      <c r="Q1915">
        <v>661</v>
      </c>
      <c r="R1915">
        <v>3</v>
      </c>
      <c r="S1915">
        <v>157</v>
      </c>
    </row>
    <row r="1916" spans="1:19" x14ac:dyDescent="0.3">
      <c r="A1916">
        <v>1915</v>
      </c>
      <c r="B1916" t="s">
        <v>1161</v>
      </c>
      <c r="C1916">
        <v>2024</v>
      </c>
      <c r="D1916" t="s">
        <v>161</v>
      </c>
      <c r="E1916">
        <v>9</v>
      </c>
      <c r="F1916" t="s">
        <v>21</v>
      </c>
      <c r="G1916" t="s">
        <v>42</v>
      </c>
      <c r="H1916">
        <v>32.369999999999997</v>
      </c>
      <c r="I1916" t="s">
        <v>47</v>
      </c>
      <c r="J1916">
        <v>26</v>
      </c>
      <c r="K1916">
        <v>179</v>
      </c>
      <c r="L1916">
        <v>86.81</v>
      </c>
      <c r="M1916">
        <v>13.86</v>
      </c>
      <c r="N1916">
        <v>17.62</v>
      </c>
      <c r="O1916">
        <v>2.31</v>
      </c>
      <c r="P1916">
        <v>445.41</v>
      </c>
      <c r="Q1916">
        <v>737</v>
      </c>
      <c r="R1916">
        <v>1</v>
      </c>
      <c r="S1916">
        <v>78</v>
      </c>
    </row>
    <row r="1917" spans="1:19" x14ac:dyDescent="0.3">
      <c r="A1917">
        <v>1916</v>
      </c>
      <c r="B1917" t="s">
        <v>1167</v>
      </c>
      <c r="C1917">
        <v>2024</v>
      </c>
      <c r="D1917" t="s">
        <v>161</v>
      </c>
      <c r="E1917">
        <v>9</v>
      </c>
      <c r="F1917" t="s">
        <v>25</v>
      </c>
      <c r="G1917" t="s">
        <v>42</v>
      </c>
      <c r="H1917">
        <v>42.6</v>
      </c>
      <c r="I1917" t="s">
        <v>32</v>
      </c>
      <c r="J1917">
        <v>47</v>
      </c>
      <c r="K1917">
        <v>589</v>
      </c>
      <c r="L1917">
        <v>80.16</v>
      </c>
      <c r="M1917">
        <v>9.52</v>
      </c>
      <c r="N1917">
        <v>15.92</v>
      </c>
      <c r="O1917">
        <v>9.0299999999999994</v>
      </c>
      <c r="P1917">
        <v>276.41000000000003</v>
      </c>
      <c r="Q1917">
        <v>394</v>
      </c>
      <c r="R1917">
        <v>2</v>
      </c>
      <c r="S1917">
        <v>143</v>
      </c>
    </row>
    <row r="1918" spans="1:19" x14ac:dyDescent="0.3">
      <c r="A1918">
        <v>1917</v>
      </c>
      <c r="B1918" t="s">
        <v>1168</v>
      </c>
      <c r="C1918">
        <v>2024</v>
      </c>
      <c r="D1918" t="s">
        <v>161</v>
      </c>
      <c r="E1918">
        <v>9</v>
      </c>
      <c r="F1918" t="s">
        <v>21</v>
      </c>
      <c r="G1918" t="s">
        <v>26</v>
      </c>
      <c r="H1918">
        <v>36.61</v>
      </c>
      <c r="I1918" t="s">
        <v>32</v>
      </c>
      <c r="J1918">
        <v>17</v>
      </c>
      <c r="K1918">
        <v>426</v>
      </c>
      <c r="L1918">
        <v>93.48</v>
      </c>
      <c r="M1918">
        <v>5.81</v>
      </c>
      <c r="N1918">
        <v>3.97</v>
      </c>
      <c r="O1918">
        <v>4.43</v>
      </c>
      <c r="P1918">
        <v>175.02</v>
      </c>
      <c r="Q1918">
        <v>578</v>
      </c>
      <c r="R1918">
        <v>2</v>
      </c>
      <c r="S1918">
        <v>207</v>
      </c>
    </row>
    <row r="1919" spans="1:19" x14ac:dyDescent="0.3">
      <c r="A1919">
        <v>1918</v>
      </c>
      <c r="B1919" t="s">
        <v>1169</v>
      </c>
      <c r="C1919">
        <v>2024</v>
      </c>
      <c r="D1919" t="s">
        <v>161</v>
      </c>
      <c r="E1919">
        <v>9</v>
      </c>
      <c r="F1919" t="s">
        <v>37</v>
      </c>
      <c r="G1919" t="s">
        <v>26</v>
      </c>
      <c r="H1919">
        <v>41.47</v>
      </c>
      <c r="I1919" t="s">
        <v>47</v>
      </c>
      <c r="J1919">
        <v>49</v>
      </c>
      <c r="K1919">
        <v>150</v>
      </c>
      <c r="L1919">
        <v>85.85</v>
      </c>
      <c r="M1919">
        <v>17</v>
      </c>
      <c r="N1919">
        <v>6.84</v>
      </c>
      <c r="O1919">
        <v>7.77</v>
      </c>
      <c r="P1919">
        <v>229.69</v>
      </c>
      <c r="Q1919">
        <v>1041</v>
      </c>
      <c r="R1919">
        <v>4</v>
      </c>
      <c r="S1919">
        <v>143</v>
      </c>
    </row>
    <row r="1920" spans="1:19" x14ac:dyDescent="0.3">
      <c r="A1920">
        <v>1919</v>
      </c>
      <c r="B1920" t="s">
        <v>1170</v>
      </c>
      <c r="C1920">
        <v>2024</v>
      </c>
      <c r="D1920" t="s">
        <v>161</v>
      </c>
      <c r="E1920">
        <v>9</v>
      </c>
      <c r="F1920" t="s">
        <v>21</v>
      </c>
      <c r="G1920" t="s">
        <v>42</v>
      </c>
      <c r="H1920">
        <v>38.15</v>
      </c>
      <c r="I1920" t="s">
        <v>47</v>
      </c>
      <c r="J1920">
        <v>42</v>
      </c>
      <c r="K1920">
        <v>154</v>
      </c>
      <c r="L1920">
        <v>86.41</v>
      </c>
      <c r="M1920">
        <v>8.1</v>
      </c>
      <c r="N1920">
        <v>19.52</v>
      </c>
      <c r="O1920">
        <v>13.5</v>
      </c>
      <c r="P1920">
        <v>147.51</v>
      </c>
      <c r="Q1920">
        <v>1050</v>
      </c>
      <c r="R1920">
        <v>1</v>
      </c>
      <c r="S1920">
        <v>100</v>
      </c>
    </row>
    <row r="1921" spans="1:19" x14ac:dyDescent="0.3">
      <c r="A1921">
        <v>1920</v>
      </c>
      <c r="B1921" t="s">
        <v>1171</v>
      </c>
      <c r="C1921">
        <v>2024</v>
      </c>
      <c r="D1921" t="s">
        <v>161</v>
      </c>
      <c r="E1921">
        <v>9</v>
      </c>
      <c r="F1921" t="s">
        <v>53</v>
      </c>
      <c r="G1921" t="s">
        <v>40</v>
      </c>
      <c r="H1921">
        <v>31.01</v>
      </c>
      <c r="I1921" t="s">
        <v>47</v>
      </c>
      <c r="J1921">
        <v>27</v>
      </c>
      <c r="K1921">
        <v>347</v>
      </c>
      <c r="L1921">
        <v>81.8</v>
      </c>
      <c r="M1921">
        <v>18.010000000000002</v>
      </c>
      <c r="N1921">
        <v>4.95</v>
      </c>
      <c r="O1921">
        <v>7.32</v>
      </c>
      <c r="P1921">
        <v>488.4</v>
      </c>
      <c r="Q1921">
        <v>1051</v>
      </c>
      <c r="R1921">
        <v>1</v>
      </c>
      <c r="S1921">
        <v>245</v>
      </c>
    </row>
    <row r="1922" spans="1:19" x14ac:dyDescent="0.3">
      <c r="A1922">
        <v>1921</v>
      </c>
      <c r="B1922" t="s">
        <v>1172</v>
      </c>
      <c r="C1922">
        <v>2024</v>
      </c>
      <c r="D1922" t="s">
        <v>161</v>
      </c>
      <c r="E1922">
        <v>9</v>
      </c>
      <c r="F1922" t="s">
        <v>21</v>
      </c>
      <c r="G1922" t="s">
        <v>26</v>
      </c>
      <c r="H1922">
        <v>13.54</v>
      </c>
      <c r="I1922" t="s">
        <v>23</v>
      </c>
      <c r="J1922">
        <v>13</v>
      </c>
      <c r="K1922">
        <v>128</v>
      </c>
      <c r="L1922">
        <v>76.760000000000005</v>
      </c>
      <c r="M1922">
        <v>20.03</v>
      </c>
      <c r="N1922">
        <v>2.94</v>
      </c>
      <c r="O1922">
        <v>4.1900000000000004</v>
      </c>
      <c r="P1922">
        <v>391.54</v>
      </c>
      <c r="Q1922">
        <v>393</v>
      </c>
      <c r="R1922">
        <v>2</v>
      </c>
      <c r="S1922">
        <v>69</v>
      </c>
    </row>
    <row r="1923" spans="1:19" x14ac:dyDescent="0.3">
      <c r="A1923">
        <v>1922</v>
      </c>
      <c r="B1923" t="s">
        <v>1162</v>
      </c>
      <c r="C1923">
        <v>2024</v>
      </c>
      <c r="D1923" t="s">
        <v>161</v>
      </c>
      <c r="E1923">
        <v>9</v>
      </c>
      <c r="F1923" t="s">
        <v>34</v>
      </c>
      <c r="G1923" t="s">
        <v>26</v>
      </c>
      <c r="H1923">
        <v>52.91</v>
      </c>
      <c r="I1923" t="s">
        <v>47</v>
      </c>
      <c r="J1923">
        <v>15</v>
      </c>
      <c r="K1923">
        <v>519</v>
      </c>
      <c r="L1923">
        <v>84.54</v>
      </c>
      <c r="M1923">
        <v>24.94</v>
      </c>
      <c r="N1923">
        <v>3.43</v>
      </c>
      <c r="O1923">
        <v>7.85</v>
      </c>
      <c r="P1923">
        <v>496.44</v>
      </c>
      <c r="Q1923">
        <v>929</v>
      </c>
      <c r="R1923">
        <v>4</v>
      </c>
      <c r="S1923">
        <v>139</v>
      </c>
    </row>
    <row r="1924" spans="1:19" x14ac:dyDescent="0.3">
      <c r="A1924">
        <v>1923</v>
      </c>
      <c r="B1924" t="s">
        <v>1173</v>
      </c>
      <c r="C1924">
        <v>2024</v>
      </c>
      <c r="D1924" t="s">
        <v>161</v>
      </c>
      <c r="E1924">
        <v>9</v>
      </c>
      <c r="F1924" t="s">
        <v>62</v>
      </c>
      <c r="G1924" t="s">
        <v>40</v>
      </c>
      <c r="H1924">
        <v>54.77</v>
      </c>
      <c r="I1924" t="s">
        <v>23</v>
      </c>
      <c r="J1924">
        <v>2</v>
      </c>
      <c r="K1924">
        <v>104</v>
      </c>
      <c r="L1924">
        <v>78.14</v>
      </c>
      <c r="M1924">
        <v>5.9</v>
      </c>
      <c r="N1924">
        <v>7.51</v>
      </c>
      <c r="O1924">
        <v>9.75</v>
      </c>
      <c r="P1924">
        <v>386.12</v>
      </c>
      <c r="Q1924">
        <v>492</v>
      </c>
      <c r="R1924">
        <v>1</v>
      </c>
      <c r="S1924">
        <v>60</v>
      </c>
    </row>
    <row r="1925" spans="1:19" x14ac:dyDescent="0.3">
      <c r="A1925">
        <v>1924</v>
      </c>
      <c r="B1925" t="s">
        <v>1163</v>
      </c>
      <c r="C1925">
        <v>2024</v>
      </c>
      <c r="D1925" t="s">
        <v>161</v>
      </c>
      <c r="E1925">
        <v>9</v>
      </c>
      <c r="F1925" t="s">
        <v>31</v>
      </c>
      <c r="G1925" t="s">
        <v>22</v>
      </c>
      <c r="H1925">
        <v>22.66</v>
      </c>
      <c r="I1925" t="s">
        <v>23</v>
      </c>
      <c r="J1925">
        <v>28</v>
      </c>
      <c r="K1925">
        <v>149</v>
      </c>
      <c r="L1925">
        <v>78.39</v>
      </c>
      <c r="M1925">
        <v>20.66</v>
      </c>
      <c r="N1925">
        <v>6.73</v>
      </c>
      <c r="O1925">
        <v>6.29</v>
      </c>
      <c r="P1925">
        <v>351.78</v>
      </c>
      <c r="Q1925">
        <v>825</v>
      </c>
      <c r="R1925">
        <v>5</v>
      </c>
      <c r="S1925">
        <v>122</v>
      </c>
    </row>
    <row r="1926" spans="1:19" x14ac:dyDescent="0.3">
      <c r="A1926">
        <v>1925</v>
      </c>
      <c r="B1926" t="s">
        <v>1166</v>
      </c>
      <c r="C1926">
        <v>2024</v>
      </c>
      <c r="D1926" t="s">
        <v>161</v>
      </c>
      <c r="E1926">
        <v>9</v>
      </c>
      <c r="F1926" t="s">
        <v>53</v>
      </c>
      <c r="G1926" t="s">
        <v>42</v>
      </c>
      <c r="H1926">
        <v>54.55</v>
      </c>
      <c r="I1926" t="s">
        <v>23</v>
      </c>
      <c r="J1926">
        <v>15</v>
      </c>
      <c r="K1926">
        <v>516</v>
      </c>
      <c r="L1926">
        <v>82.5</v>
      </c>
      <c r="M1926">
        <v>6.7</v>
      </c>
      <c r="N1926">
        <v>12.14</v>
      </c>
      <c r="O1926">
        <v>11.37</v>
      </c>
      <c r="P1926">
        <v>256.83</v>
      </c>
      <c r="Q1926">
        <v>290</v>
      </c>
      <c r="R1926">
        <v>1</v>
      </c>
      <c r="S1926">
        <v>59</v>
      </c>
    </row>
    <row r="1927" spans="1:19" x14ac:dyDescent="0.3">
      <c r="A1927">
        <v>1926</v>
      </c>
      <c r="B1927" t="s">
        <v>1173</v>
      </c>
      <c r="C1927">
        <v>2024</v>
      </c>
      <c r="D1927" t="s">
        <v>161</v>
      </c>
      <c r="E1927">
        <v>9</v>
      </c>
      <c r="F1927" t="s">
        <v>34</v>
      </c>
      <c r="G1927" t="s">
        <v>26</v>
      </c>
      <c r="H1927">
        <v>26.73</v>
      </c>
      <c r="I1927" t="s">
        <v>27</v>
      </c>
      <c r="J1927">
        <v>20</v>
      </c>
      <c r="K1927">
        <v>517</v>
      </c>
      <c r="L1927">
        <v>87.19</v>
      </c>
      <c r="M1927">
        <v>22.71</v>
      </c>
      <c r="N1927">
        <v>18.52</v>
      </c>
      <c r="O1927">
        <v>11.67</v>
      </c>
      <c r="P1927">
        <v>387.72</v>
      </c>
      <c r="Q1927">
        <v>768</v>
      </c>
      <c r="R1927">
        <v>4</v>
      </c>
      <c r="S1927">
        <v>181</v>
      </c>
    </row>
    <row r="1928" spans="1:19" x14ac:dyDescent="0.3">
      <c r="A1928">
        <v>1927</v>
      </c>
      <c r="B1928" t="s">
        <v>1164</v>
      </c>
      <c r="C1928">
        <v>2024</v>
      </c>
      <c r="D1928" t="s">
        <v>161</v>
      </c>
      <c r="E1928">
        <v>9</v>
      </c>
      <c r="F1928" t="s">
        <v>34</v>
      </c>
      <c r="G1928" t="s">
        <v>22</v>
      </c>
      <c r="H1928">
        <v>53.47</v>
      </c>
      <c r="I1928" t="s">
        <v>47</v>
      </c>
      <c r="J1928">
        <v>22</v>
      </c>
      <c r="K1928">
        <v>246</v>
      </c>
      <c r="L1928">
        <v>93.01</v>
      </c>
      <c r="M1928">
        <v>31.38</v>
      </c>
      <c r="N1928">
        <v>12.75</v>
      </c>
      <c r="O1928">
        <v>7.63</v>
      </c>
      <c r="P1928">
        <v>375.77</v>
      </c>
      <c r="Q1928">
        <v>1042</v>
      </c>
      <c r="R1928">
        <v>4</v>
      </c>
      <c r="S1928">
        <v>198</v>
      </c>
    </row>
    <row r="1929" spans="1:19" x14ac:dyDescent="0.3">
      <c r="A1929">
        <v>1928</v>
      </c>
      <c r="B1929" t="s">
        <v>1174</v>
      </c>
      <c r="C1929">
        <v>2024</v>
      </c>
      <c r="D1929" t="s">
        <v>161</v>
      </c>
      <c r="E1929">
        <v>9</v>
      </c>
      <c r="F1929" t="s">
        <v>34</v>
      </c>
      <c r="G1929" t="s">
        <v>42</v>
      </c>
      <c r="H1929">
        <v>16.29</v>
      </c>
      <c r="I1929" t="s">
        <v>23</v>
      </c>
      <c r="J1929">
        <v>44</v>
      </c>
      <c r="K1929">
        <v>454</v>
      </c>
      <c r="L1929">
        <v>83.53</v>
      </c>
      <c r="M1929">
        <v>18.41</v>
      </c>
      <c r="N1929">
        <v>15.03</v>
      </c>
      <c r="O1929">
        <v>13.83</v>
      </c>
      <c r="P1929">
        <v>331.25</v>
      </c>
      <c r="Q1929">
        <v>870</v>
      </c>
      <c r="R1929">
        <v>2</v>
      </c>
      <c r="S1929">
        <v>100</v>
      </c>
    </row>
    <row r="1930" spans="1:19" x14ac:dyDescent="0.3">
      <c r="A1930">
        <v>1929</v>
      </c>
      <c r="B1930" t="s">
        <v>1175</v>
      </c>
      <c r="C1930">
        <v>2024</v>
      </c>
      <c r="D1930" t="s">
        <v>161</v>
      </c>
      <c r="E1930">
        <v>9</v>
      </c>
      <c r="F1930" t="s">
        <v>21</v>
      </c>
      <c r="G1930" t="s">
        <v>22</v>
      </c>
      <c r="H1930">
        <v>49.31</v>
      </c>
      <c r="I1930" t="s">
        <v>27</v>
      </c>
      <c r="J1930">
        <v>45</v>
      </c>
      <c r="K1930">
        <v>496</v>
      </c>
      <c r="L1930">
        <v>87.84</v>
      </c>
      <c r="M1930">
        <v>20.47</v>
      </c>
      <c r="N1930">
        <v>9.7899999999999991</v>
      </c>
      <c r="O1930">
        <v>5.29</v>
      </c>
      <c r="P1930">
        <v>370.23</v>
      </c>
      <c r="Q1930">
        <v>265</v>
      </c>
      <c r="R1930">
        <v>2</v>
      </c>
      <c r="S1930">
        <v>197</v>
      </c>
    </row>
    <row r="1931" spans="1:19" x14ac:dyDescent="0.3">
      <c r="A1931">
        <v>1930</v>
      </c>
      <c r="B1931" t="s">
        <v>1176</v>
      </c>
      <c r="C1931">
        <v>2024</v>
      </c>
      <c r="D1931" t="s">
        <v>161</v>
      </c>
      <c r="E1931">
        <v>9</v>
      </c>
      <c r="F1931" t="s">
        <v>31</v>
      </c>
      <c r="G1931" t="s">
        <v>40</v>
      </c>
      <c r="H1931">
        <v>42.9</v>
      </c>
      <c r="I1931" t="s">
        <v>47</v>
      </c>
      <c r="J1931">
        <v>49</v>
      </c>
      <c r="K1931">
        <v>525</v>
      </c>
      <c r="L1931">
        <v>85.87</v>
      </c>
      <c r="M1931">
        <v>7.56</v>
      </c>
      <c r="N1931">
        <v>18.64</v>
      </c>
      <c r="O1931">
        <v>6.23</v>
      </c>
      <c r="P1931">
        <v>199.71</v>
      </c>
      <c r="Q1931">
        <v>600</v>
      </c>
      <c r="R1931">
        <v>3</v>
      </c>
      <c r="S1931">
        <v>236</v>
      </c>
    </row>
    <row r="1932" spans="1:19" x14ac:dyDescent="0.3">
      <c r="A1932">
        <v>1931</v>
      </c>
      <c r="B1932" t="s">
        <v>1177</v>
      </c>
      <c r="C1932">
        <v>2024</v>
      </c>
      <c r="D1932" t="s">
        <v>161</v>
      </c>
      <c r="E1932">
        <v>9</v>
      </c>
      <c r="F1932" t="s">
        <v>37</v>
      </c>
      <c r="G1932" t="s">
        <v>22</v>
      </c>
      <c r="H1932">
        <v>11.16</v>
      </c>
      <c r="I1932" t="s">
        <v>23</v>
      </c>
      <c r="J1932">
        <v>34</v>
      </c>
      <c r="K1932">
        <v>273</v>
      </c>
      <c r="L1932">
        <v>82.21</v>
      </c>
      <c r="M1932">
        <v>25.37</v>
      </c>
      <c r="N1932">
        <v>21.46</v>
      </c>
      <c r="O1932">
        <v>5.05</v>
      </c>
      <c r="P1932">
        <v>459.95</v>
      </c>
      <c r="Q1932">
        <v>128</v>
      </c>
      <c r="R1932">
        <v>2</v>
      </c>
      <c r="S1932">
        <v>223</v>
      </c>
    </row>
    <row r="1933" spans="1:19" x14ac:dyDescent="0.3">
      <c r="A1933">
        <v>1932</v>
      </c>
      <c r="B1933" t="s">
        <v>1168</v>
      </c>
      <c r="C1933">
        <v>2024</v>
      </c>
      <c r="D1933" t="s">
        <v>161</v>
      </c>
      <c r="E1933">
        <v>9</v>
      </c>
      <c r="F1933" t="s">
        <v>25</v>
      </c>
      <c r="G1933" t="s">
        <v>40</v>
      </c>
      <c r="H1933">
        <v>23.88</v>
      </c>
      <c r="I1933" t="s">
        <v>38</v>
      </c>
      <c r="J1933">
        <v>7</v>
      </c>
      <c r="K1933">
        <v>220</v>
      </c>
      <c r="L1933">
        <v>85.56</v>
      </c>
      <c r="M1933">
        <v>21.31</v>
      </c>
      <c r="N1933">
        <v>19.96</v>
      </c>
      <c r="O1933">
        <v>4.84</v>
      </c>
      <c r="P1933">
        <v>254.09</v>
      </c>
      <c r="Q1933">
        <v>1083</v>
      </c>
      <c r="R1933">
        <v>1</v>
      </c>
      <c r="S1933">
        <v>93</v>
      </c>
    </row>
    <row r="1934" spans="1:19" x14ac:dyDescent="0.3">
      <c r="A1934">
        <v>1933</v>
      </c>
      <c r="B1934" t="s">
        <v>1178</v>
      </c>
      <c r="C1934">
        <v>2024</v>
      </c>
      <c r="D1934" t="s">
        <v>161</v>
      </c>
      <c r="E1934">
        <v>9</v>
      </c>
      <c r="F1934" t="s">
        <v>34</v>
      </c>
      <c r="G1934" t="s">
        <v>26</v>
      </c>
      <c r="H1934">
        <v>23.82</v>
      </c>
      <c r="I1934" t="s">
        <v>23</v>
      </c>
      <c r="J1934">
        <v>32</v>
      </c>
      <c r="K1934">
        <v>520</v>
      </c>
      <c r="L1934">
        <v>83.91</v>
      </c>
      <c r="M1934">
        <v>9.01</v>
      </c>
      <c r="N1934">
        <v>9.85</v>
      </c>
      <c r="O1934">
        <v>2.21</v>
      </c>
      <c r="P1934">
        <v>491.26</v>
      </c>
      <c r="Q1934">
        <v>393</v>
      </c>
      <c r="R1934">
        <v>3</v>
      </c>
      <c r="S1934">
        <v>211</v>
      </c>
    </row>
    <row r="1935" spans="1:19" x14ac:dyDescent="0.3">
      <c r="A1935">
        <v>1934</v>
      </c>
      <c r="B1935" t="s">
        <v>1179</v>
      </c>
      <c r="C1935">
        <v>2024</v>
      </c>
      <c r="D1935" t="s">
        <v>161</v>
      </c>
      <c r="E1935">
        <v>9</v>
      </c>
      <c r="F1935" t="s">
        <v>34</v>
      </c>
      <c r="G1935" t="s">
        <v>22</v>
      </c>
      <c r="H1935">
        <v>17.8</v>
      </c>
      <c r="I1935" t="s">
        <v>32</v>
      </c>
      <c r="J1935">
        <v>44</v>
      </c>
      <c r="K1935">
        <v>153</v>
      </c>
      <c r="L1935">
        <v>81.099999999999994</v>
      </c>
      <c r="M1935">
        <v>7.91</v>
      </c>
      <c r="N1935">
        <v>12.85</v>
      </c>
      <c r="O1935">
        <v>6.52</v>
      </c>
      <c r="P1935">
        <v>425.25</v>
      </c>
      <c r="Q1935">
        <v>1004</v>
      </c>
      <c r="R1935">
        <v>5</v>
      </c>
      <c r="S1935">
        <v>180</v>
      </c>
    </row>
    <row r="1936" spans="1:19" x14ac:dyDescent="0.3">
      <c r="A1936">
        <v>1935</v>
      </c>
      <c r="B1936" t="s">
        <v>1172</v>
      </c>
      <c r="C1936">
        <v>2024</v>
      </c>
      <c r="D1936" t="s">
        <v>161</v>
      </c>
      <c r="E1936">
        <v>9</v>
      </c>
      <c r="F1936" t="s">
        <v>34</v>
      </c>
      <c r="G1936" t="s">
        <v>26</v>
      </c>
      <c r="H1936">
        <v>52.75</v>
      </c>
      <c r="I1936" t="s">
        <v>27</v>
      </c>
      <c r="J1936">
        <v>28</v>
      </c>
      <c r="K1936">
        <v>551</v>
      </c>
      <c r="L1936">
        <v>83.52</v>
      </c>
      <c r="M1936">
        <v>13.65</v>
      </c>
      <c r="N1936">
        <v>2.12</v>
      </c>
      <c r="O1936">
        <v>4.6500000000000004</v>
      </c>
      <c r="P1936">
        <v>520.38</v>
      </c>
      <c r="Q1936">
        <v>913</v>
      </c>
      <c r="R1936">
        <v>4</v>
      </c>
      <c r="S1936">
        <v>209</v>
      </c>
    </row>
    <row r="1937" spans="1:19" x14ac:dyDescent="0.3">
      <c r="A1937">
        <v>1936</v>
      </c>
      <c r="B1937" t="s">
        <v>1164</v>
      </c>
      <c r="C1937">
        <v>2024</v>
      </c>
      <c r="D1937" t="s">
        <v>161</v>
      </c>
      <c r="E1937">
        <v>9</v>
      </c>
      <c r="F1937" t="s">
        <v>53</v>
      </c>
      <c r="G1937" t="s">
        <v>22</v>
      </c>
      <c r="H1937">
        <v>17.600000000000001</v>
      </c>
      <c r="I1937" t="s">
        <v>23</v>
      </c>
      <c r="J1937">
        <v>23</v>
      </c>
      <c r="K1937">
        <v>108</v>
      </c>
      <c r="L1937">
        <v>81.63</v>
      </c>
      <c r="M1937">
        <v>6.64</v>
      </c>
      <c r="N1937">
        <v>20.72</v>
      </c>
      <c r="O1937">
        <v>9.41</v>
      </c>
      <c r="P1937">
        <v>402.64</v>
      </c>
      <c r="Q1937">
        <v>982</v>
      </c>
      <c r="R1937">
        <v>4</v>
      </c>
      <c r="S1937">
        <v>83</v>
      </c>
    </row>
    <row r="1938" spans="1:19" x14ac:dyDescent="0.3">
      <c r="A1938">
        <v>1937</v>
      </c>
      <c r="B1938" t="s">
        <v>1161</v>
      </c>
      <c r="C1938">
        <v>2024</v>
      </c>
      <c r="D1938" t="s">
        <v>161</v>
      </c>
      <c r="E1938">
        <v>9</v>
      </c>
      <c r="F1938" t="s">
        <v>25</v>
      </c>
      <c r="G1938" t="s">
        <v>35</v>
      </c>
      <c r="H1938">
        <v>21.02</v>
      </c>
      <c r="I1938" t="s">
        <v>23</v>
      </c>
      <c r="J1938">
        <v>5</v>
      </c>
      <c r="K1938">
        <v>426</v>
      </c>
      <c r="L1938">
        <v>76.900000000000006</v>
      </c>
      <c r="M1938">
        <v>29.62</v>
      </c>
      <c r="N1938">
        <v>18.78</v>
      </c>
      <c r="O1938">
        <v>1.66</v>
      </c>
      <c r="P1938">
        <v>213.38</v>
      </c>
      <c r="Q1938">
        <v>868</v>
      </c>
      <c r="R1938">
        <v>1</v>
      </c>
      <c r="S1938">
        <v>50</v>
      </c>
    </row>
    <row r="1939" spans="1:19" x14ac:dyDescent="0.3">
      <c r="A1939">
        <v>1938</v>
      </c>
      <c r="B1939" t="s">
        <v>1166</v>
      </c>
      <c r="C1939">
        <v>2024</v>
      </c>
      <c r="D1939" t="s">
        <v>161</v>
      </c>
      <c r="E1939">
        <v>9</v>
      </c>
      <c r="F1939" t="s">
        <v>37</v>
      </c>
      <c r="G1939" t="s">
        <v>35</v>
      </c>
      <c r="H1939">
        <v>51.96</v>
      </c>
      <c r="I1939" t="s">
        <v>27</v>
      </c>
      <c r="J1939">
        <v>49</v>
      </c>
      <c r="K1939">
        <v>294</v>
      </c>
      <c r="L1939">
        <v>80.709999999999994</v>
      </c>
      <c r="M1939">
        <v>28.86</v>
      </c>
      <c r="N1939">
        <v>14.04</v>
      </c>
      <c r="O1939">
        <v>15.42</v>
      </c>
      <c r="P1939">
        <v>360.07</v>
      </c>
      <c r="Q1939">
        <v>888</v>
      </c>
      <c r="R1939">
        <v>5</v>
      </c>
      <c r="S1939">
        <v>180</v>
      </c>
    </row>
    <row r="1940" spans="1:19" x14ac:dyDescent="0.3">
      <c r="A1940">
        <v>1939</v>
      </c>
      <c r="B1940" t="s">
        <v>1180</v>
      </c>
      <c r="C1940">
        <v>2024</v>
      </c>
      <c r="D1940" t="s">
        <v>226</v>
      </c>
      <c r="E1940">
        <v>10</v>
      </c>
      <c r="F1940" t="s">
        <v>53</v>
      </c>
      <c r="G1940" t="s">
        <v>22</v>
      </c>
      <c r="H1940">
        <v>23.64</v>
      </c>
      <c r="I1940" t="s">
        <v>32</v>
      </c>
      <c r="J1940">
        <v>29</v>
      </c>
      <c r="K1940">
        <v>228</v>
      </c>
      <c r="L1940">
        <v>75.92</v>
      </c>
      <c r="M1940">
        <v>15.89</v>
      </c>
      <c r="N1940">
        <v>8.26</v>
      </c>
      <c r="O1940">
        <v>13.47</v>
      </c>
      <c r="P1940">
        <v>334.59</v>
      </c>
      <c r="Q1940">
        <v>179</v>
      </c>
      <c r="R1940">
        <v>1</v>
      </c>
      <c r="S1940">
        <v>177</v>
      </c>
    </row>
    <row r="1941" spans="1:19" x14ac:dyDescent="0.3">
      <c r="A1941">
        <v>1940</v>
      </c>
      <c r="B1941" t="s">
        <v>1181</v>
      </c>
      <c r="C1941">
        <v>2024</v>
      </c>
      <c r="D1941" t="s">
        <v>226</v>
      </c>
      <c r="E1941">
        <v>10</v>
      </c>
      <c r="F1941" t="s">
        <v>21</v>
      </c>
      <c r="G1941" t="s">
        <v>42</v>
      </c>
      <c r="H1941">
        <v>42.6</v>
      </c>
      <c r="I1941" t="s">
        <v>38</v>
      </c>
      <c r="J1941">
        <v>14</v>
      </c>
      <c r="K1941">
        <v>526</v>
      </c>
      <c r="L1941">
        <v>85.02</v>
      </c>
      <c r="M1941">
        <v>27.27</v>
      </c>
      <c r="N1941">
        <v>15.59</v>
      </c>
      <c r="O1941">
        <v>3.53</v>
      </c>
      <c r="P1941">
        <v>149.05000000000001</v>
      </c>
      <c r="Q1941">
        <v>103</v>
      </c>
      <c r="R1941">
        <v>4</v>
      </c>
      <c r="S1941">
        <v>217</v>
      </c>
    </row>
    <row r="1942" spans="1:19" x14ac:dyDescent="0.3">
      <c r="A1942">
        <v>1941</v>
      </c>
      <c r="B1942" t="s">
        <v>1182</v>
      </c>
      <c r="C1942">
        <v>2024</v>
      </c>
      <c r="D1942" t="s">
        <v>226</v>
      </c>
      <c r="E1942">
        <v>10</v>
      </c>
      <c r="F1942" t="s">
        <v>62</v>
      </c>
      <c r="G1942" t="s">
        <v>42</v>
      </c>
      <c r="H1942">
        <v>7.07</v>
      </c>
      <c r="I1942" t="s">
        <v>47</v>
      </c>
      <c r="J1942">
        <v>3</v>
      </c>
      <c r="K1942">
        <v>454</v>
      </c>
      <c r="L1942">
        <v>86.48</v>
      </c>
      <c r="M1942">
        <v>29.88</v>
      </c>
      <c r="N1942">
        <v>5.86</v>
      </c>
      <c r="O1942">
        <v>2.5</v>
      </c>
      <c r="P1942">
        <v>492.24</v>
      </c>
      <c r="Q1942">
        <v>463</v>
      </c>
      <c r="R1942">
        <v>4</v>
      </c>
      <c r="S1942">
        <v>161</v>
      </c>
    </row>
    <row r="1943" spans="1:19" x14ac:dyDescent="0.3">
      <c r="A1943">
        <v>1942</v>
      </c>
      <c r="B1943" t="s">
        <v>1183</v>
      </c>
      <c r="C1943">
        <v>2024</v>
      </c>
      <c r="D1943" t="s">
        <v>226</v>
      </c>
      <c r="E1943">
        <v>10</v>
      </c>
      <c r="F1943" t="s">
        <v>25</v>
      </c>
      <c r="G1943" t="s">
        <v>40</v>
      </c>
      <c r="H1943">
        <v>30.82</v>
      </c>
      <c r="I1943" t="s">
        <v>23</v>
      </c>
      <c r="J1943">
        <v>19</v>
      </c>
      <c r="K1943">
        <v>340</v>
      </c>
      <c r="L1943">
        <v>77.150000000000006</v>
      </c>
      <c r="M1943">
        <v>21.59</v>
      </c>
      <c r="N1943">
        <v>10.36</v>
      </c>
      <c r="O1943">
        <v>13.48</v>
      </c>
      <c r="P1943">
        <v>539.95000000000005</v>
      </c>
      <c r="Q1943">
        <v>491</v>
      </c>
      <c r="R1943">
        <v>4</v>
      </c>
      <c r="S1943">
        <v>204</v>
      </c>
    </row>
    <row r="1944" spans="1:19" x14ac:dyDescent="0.3">
      <c r="A1944">
        <v>1943</v>
      </c>
      <c r="B1944" t="s">
        <v>1184</v>
      </c>
      <c r="C1944">
        <v>2024</v>
      </c>
      <c r="D1944" t="s">
        <v>226</v>
      </c>
      <c r="E1944">
        <v>10</v>
      </c>
      <c r="F1944" t="s">
        <v>53</v>
      </c>
      <c r="G1944" t="s">
        <v>35</v>
      </c>
      <c r="H1944">
        <v>13.82</v>
      </c>
      <c r="I1944" t="s">
        <v>27</v>
      </c>
      <c r="J1944">
        <v>15</v>
      </c>
      <c r="K1944">
        <v>582</v>
      </c>
      <c r="L1944">
        <v>82.62</v>
      </c>
      <c r="M1944">
        <v>33.549999999999997</v>
      </c>
      <c r="N1944">
        <v>18.78</v>
      </c>
      <c r="O1944">
        <v>15.33</v>
      </c>
      <c r="P1944">
        <v>537.54</v>
      </c>
      <c r="Q1944">
        <v>849</v>
      </c>
      <c r="R1944">
        <v>5</v>
      </c>
      <c r="S1944">
        <v>173</v>
      </c>
    </row>
    <row r="1945" spans="1:19" x14ac:dyDescent="0.3">
      <c r="A1945">
        <v>1944</v>
      </c>
      <c r="B1945" t="s">
        <v>1185</v>
      </c>
      <c r="C1945">
        <v>2024</v>
      </c>
      <c r="D1945" t="s">
        <v>226</v>
      </c>
      <c r="E1945">
        <v>10</v>
      </c>
      <c r="F1945" t="s">
        <v>62</v>
      </c>
      <c r="G1945" t="s">
        <v>35</v>
      </c>
      <c r="H1945">
        <v>43.32</v>
      </c>
      <c r="I1945" t="s">
        <v>47</v>
      </c>
      <c r="J1945">
        <v>49</v>
      </c>
      <c r="K1945">
        <v>529</v>
      </c>
      <c r="L1945">
        <v>91.38</v>
      </c>
      <c r="M1945">
        <v>19.43</v>
      </c>
      <c r="N1945">
        <v>15.6</v>
      </c>
      <c r="O1945">
        <v>4.97</v>
      </c>
      <c r="P1945">
        <v>294.33</v>
      </c>
      <c r="Q1945">
        <v>808</v>
      </c>
      <c r="R1945">
        <v>5</v>
      </c>
      <c r="S1945">
        <v>57</v>
      </c>
    </row>
    <row r="1946" spans="1:19" x14ac:dyDescent="0.3">
      <c r="A1946">
        <v>1945</v>
      </c>
      <c r="B1946" t="s">
        <v>1186</v>
      </c>
      <c r="C1946">
        <v>2024</v>
      </c>
      <c r="D1946" t="s">
        <v>226</v>
      </c>
      <c r="E1946">
        <v>10</v>
      </c>
      <c r="F1946" t="s">
        <v>29</v>
      </c>
      <c r="G1946" t="s">
        <v>40</v>
      </c>
      <c r="H1946">
        <v>14.3</v>
      </c>
      <c r="I1946" t="s">
        <v>27</v>
      </c>
      <c r="J1946">
        <v>8</v>
      </c>
      <c r="K1946">
        <v>322</v>
      </c>
      <c r="L1946">
        <v>88.47</v>
      </c>
      <c r="M1946">
        <v>13.47</v>
      </c>
      <c r="N1946">
        <v>5.87</v>
      </c>
      <c r="O1946">
        <v>1.87</v>
      </c>
      <c r="P1946">
        <v>214.78</v>
      </c>
      <c r="Q1946">
        <v>1044</v>
      </c>
      <c r="R1946">
        <v>1</v>
      </c>
      <c r="S1946">
        <v>232</v>
      </c>
    </row>
    <row r="1947" spans="1:19" x14ac:dyDescent="0.3">
      <c r="A1947">
        <v>1946</v>
      </c>
      <c r="B1947" t="s">
        <v>1186</v>
      </c>
      <c r="C1947">
        <v>2024</v>
      </c>
      <c r="D1947" t="s">
        <v>226</v>
      </c>
      <c r="E1947">
        <v>10</v>
      </c>
      <c r="F1947" t="s">
        <v>37</v>
      </c>
      <c r="G1947" t="s">
        <v>26</v>
      </c>
      <c r="H1947">
        <v>11.52</v>
      </c>
      <c r="I1947" t="s">
        <v>38</v>
      </c>
      <c r="J1947">
        <v>42</v>
      </c>
      <c r="K1947">
        <v>301</v>
      </c>
      <c r="L1947">
        <v>90.04</v>
      </c>
      <c r="M1947">
        <v>27.52</v>
      </c>
      <c r="N1947">
        <v>13.38</v>
      </c>
      <c r="O1947">
        <v>2.48</v>
      </c>
      <c r="P1947">
        <v>564.38</v>
      </c>
      <c r="Q1947">
        <v>303</v>
      </c>
      <c r="R1947">
        <v>1</v>
      </c>
      <c r="S1947">
        <v>188</v>
      </c>
    </row>
    <row r="1948" spans="1:19" x14ac:dyDescent="0.3">
      <c r="A1948">
        <v>1947</v>
      </c>
      <c r="B1948" t="s">
        <v>1184</v>
      </c>
      <c r="C1948">
        <v>2024</v>
      </c>
      <c r="D1948" t="s">
        <v>226</v>
      </c>
      <c r="E1948">
        <v>10</v>
      </c>
      <c r="F1948" t="s">
        <v>37</v>
      </c>
      <c r="G1948" t="s">
        <v>35</v>
      </c>
      <c r="H1948">
        <v>37.33</v>
      </c>
      <c r="I1948" t="s">
        <v>47</v>
      </c>
      <c r="J1948">
        <v>33</v>
      </c>
      <c r="K1948">
        <v>306</v>
      </c>
      <c r="L1948">
        <v>90.54</v>
      </c>
      <c r="M1948">
        <v>14.08</v>
      </c>
      <c r="N1948">
        <v>3.98</v>
      </c>
      <c r="O1948">
        <v>10.96</v>
      </c>
      <c r="P1948">
        <v>313.70999999999998</v>
      </c>
      <c r="Q1948">
        <v>1082</v>
      </c>
      <c r="R1948">
        <v>2</v>
      </c>
      <c r="S1948">
        <v>149</v>
      </c>
    </row>
    <row r="1949" spans="1:19" x14ac:dyDescent="0.3">
      <c r="A1949">
        <v>1948</v>
      </c>
      <c r="B1949" t="s">
        <v>1187</v>
      </c>
      <c r="C1949">
        <v>2024</v>
      </c>
      <c r="D1949" t="s">
        <v>226</v>
      </c>
      <c r="E1949">
        <v>10</v>
      </c>
      <c r="F1949" t="s">
        <v>53</v>
      </c>
      <c r="G1949" t="s">
        <v>35</v>
      </c>
      <c r="H1949">
        <v>6.45</v>
      </c>
      <c r="I1949" t="s">
        <v>47</v>
      </c>
      <c r="J1949">
        <v>49</v>
      </c>
      <c r="K1949">
        <v>529</v>
      </c>
      <c r="L1949">
        <v>81.52</v>
      </c>
      <c r="M1949">
        <v>33.61</v>
      </c>
      <c r="N1949">
        <v>19.260000000000002</v>
      </c>
      <c r="O1949">
        <v>1.86</v>
      </c>
      <c r="P1949">
        <v>357.46</v>
      </c>
      <c r="Q1949">
        <v>703</v>
      </c>
      <c r="R1949">
        <v>4</v>
      </c>
      <c r="S1949">
        <v>237</v>
      </c>
    </row>
    <row r="1950" spans="1:19" x14ac:dyDescent="0.3">
      <c r="A1950">
        <v>1949</v>
      </c>
      <c r="B1950" t="s">
        <v>1188</v>
      </c>
      <c r="C1950">
        <v>2024</v>
      </c>
      <c r="D1950" t="s">
        <v>226</v>
      </c>
      <c r="E1950">
        <v>10</v>
      </c>
      <c r="F1950" t="s">
        <v>37</v>
      </c>
      <c r="G1950" t="s">
        <v>26</v>
      </c>
      <c r="H1950">
        <v>9.36</v>
      </c>
      <c r="I1950" t="s">
        <v>23</v>
      </c>
      <c r="J1950">
        <v>29</v>
      </c>
      <c r="K1950">
        <v>547</v>
      </c>
      <c r="L1950">
        <v>86.48</v>
      </c>
      <c r="M1950">
        <v>6.57</v>
      </c>
      <c r="N1950">
        <v>21.08</v>
      </c>
      <c r="O1950">
        <v>4.5</v>
      </c>
      <c r="P1950">
        <v>267.72000000000003</v>
      </c>
      <c r="Q1950">
        <v>841</v>
      </c>
      <c r="R1950">
        <v>5</v>
      </c>
      <c r="S1950">
        <v>105</v>
      </c>
    </row>
    <row r="1951" spans="1:19" x14ac:dyDescent="0.3">
      <c r="A1951">
        <v>1950</v>
      </c>
      <c r="B1951" t="s">
        <v>1189</v>
      </c>
      <c r="C1951">
        <v>2024</v>
      </c>
      <c r="D1951" t="s">
        <v>226</v>
      </c>
      <c r="E1951">
        <v>10</v>
      </c>
      <c r="F1951" t="s">
        <v>21</v>
      </c>
      <c r="G1951" t="s">
        <v>35</v>
      </c>
      <c r="H1951">
        <v>26.47</v>
      </c>
      <c r="I1951" t="s">
        <v>47</v>
      </c>
      <c r="J1951">
        <v>14</v>
      </c>
      <c r="K1951">
        <v>511</v>
      </c>
      <c r="L1951">
        <v>86.59</v>
      </c>
      <c r="M1951">
        <v>34.99</v>
      </c>
      <c r="N1951">
        <v>14.63</v>
      </c>
      <c r="O1951">
        <v>3.8</v>
      </c>
      <c r="P1951">
        <v>279.14999999999998</v>
      </c>
      <c r="Q1951">
        <v>403</v>
      </c>
      <c r="R1951">
        <v>5</v>
      </c>
      <c r="S1951">
        <v>73</v>
      </c>
    </row>
    <row r="1952" spans="1:19" x14ac:dyDescent="0.3">
      <c r="A1952">
        <v>1951</v>
      </c>
      <c r="B1952" t="s">
        <v>1190</v>
      </c>
      <c r="C1952">
        <v>2024</v>
      </c>
      <c r="D1952" t="s">
        <v>226</v>
      </c>
      <c r="E1952">
        <v>10</v>
      </c>
      <c r="F1952" t="s">
        <v>53</v>
      </c>
      <c r="G1952" t="s">
        <v>40</v>
      </c>
      <c r="H1952">
        <v>23.52</v>
      </c>
      <c r="I1952" t="s">
        <v>23</v>
      </c>
      <c r="J1952">
        <v>30</v>
      </c>
      <c r="K1952">
        <v>414</v>
      </c>
      <c r="L1952">
        <v>78.540000000000006</v>
      </c>
      <c r="M1952">
        <v>28.52</v>
      </c>
      <c r="N1952">
        <v>13.42</v>
      </c>
      <c r="O1952">
        <v>6.48</v>
      </c>
      <c r="P1952">
        <v>591.04</v>
      </c>
      <c r="Q1952">
        <v>875</v>
      </c>
      <c r="R1952">
        <v>3</v>
      </c>
      <c r="S1952">
        <v>183</v>
      </c>
    </row>
    <row r="1953" spans="1:19" x14ac:dyDescent="0.3">
      <c r="A1953">
        <v>1952</v>
      </c>
      <c r="B1953" t="s">
        <v>1185</v>
      </c>
      <c r="C1953">
        <v>2024</v>
      </c>
      <c r="D1953" t="s">
        <v>226</v>
      </c>
      <c r="E1953">
        <v>10</v>
      </c>
      <c r="F1953" t="s">
        <v>53</v>
      </c>
      <c r="G1953" t="s">
        <v>42</v>
      </c>
      <c r="H1953">
        <v>25.2</v>
      </c>
      <c r="I1953" t="s">
        <v>32</v>
      </c>
      <c r="J1953">
        <v>34</v>
      </c>
      <c r="K1953">
        <v>215</v>
      </c>
      <c r="L1953">
        <v>75.349999999999994</v>
      </c>
      <c r="M1953">
        <v>30.71</v>
      </c>
      <c r="N1953">
        <v>14.88</v>
      </c>
      <c r="O1953">
        <v>2.79</v>
      </c>
      <c r="P1953">
        <v>579.88</v>
      </c>
      <c r="Q1953">
        <v>805</v>
      </c>
      <c r="R1953">
        <v>3</v>
      </c>
      <c r="S1953">
        <v>152</v>
      </c>
    </row>
    <row r="1954" spans="1:19" x14ac:dyDescent="0.3">
      <c r="A1954">
        <v>1953</v>
      </c>
      <c r="B1954" t="s">
        <v>1184</v>
      </c>
      <c r="C1954">
        <v>2024</v>
      </c>
      <c r="D1954" t="s">
        <v>226</v>
      </c>
      <c r="E1954">
        <v>10</v>
      </c>
      <c r="F1954" t="s">
        <v>53</v>
      </c>
      <c r="G1954" t="s">
        <v>42</v>
      </c>
      <c r="H1954">
        <v>13.51</v>
      </c>
      <c r="I1954" t="s">
        <v>27</v>
      </c>
      <c r="J1954">
        <v>10</v>
      </c>
      <c r="K1954">
        <v>341</v>
      </c>
      <c r="L1954">
        <v>88.32</v>
      </c>
      <c r="M1954">
        <v>19.89</v>
      </c>
      <c r="N1954">
        <v>21.45</v>
      </c>
      <c r="O1954">
        <v>10.1</v>
      </c>
      <c r="P1954">
        <v>185.87</v>
      </c>
      <c r="Q1954">
        <v>864</v>
      </c>
      <c r="R1954">
        <v>2</v>
      </c>
      <c r="S1954">
        <v>121</v>
      </c>
    </row>
    <row r="1955" spans="1:19" x14ac:dyDescent="0.3">
      <c r="A1955">
        <v>1954</v>
      </c>
      <c r="B1955" t="s">
        <v>1187</v>
      </c>
      <c r="C1955">
        <v>2024</v>
      </c>
      <c r="D1955" t="s">
        <v>226</v>
      </c>
      <c r="E1955">
        <v>10</v>
      </c>
      <c r="F1955" t="s">
        <v>25</v>
      </c>
      <c r="G1955" t="s">
        <v>26</v>
      </c>
      <c r="H1955">
        <v>54.68</v>
      </c>
      <c r="I1955" t="s">
        <v>27</v>
      </c>
      <c r="J1955">
        <v>27</v>
      </c>
      <c r="K1955">
        <v>486</v>
      </c>
      <c r="L1955">
        <v>94.77</v>
      </c>
      <c r="M1955">
        <v>18.89</v>
      </c>
      <c r="N1955">
        <v>15.27</v>
      </c>
      <c r="O1955">
        <v>12.18</v>
      </c>
      <c r="P1955">
        <v>181.84</v>
      </c>
      <c r="Q1955">
        <v>539</v>
      </c>
      <c r="R1955">
        <v>4</v>
      </c>
      <c r="S1955">
        <v>215</v>
      </c>
    </row>
    <row r="1956" spans="1:19" x14ac:dyDescent="0.3">
      <c r="A1956">
        <v>1955</v>
      </c>
      <c r="B1956" t="s">
        <v>1184</v>
      </c>
      <c r="C1956">
        <v>2024</v>
      </c>
      <c r="D1956" t="s">
        <v>226</v>
      </c>
      <c r="E1956">
        <v>10</v>
      </c>
      <c r="F1956" t="s">
        <v>29</v>
      </c>
      <c r="G1956" t="s">
        <v>26</v>
      </c>
      <c r="H1956">
        <v>7.25</v>
      </c>
      <c r="I1956" t="s">
        <v>38</v>
      </c>
      <c r="J1956">
        <v>45</v>
      </c>
      <c r="K1956">
        <v>197</v>
      </c>
      <c r="L1956">
        <v>88.6</v>
      </c>
      <c r="M1956">
        <v>24.57</v>
      </c>
      <c r="N1956">
        <v>18.68</v>
      </c>
      <c r="O1956">
        <v>4.41</v>
      </c>
      <c r="P1956">
        <v>251.62</v>
      </c>
      <c r="Q1956">
        <v>280</v>
      </c>
      <c r="R1956">
        <v>4</v>
      </c>
      <c r="S1956">
        <v>245</v>
      </c>
    </row>
    <row r="1957" spans="1:19" x14ac:dyDescent="0.3">
      <c r="A1957">
        <v>1956</v>
      </c>
      <c r="B1957" t="s">
        <v>1191</v>
      </c>
      <c r="C1957">
        <v>2024</v>
      </c>
      <c r="D1957" t="s">
        <v>226</v>
      </c>
      <c r="E1957">
        <v>10</v>
      </c>
      <c r="F1957" t="s">
        <v>21</v>
      </c>
      <c r="G1957" t="s">
        <v>26</v>
      </c>
      <c r="H1957">
        <v>5.7</v>
      </c>
      <c r="I1957" t="s">
        <v>38</v>
      </c>
      <c r="J1957">
        <v>30</v>
      </c>
      <c r="K1957">
        <v>262</v>
      </c>
      <c r="L1957">
        <v>83.47</v>
      </c>
      <c r="M1957">
        <v>16.899999999999999</v>
      </c>
      <c r="N1957">
        <v>21.16</v>
      </c>
      <c r="O1957">
        <v>10.28</v>
      </c>
      <c r="P1957">
        <v>176.49</v>
      </c>
      <c r="Q1957">
        <v>575</v>
      </c>
      <c r="R1957">
        <v>5</v>
      </c>
      <c r="S1957">
        <v>201</v>
      </c>
    </row>
    <row r="1958" spans="1:19" x14ac:dyDescent="0.3">
      <c r="A1958">
        <v>1957</v>
      </c>
      <c r="B1958" t="s">
        <v>1192</v>
      </c>
      <c r="C1958">
        <v>2024</v>
      </c>
      <c r="D1958" t="s">
        <v>226</v>
      </c>
      <c r="E1958">
        <v>10</v>
      </c>
      <c r="F1958" t="s">
        <v>29</v>
      </c>
      <c r="G1958" t="s">
        <v>42</v>
      </c>
      <c r="H1958">
        <v>7.23</v>
      </c>
      <c r="I1958" t="s">
        <v>23</v>
      </c>
      <c r="J1958">
        <v>47</v>
      </c>
      <c r="K1958">
        <v>334</v>
      </c>
      <c r="L1958">
        <v>86.58</v>
      </c>
      <c r="M1958">
        <v>14.28</v>
      </c>
      <c r="N1958">
        <v>11.8</v>
      </c>
      <c r="O1958">
        <v>11.72</v>
      </c>
      <c r="P1958">
        <v>186.05</v>
      </c>
      <c r="Q1958">
        <v>276</v>
      </c>
      <c r="R1958">
        <v>1</v>
      </c>
      <c r="S1958">
        <v>127</v>
      </c>
    </row>
    <row r="1959" spans="1:19" x14ac:dyDescent="0.3">
      <c r="A1959">
        <v>1958</v>
      </c>
      <c r="B1959" t="s">
        <v>1182</v>
      </c>
      <c r="C1959">
        <v>2024</v>
      </c>
      <c r="D1959" t="s">
        <v>226</v>
      </c>
      <c r="E1959">
        <v>10</v>
      </c>
      <c r="F1959" t="s">
        <v>25</v>
      </c>
      <c r="G1959" t="s">
        <v>35</v>
      </c>
      <c r="H1959">
        <v>38.58</v>
      </c>
      <c r="I1959" t="s">
        <v>27</v>
      </c>
      <c r="J1959">
        <v>28</v>
      </c>
      <c r="K1959">
        <v>391</v>
      </c>
      <c r="L1959">
        <v>93.03</v>
      </c>
      <c r="M1959">
        <v>12.45</v>
      </c>
      <c r="N1959">
        <v>20.58</v>
      </c>
      <c r="O1959">
        <v>13.99</v>
      </c>
      <c r="P1959">
        <v>199.04</v>
      </c>
      <c r="Q1959">
        <v>539</v>
      </c>
      <c r="R1959">
        <v>4</v>
      </c>
      <c r="S1959">
        <v>239</v>
      </c>
    </row>
    <row r="1960" spans="1:19" x14ac:dyDescent="0.3">
      <c r="A1960">
        <v>1959</v>
      </c>
      <c r="B1960" t="s">
        <v>1193</v>
      </c>
      <c r="C1960">
        <v>2024</v>
      </c>
      <c r="D1960" t="s">
        <v>226</v>
      </c>
      <c r="E1960">
        <v>10</v>
      </c>
      <c r="F1960" t="s">
        <v>25</v>
      </c>
      <c r="G1960" t="s">
        <v>22</v>
      </c>
      <c r="H1960">
        <v>5.63</v>
      </c>
      <c r="I1960" t="s">
        <v>47</v>
      </c>
      <c r="J1960">
        <v>2</v>
      </c>
      <c r="K1960">
        <v>310</v>
      </c>
      <c r="L1960">
        <v>83.47</v>
      </c>
      <c r="M1960">
        <v>25.92</v>
      </c>
      <c r="N1960">
        <v>20.09</v>
      </c>
      <c r="O1960">
        <v>3.1</v>
      </c>
      <c r="P1960">
        <v>343.34</v>
      </c>
      <c r="Q1960">
        <v>719</v>
      </c>
      <c r="R1960">
        <v>5</v>
      </c>
      <c r="S1960">
        <v>237</v>
      </c>
    </row>
    <row r="1961" spans="1:19" x14ac:dyDescent="0.3">
      <c r="A1961">
        <v>1960</v>
      </c>
      <c r="B1961" t="s">
        <v>1180</v>
      </c>
      <c r="C1961">
        <v>2024</v>
      </c>
      <c r="D1961" t="s">
        <v>226</v>
      </c>
      <c r="E1961">
        <v>10</v>
      </c>
      <c r="F1961" t="s">
        <v>21</v>
      </c>
      <c r="G1961" t="s">
        <v>26</v>
      </c>
      <c r="H1961">
        <v>15.06</v>
      </c>
      <c r="I1961" t="s">
        <v>23</v>
      </c>
      <c r="J1961">
        <v>29</v>
      </c>
      <c r="K1961">
        <v>250</v>
      </c>
      <c r="L1961">
        <v>79.72</v>
      </c>
      <c r="M1961">
        <v>21.25</v>
      </c>
      <c r="N1961">
        <v>19.72</v>
      </c>
      <c r="O1961">
        <v>4.4800000000000004</v>
      </c>
      <c r="P1961">
        <v>543.02</v>
      </c>
      <c r="Q1961">
        <v>263</v>
      </c>
      <c r="R1961">
        <v>5</v>
      </c>
      <c r="S1961">
        <v>112</v>
      </c>
    </row>
    <row r="1962" spans="1:19" x14ac:dyDescent="0.3">
      <c r="A1962">
        <v>1961</v>
      </c>
      <c r="B1962" t="s">
        <v>1194</v>
      </c>
      <c r="C1962">
        <v>2024</v>
      </c>
      <c r="D1962" t="s">
        <v>226</v>
      </c>
      <c r="E1962">
        <v>10</v>
      </c>
      <c r="F1962" t="s">
        <v>62</v>
      </c>
      <c r="G1962" t="s">
        <v>40</v>
      </c>
      <c r="H1962">
        <v>53.7</v>
      </c>
      <c r="I1962" t="s">
        <v>38</v>
      </c>
      <c r="J1962">
        <v>47</v>
      </c>
      <c r="K1962">
        <v>405</v>
      </c>
      <c r="L1962">
        <v>87.12</v>
      </c>
      <c r="M1962">
        <v>6.34</v>
      </c>
      <c r="N1962">
        <v>8.6300000000000008</v>
      </c>
      <c r="O1962">
        <v>13.13</v>
      </c>
      <c r="P1962">
        <v>579.70000000000005</v>
      </c>
      <c r="Q1962">
        <v>370</v>
      </c>
      <c r="R1962">
        <v>1</v>
      </c>
      <c r="S1962">
        <v>178</v>
      </c>
    </row>
    <row r="1963" spans="1:19" x14ac:dyDescent="0.3">
      <c r="A1963">
        <v>1962</v>
      </c>
      <c r="B1963" t="s">
        <v>1195</v>
      </c>
      <c r="C1963">
        <v>2024</v>
      </c>
      <c r="D1963" t="s">
        <v>226</v>
      </c>
      <c r="E1963">
        <v>10</v>
      </c>
      <c r="F1963" t="s">
        <v>37</v>
      </c>
      <c r="G1963" t="s">
        <v>42</v>
      </c>
      <c r="H1963">
        <v>27.56</v>
      </c>
      <c r="I1963" t="s">
        <v>27</v>
      </c>
      <c r="J1963">
        <v>42</v>
      </c>
      <c r="K1963">
        <v>123</v>
      </c>
      <c r="L1963">
        <v>94.13</v>
      </c>
      <c r="M1963">
        <v>24.57</v>
      </c>
      <c r="N1963">
        <v>17.12</v>
      </c>
      <c r="O1963">
        <v>8.24</v>
      </c>
      <c r="P1963">
        <v>581.67999999999995</v>
      </c>
      <c r="Q1963">
        <v>529</v>
      </c>
      <c r="R1963">
        <v>1</v>
      </c>
      <c r="S1963">
        <v>186</v>
      </c>
    </row>
    <row r="1964" spans="1:19" x14ac:dyDescent="0.3">
      <c r="A1964">
        <v>1963</v>
      </c>
      <c r="B1964" t="s">
        <v>1193</v>
      </c>
      <c r="C1964">
        <v>2024</v>
      </c>
      <c r="D1964" t="s">
        <v>226</v>
      </c>
      <c r="E1964">
        <v>10</v>
      </c>
      <c r="F1964" t="s">
        <v>62</v>
      </c>
      <c r="G1964" t="s">
        <v>40</v>
      </c>
      <c r="H1964">
        <v>32.799999999999997</v>
      </c>
      <c r="I1964" t="s">
        <v>32</v>
      </c>
      <c r="J1964">
        <v>5</v>
      </c>
      <c r="K1964">
        <v>123</v>
      </c>
      <c r="L1964">
        <v>93.68</v>
      </c>
      <c r="M1964">
        <v>7.35</v>
      </c>
      <c r="N1964">
        <v>13.59</v>
      </c>
      <c r="O1964">
        <v>11.95</v>
      </c>
      <c r="P1964">
        <v>295.2</v>
      </c>
      <c r="Q1964">
        <v>926</v>
      </c>
      <c r="R1964">
        <v>1</v>
      </c>
      <c r="S1964">
        <v>56</v>
      </c>
    </row>
    <row r="1965" spans="1:19" x14ac:dyDescent="0.3">
      <c r="A1965">
        <v>1964</v>
      </c>
      <c r="B1965" t="s">
        <v>1194</v>
      </c>
      <c r="C1965">
        <v>2024</v>
      </c>
      <c r="D1965" t="s">
        <v>226</v>
      </c>
      <c r="E1965">
        <v>10</v>
      </c>
      <c r="F1965" t="s">
        <v>62</v>
      </c>
      <c r="G1965" t="s">
        <v>40</v>
      </c>
      <c r="H1965">
        <v>23.14</v>
      </c>
      <c r="I1965" t="s">
        <v>32</v>
      </c>
      <c r="J1965">
        <v>13</v>
      </c>
      <c r="K1965">
        <v>114</v>
      </c>
      <c r="L1965">
        <v>87.29</v>
      </c>
      <c r="M1965">
        <v>15.9</v>
      </c>
      <c r="N1965">
        <v>3.51</v>
      </c>
      <c r="O1965">
        <v>12.24</v>
      </c>
      <c r="P1965">
        <v>451.66</v>
      </c>
      <c r="Q1965">
        <v>925</v>
      </c>
      <c r="R1965">
        <v>3</v>
      </c>
      <c r="S1965">
        <v>213</v>
      </c>
    </row>
    <row r="1966" spans="1:19" x14ac:dyDescent="0.3">
      <c r="A1966">
        <v>1965</v>
      </c>
      <c r="B1966" t="s">
        <v>1196</v>
      </c>
      <c r="C1966">
        <v>2024</v>
      </c>
      <c r="D1966" t="s">
        <v>226</v>
      </c>
      <c r="E1966">
        <v>10</v>
      </c>
      <c r="F1966" t="s">
        <v>25</v>
      </c>
      <c r="G1966" t="s">
        <v>26</v>
      </c>
      <c r="H1966">
        <v>36.340000000000003</v>
      </c>
      <c r="I1966" t="s">
        <v>47</v>
      </c>
      <c r="J1966">
        <v>16</v>
      </c>
      <c r="K1966">
        <v>100</v>
      </c>
      <c r="L1966">
        <v>86.88</v>
      </c>
      <c r="M1966">
        <v>21.19</v>
      </c>
      <c r="N1966">
        <v>21.54</v>
      </c>
      <c r="O1966">
        <v>14.22</v>
      </c>
      <c r="P1966">
        <v>149.97</v>
      </c>
      <c r="Q1966">
        <v>280</v>
      </c>
      <c r="R1966">
        <v>3</v>
      </c>
      <c r="S1966">
        <v>90</v>
      </c>
    </row>
    <row r="1967" spans="1:19" x14ac:dyDescent="0.3">
      <c r="A1967">
        <v>1966</v>
      </c>
      <c r="B1967" t="s">
        <v>1183</v>
      </c>
      <c r="C1967">
        <v>2024</v>
      </c>
      <c r="D1967" t="s">
        <v>226</v>
      </c>
      <c r="E1967">
        <v>10</v>
      </c>
      <c r="F1967" t="s">
        <v>62</v>
      </c>
      <c r="G1967" t="s">
        <v>22</v>
      </c>
      <c r="H1967">
        <v>22.33</v>
      </c>
      <c r="I1967" t="s">
        <v>23</v>
      </c>
      <c r="J1967">
        <v>19</v>
      </c>
      <c r="K1967">
        <v>563</v>
      </c>
      <c r="L1967">
        <v>81.400000000000006</v>
      </c>
      <c r="M1967">
        <v>9.2100000000000009</v>
      </c>
      <c r="N1967">
        <v>3.13</v>
      </c>
      <c r="O1967">
        <v>15.37</v>
      </c>
      <c r="P1967">
        <v>467.79</v>
      </c>
      <c r="Q1967">
        <v>648</v>
      </c>
      <c r="R1967">
        <v>3</v>
      </c>
      <c r="S1967">
        <v>110</v>
      </c>
    </row>
    <row r="1968" spans="1:19" x14ac:dyDescent="0.3">
      <c r="A1968">
        <v>1967</v>
      </c>
      <c r="B1968" t="s">
        <v>1197</v>
      </c>
      <c r="C1968">
        <v>2024</v>
      </c>
      <c r="D1968" t="s">
        <v>226</v>
      </c>
      <c r="E1968">
        <v>10</v>
      </c>
      <c r="F1968" t="s">
        <v>34</v>
      </c>
      <c r="G1968" t="s">
        <v>42</v>
      </c>
      <c r="H1968">
        <v>10.7</v>
      </c>
      <c r="I1968" t="s">
        <v>38</v>
      </c>
      <c r="J1968">
        <v>31</v>
      </c>
      <c r="K1968">
        <v>102</v>
      </c>
      <c r="L1968">
        <v>85.14</v>
      </c>
      <c r="M1968">
        <v>11.17</v>
      </c>
      <c r="N1968">
        <v>18.45</v>
      </c>
      <c r="O1968">
        <v>13.16</v>
      </c>
      <c r="P1968">
        <v>150.13</v>
      </c>
      <c r="Q1968">
        <v>584</v>
      </c>
      <c r="R1968">
        <v>5</v>
      </c>
      <c r="S1968">
        <v>60</v>
      </c>
    </row>
    <row r="1969" spans="1:19" x14ac:dyDescent="0.3">
      <c r="A1969">
        <v>1968</v>
      </c>
      <c r="B1969" t="s">
        <v>1187</v>
      </c>
      <c r="C1969">
        <v>2024</v>
      </c>
      <c r="D1969" t="s">
        <v>226</v>
      </c>
      <c r="E1969">
        <v>10</v>
      </c>
      <c r="F1969" t="s">
        <v>53</v>
      </c>
      <c r="G1969" t="s">
        <v>35</v>
      </c>
      <c r="H1969">
        <v>34.1</v>
      </c>
      <c r="I1969" t="s">
        <v>27</v>
      </c>
      <c r="J1969">
        <v>19</v>
      </c>
      <c r="K1969">
        <v>352</v>
      </c>
      <c r="L1969">
        <v>83.94</v>
      </c>
      <c r="M1969">
        <v>30.59</v>
      </c>
      <c r="N1969">
        <v>6</v>
      </c>
      <c r="O1969">
        <v>2.75</v>
      </c>
      <c r="P1969">
        <v>201.24</v>
      </c>
      <c r="Q1969">
        <v>696</v>
      </c>
      <c r="R1969">
        <v>3</v>
      </c>
      <c r="S1969">
        <v>119</v>
      </c>
    </row>
    <row r="1970" spans="1:19" x14ac:dyDescent="0.3">
      <c r="A1970">
        <v>1969</v>
      </c>
      <c r="B1970" t="s">
        <v>1198</v>
      </c>
      <c r="C1970">
        <v>2024</v>
      </c>
      <c r="D1970" t="s">
        <v>226</v>
      </c>
      <c r="E1970">
        <v>10</v>
      </c>
      <c r="F1970" t="s">
        <v>25</v>
      </c>
      <c r="G1970" t="s">
        <v>42</v>
      </c>
      <c r="H1970">
        <v>15.1</v>
      </c>
      <c r="I1970" t="s">
        <v>32</v>
      </c>
      <c r="J1970">
        <v>45</v>
      </c>
      <c r="K1970">
        <v>390</v>
      </c>
      <c r="L1970">
        <v>85.14</v>
      </c>
      <c r="M1970">
        <v>10.47</v>
      </c>
      <c r="N1970">
        <v>17.38</v>
      </c>
      <c r="O1970">
        <v>13.3</v>
      </c>
      <c r="P1970">
        <v>274.33999999999997</v>
      </c>
      <c r="Q1970">
        <v>1064</v>
      </c>
      <c r="R1970">
        <v>5</v>
      </c>
      <c r="S1970">
        <v>128</v>
      </c>
    </row>
    <row r="1971" spans="1:19" x14ac:dyDescent="0.3">
      <c r="A1971">
        <v>1970</v>
      </c>
      <c r="B1971" t="s">
        <v>1199</v>
      </c>
      <c r="C1971">
        <v>2024</v>
      </c>
      <c r="D1971" t="s">
        <v>226</v>
      </c>
      <c r="E1971">
        <v>10</v>
      </c>
      <c r="F1971" t="s">
        <v>31</v>
      </c>
      <c r="G1971" t="s">
        <v>40</v>
      </c>
      <c r="H1971">
        <v>19.28</v>
      </c>
      <c r="I1971" t="s">
        <v>23</v>
      </c>
      <c r="J1971">
        <v>19</v>
      </c>
      <c r="K1971">
        <v>258</v>
      </c>
      <c r="L1971">
        <v>87.57</v>
      </c>
      <c r="M1971">
        <v>18.440000000000001</v>
      </c>
      <c r="N1971">
        <v>14.23</v>
      </c>
      <c r="O1971">
        <v>9.8000000000000007</v>
      </c>
      <c r="P1971">
        <v>184.62</v>
      </c>
      <c r="Q1971">
        <v>872</v>
      </c>
      <c r="R1971">
        <v>3</v>
      </c>
      <c r="S1971">
        <v>107</v>
      </c>
    </row>
    <row r="1972" spans="1:19" x14ac:dyDescent="0.3">
      <c r="A1972">
        <v>1971</v>
      </c>
      <c r="B1972" t="s">
        <v>1184</v>
      </c>
      <c r="C1972">
        <v>2024</v>
      </c>
      <c r="D1972" t="s">
        <v>226</v>
      </c>
      <c r="E1972">
        <v>10</v>
      </c>
      <c r="F1972" t="s">
        <v>21</v>
      </c>
      <c r="G1972" t="s">
        <v>42</v>
      </c>
      <c r="H1972">
        <v>54.85</v>
      </c>
      <c r="I1972" t="s">
        <v>38</v>
      </c>
      <c r="J1972">
        <v>45</v>
      </c>
      <c r="K1972">
        <v>113</v>
      </c>
      <c r="L1972">
        <v>94.16</v>
      </c>
      <c r="M1972">
        <v>9.86</v>
      </c>
      <c r="N1972">
        <v>14.49</v>
      </c>
      <c r="O1972">
        <v>11.62</v>
      </c>
      <c r="P1972">
        <v>425.06</v>
      </c>
      <c r="Q1972">
        <v>860</v>
      </c>
      <c r="R1972">
        <v>2</v>
      </c>
      <c r="S1972">
        <v>180</v>
      </c>
    </row>
    <row r="1973" spans="1:19" x14ac:dyDescent="0.3">
      <c r="A1973">
        <v>1972</v>
      </c>
      <c r="B1973" t="s">
        <v>1200</v>
      </c>
      <c r="C1973">
        <v>2024</v>
      </c>
      <c r="D1973" t="s">
        <v>226</v>
      </c>
      <c r="E1973">
        <v>10</v>
      </c>
      <c r="F1973" t="s">
        <v>25</v>
      </c>
      <c r="G1973" t="s">
        <v>22</v>
      </c>
      <c r="H1973">
        <v>22.61</v>
      </c>
      <c r="I1973" t="s">
        <v>27</v>
      </c>
      <c r="J1973">
        <v>24</v>
      </c>
      <c r="K1973">
        <v>294</v>
      </c>
      <c r="L1973">
        <v>77.819999999999993</v>
      </c>
      <c r="M1973">
        <v>28.62</v>
      </c>
      <c r="N1973">
        <v>19.82</v>
      </c>
      <c r="O1973">
        <v>10.06</v>
      </c>
      <c r="P1973">
        <v>560.76</v>
      </c>
      <c r="Q1973">
        <v>498</v>
      </c>
      <c r="R1973">
        <v>1</v>
      </c>
      <c r="S1973">
        <v>119</v>
      </c>
    </row>
    <row r="1974" spans="1:19" x14ac:dyDescent="0.3">
      <c r="A1974">
        <v>1973</v>
      </c>
      <c r="B1974" t="s">
        <v>1201</v>
      </c>
      <c r="C1974">
        <v>2024</v>
      </c>
      <c r="D1974" t="s">
        <v>226</v>
      </c>
      <c r="E1974">
        <v>11</v>
      </c>
      <c r="F1974" t="s">
        <v>21</v>
      </c>
      <c r="G1974" t="s">
        <v>22</v>
      </c>
      <c r="H1974">
        <v>24.92</v>
      </c>
      <c r="I1974" t="s">
        <v>47</v>
      </c>
      <c r="J1974">
        <v>40</v>
      </c>
      <c r="K1974">
        <v>261</v>
      </c>
      <c r="L1974">
        <v>80.81</v>
      </c>
      <c r="M1974">
        <v>21.56</v>
      </c>
      <c r="N1974">
        <v>15.98</v>
      </c>
      <c r="O1974">
        <v>1.95</v>
      </c>
      <c r="P1974">
        <v>438.9</v>
      </c>
      <c r="Q1974">
        <v>305</v>
      </c>
      <c r="R1974">
        <v>5</v>
      </c>
      <c r="S1974">
        <v>233</v>
      </c>
    </row>
    <row r="1975" spans="1:19" x14ac:dyDescent="0.3">
      <c r="A1975">
        <v>1974</v>
      </c>
      <c r="B1975" t="s">
        <v>1202</v>
      </c>
      <c r="C1975">
        <v>2024</v>
      </c>
      <c r="D1975" t="s">
        <v>226</v>
      </c>
      <c r="E1975">
        <v>11</v>
      </c>
      <c r="F1975" t="s">
        <v>37</v>
      </c>
      <c r="G1975" t="s">
        <v>42</v>
      </c>
      <c r="H1975">
        <v>6.05</v>
      </c>
      <c r="I1975" t="s">
        <v>47</v>
      </c>
      <c r="J1975">
        <v>16</v>
      </c>
      <c r="K1975">
        <v>378</v>
      </c>
      <c r="L1975">
        <v>87.18</v>
      </c>
      <c r="M1975">
        <v>21.07</v>
      </c>
      <c r="N1975">
        <v>16.28</v>
      </c>
      <c r="O1975">
        <v>2.62</v>
      </c>
      <c r="P1975">
        <v>269.31</v>
      </c>
      <c r="Q1975">
        <v>1017</v>
      </c>
      <c r="R1975">
        <v>3</v>
      </c>
      <c r="S1975">
        <v>66</v>
      </c>
    </row>
    <row r="1976" spans="1:19" x14ac:dyDescent="0.3">
      <c r="A1976">
        <v>1975</v>
      </c>
      <c r="B1976" t="s">
        <v>1203</v>
      </c>
      <c r="C1976">
        <v>2024</v>
      </c>
      <c r="D1976" t="s">
        <v>226</v>
      </c>
      <c r="E1976">
        <v>11</v>
      </c>
      <c r="F1976" t="s">
        <v>25</v>
      </c>
      <c r="G1976" t="s">
        <v>26</v>
      </c>
      <c r="H1976">
        <v>21.79</v>
      </c>
      <c r="I1976" t="s">
        <v>38</v>
      </c>
      <c r="J1976">
        <v>48</v>
      </c>
      <c r="K1976">
        <v>508</v>
      </c>
      <c r="L1976">
        <v>75.150000000000006</v>
      </c>
      <c r="M1976">
        <v>14.9</v>
      </c>
      <c r="N1976">
        <v>21.78</v>
      </c>
      <c r="O1976">
        <v>14.6</v>
      </c>
      <c r="P1976">
        <v>105.04</v>
      </c>
      <c r="Q1976">
        <v>187</v>
      </c>
      <c r="R1976">
        <v>4</v>
      </c>
      <c r="S1976">
        <v>87</v>
      </c>
    </row>
    <row r="1977" spans="1:19" x14ac:dyDescent="0.3">
      <c r="A1977">
        <v>1976</v>
      </c>
      <c r="B1977" t="s">
        <v>1204</v>
      </c>
      <c r="C1977">
        <v>2024</v>
      </c>
      <c r="D1977" t="s">
        <v>226</v>
      </c>
      <c r="E1977">
        <v>11</v>
      </c>
      <c r="F1977" t="s">
        <v>37</v>
      </c>
      <c r="G1977" t="s">
        <v>35</v>
      </c>
      <c r="H1977">
        <v>29.16</v>
      </c>
      <c r="I1977" t="s">
        <v>23</v>
      </c>
      <c r="J1977">
        <v>34</v>
      </c>
      <c r="K1977">
        <v>443</v>
      </c>
      <c r="L1977">
        <v>91.13</v>
      </c>
      <c r="M1977">
        <v>23.97</v>
      </c>
      <c r="N1977">
        <v>8.36</v>
      </c>
      <c r="O1977">
        <v>4.59</v>
      </c>
      <c r="P1977">
        <v>167.23</v>
      </c>
      <c r="Q1977">
        <v>528</v>
      </c>
      <c r="R1977">
        <v>1</v>
      </c>
      <c r="S1977">
        <v>118</v>
      </c>
    </row>
    <row r="1978" spans="1:19" x14ac:dyDescent="0.3">
      <c r="A1978">
        <v>1977</v>
      </c>
      <c r="B1978" t="s">
        <v>1205</v>
      </c>
      <c r="C1978">
        <v>2024</v>
      </c>
      <c r="D1978" t="s">
        <v>226</v>
      </c>
      <c r="E1978">
        <v>11</v>
      </c>
      <c r="F1978" t="s">
        <v>29</v>
      </c>
      <c r="G1978" t="s">
        <v>35</v>
      </c>
      <c r="H1978">
        <v>9.58</v>
      </c>
      <c r="I1978" t="s">
        <v>27</v>
      </c>
      <c r="J1978">
        <v>42</v>
      </c>
      <c r="K1978">
        <v>189</v>
      </c>
      <c r="L1978">
        <v>78.72</v>
      </c>
      <c r="M1978">
        <v>12.72</v>
      </c>
      <c r="N1978">
        <v>12.2</v>
      </c>
      <c r="O1978">
        <v>9.34</v>
      </c>
      <c r="P1978">
        <v>205.49</v>
      </c>
      <c r="Q1978">
        <v>377</v>
      </c>
      <c r="R1978">
        <v>3</v>
      </c>
      <c r="S1978">
        <v>119</v>
      </c>
    </row>
    <row r="1979" spans="1:19" x14ac:dyDescent="0.3">
      <c r="A1979">
        <v>1978</v>
      </c>
      <c r="B1979" t="s">
        <v>1201</v>
      </c>
      <c r="C1979">
        <v>2024</v>
      </c>
      <c r="D1979" t="s">
        <v>226</v>
      </c>
      <c r="E1979">
        <v>11</v>
      </c>
      <c r="F1979" t="s">
        <v>25</v>
      </c>
      <c r="G1979" t="s">
        <v>42</v>
      </c>
      <c r="H1979">
        <v>7.4</v>
      </c>
      <c r="I1979" t="s">
        <v>32</v>
      </c>
      <c r="J1979">
        <v>41</v>
      </c>
      <c r="K1979">
        <v>413</v>
      </c>
      <c r="L1979">
        <v>77.72</v>
      </c>
      <c r="M1979">
        <v>28.65</v>
      </c>
      <c r="N1979">
        <v>8.75</v>
      </c>
      <c r="O1979">
        <v>11.51</v>
      </c>
      <c r="P1979">
        <v>344.48</v>
      </c>
      <c r="Q1979">
        <v>841</v>
      </c>
      <c r="R1979">
        <v>5</v>
      </c>
      <c r="S1979">
        <v>92</v>
      </c>
    </row>
    <row r="1980" spans="1:19" x14ac:dyDescent="0.3">
      <c r="A1980">
        <v>1979</v>
      </c>
      <c r="B1980" t="s">
        <v>1206</v>
      </c>
      <c r="C1980">
        <v>2024</v>
      </c>
      <c r="D1980" t="s">
        <v>226</v>
      </c>
      <c r="E1980">
        <v>11</v>
      </c>
      <c r="F1980" t="s">
        <v>62</v>
      </c>
      <c r="G1980" t="s">
        <v>35</v>
      </c>
      <c r="H1980">
        <v>44.38</v>
      </c>
      <c r="I1980" t="s">
        <v>32</v>
      </c>
      <c r="J1980">
        <v>24</v>
      </c>
      <c r="K1980">
        <v>256</v>
      </c>
      <c r="L1980">
        <v>79.45</v>
      </c>
      <c r="M1980">
        <v>17.46</v>
      </c>
      <c r="N1980">
        <v>12.75</v>
      </c>
      <c r="O1980">
        <v>11.1</v>
      </c>
      <c r="P1980">
        <v>405.99</v>
      </c>
      <c r="Q1980">
        <v>359</v>
      </c>
      <c r="R1980">
        <v>5</v>
      </c>
      <c r="S1980">
        <v>50</v>
      </c>
    </row>
    <row r="1981" spans="1:19" x14ac:dyDescent="0.3">
      <c r="A1981">
        <v>1980</v>
      </c>
      <c r="B1981" t="s">
        <v>1202</v>
      </c>
      <c r="C1981">
        <v>2024</v>
      </c>
      <c r="D1981" t="s">
        <v>226</v>
      </c>
      <c r="E1981">
        <v>11</v>
      </c>
      <c r="F1981" t="s">
        <v>21</v>
      </c>
      <c r="G1981" t="s">
        <v>40</v>
      </c>
      <c r="H1981">
        <v>36.07</v>
      </c>
      <c r="I1981" t="s">
        <v>32</v>
      </c>
      <c r="J1981">
        <v>5</v>
      </c>
      <c r="K1981">
        <v>231</v>
      </c>
      <c r="L1981">
        <v>83.44</v>
      </c>
      <c r="M1981">
        <v>10.31</v>
      </c>
      <c r="N1981">
        <v>4.6399999999999997</v>
      </c>
      <c r="O1981">
        <v>7.4</v>
      </c>
      <c r="P1981">
        <v>498.26</v>
      </c>
      <c r="Q1981">
        <v>957</v>
      </c>
      <c r="R1981">
        <v>5</v>
      </c>
      <c r="S1981">
        <v>115</v>
      </c>
    </row>
    <row r="1982" spans="1:19" x14ac:dyDescent="0.3">
      <c r="A1982">
        <v>1981</v>
      </c>
      <c r="B1982" t="s">
        <v>1207</v>
      </c>
      <c r="C1982">
        <v>2024</v>
      </c>
      <c r="D1982" t="s">
        <v>226</v>
      </c>
      <c r="E1982">
        <v>11</v>
      </c>
      <c r="F1982" t="s">
        <v>25</v>
      </c>
      <c r="G1982" t="s">
        <v>40</v>
      </c>
      <c r="H1982">
        <v>47.5</v>
      </c>
      <c r="I1982" t="s">
        <v>27</v>
      </c>
      <c r="J1982">
        <v>11</v>
      </c>
      <c r="K1982">
        <v>376</v>
      </c>
      <c r="L1982">
        <v>94.05</v>
      </c>
      <c r="M1982">
        <v>7.81</v>
      </c>
      <c r="N1982">
        <v>4.3</v>
      </c>
      <c r="O1982">
        <v>6.95</v>
      </c>
      <c r="P1982">
        <v>147.46</v>
      </c>
      <c r="Q1982">
        <v>965</v>
      </c>
      <c r="R1982">
        <v>2</v>
      </c>
      <c r="S1982">
        <v>174</v>
      </c>
    </row>
    <row r="1983" spans="1:19" x14ac:dyDescent="0.3">
      <c r="A1983">
        <v>1982</v>
      </c>
      <c r="B1983" t="s">
        <v>1208</v>
      </c>
      <c r="C1983">
        <v>2024</v>
      </c>
      <c r="D1983" t="s">
        <v>226</v>
      </c>
      <c r="E1983">
        <v>11</v>
      </c>
      <c r="F1983" t="s">
        <v>25</v>
      </c>
      <c r="G1983" t="s">
        <v>42</v>
      </c>
      <c r="H1983">
        <v>16.420000000000002</v>
      </c>
      <c r="I1983" t="s">
        <v>38</v>
      </c>
      <c r="J1983">
        <v>31</v>
      </c>
      <c r="K1983">
        <v>142</v>
      </c>
      <c r="L1983">
        <v>90.37</v>
      </c>
      <c r="M1983">
        <v>19.95</v>
      </c>
      <c r="N1983">
        <v>10.199999999999999</v>
      </c>
      <c r="O1983">
        <v>13.6</v>
      </c>
      <c r="P1983">
        <v>136.69999999999999</v>
      </c>
      <c r="Q1983">
        <v>814</v>
      </c>
      <c r="R1983">
        <v>2</v>
      </c>
      <c r="S1983">
        <v>159</v>
      </c>
    </row>
    <row r="1984" spans="1:19" x14ac:dyDescent="0.3">
      <c r="A1984">
        <v>1983</v>
      </c>
      <c r="B1984" t="s">
        <v>1209</v>
      </c>
      <c r="C1984">
        <v>2024</v>
      </c>
      <c r="D1984" t="s">
        <v>226</v>
      </c>
      <c r="E1984">
        <v>11</v>
      </c>
      <c r="F1984" t="s">
        <v>31</v>
      </c>
      <c r="G1984" t="s">
        <v>22</v>
      </c>
      <c r="H1984">
        <v>17.739999999999998</v>
      </c>
      <c r="I1984" t="s">
        <v>27</v>
      </c>
      <c r="J1984">
        <v>41</v>
      </c>
      <c r="K1984">
        <v>423</v>
      </c>
      <c r="L1984">
        <v>76.36</v>
      </c>
      <c r="M1984">
        <v>9.5299999999999994</v>
      </c>
      <c r="N1984">
        <v>6.37</v>
      </c>
      <c r="O1984">
        <v>3.6</v>
      </c>
      <c r="P1984">
        <v>424.5</v>
      </c>
      <c r="Q1984">
        <v>1047</v>
      </c>
      <c r="R1984">
        <v>3</v>
      </c>
      <c r="S1984">
        <v>189</v>
      </c>
    </row>
    <row r="1985" spans="1:19" x14ac:dyDescent="0.3">
      <c r="A1985">
        <v>1984</v>
      </c>
      <c r="B1985" t="s">
        <v>1202</v>
      </c>
      <c r="C1985">
        <v>2024</v>
      </c>
      <c r="D1985" t="s">
        <v>226</v>
      </c>
      <c r="E1985">
        <v>11</v>
      </c>
      <c r="F1985" t="s">
        <v>21</v>
      </c>
      <c r="G1985" t="s">
        <v>35</v>
      </c>
      <c r="H1985">
        <v>10.18</v>
      </c>
      <c r="I1985" t="s">
        <v>27</v>
      </c>
      <c r="J1985">
        <v>4</v>
      </c>
      <c r="K1985">
        <v>582</v>
      </c>
      <c r="L1985">
        <v>89.06</v>
      </c>
      <c r="M1985">
        <v>27.66</v>
      </c>
      <c r="N1985">
        <v>18.149999999999999</v>
      </c>
      <c r="O1985">
        <v>9.69</v>
      </c>
      <c r="P1985">
        <v>266.81</v>
      </c>
      <c r="Q1985">
        <v>979</v>
      </c>
      <c r="R1985">
        <v>5</v>
      </c>
      <c r="S1985">
        <v>87</v>
      </c>
    </row>
    <row r="1986" spans="1:19" x14ac:dyDescent="0.3">
      <c r="A1986">
        <v>1985</v>
      </c>
      <c r="B1986" t="s">
        <v>1210</v>
      </c>
      <c r="C1986">
        <v>2024</v>
      </c>
      <c r="D1986" t="s">
        <v>226</v>
      </c>
      <c r="E1986">
        <v>11</v>
      </c>
      <c r="F1986" t="s">
        <v>31</v>
      </c>
      <c r="G1986" t="s">
        <v>26</v>
      </c>
      <c r="H1986">
        <v>8.26</v>
      </c>
      <c r="I1986" t="s">
        <v>27</v>
      </c>
      <c r="J1986">
        <v>24</v>
      </c>
      <c r="K1986">
        <v>145</v>
      </c>
      <c r="L1986">
        <v>82.12</v>
      </c>
      <c r="M1986">
        <v>30.97</v>
      </c>
      <c r="N1986">
        <v>17.96</v>
      </c>
      <c r="O1986">
        <v>9.02</v>
      </c>
      <c r="P1986">
        <v>200.49</v>
      </c>
      <c r="Q1986">
        <v>608</v>
      </c>
      <c r="R1986">
        <v>4</v>
      </c>
      <c r="S1986">
        <v>159</v>
      </c>
    </row>
    <row r="1987" spans="1:19" x14ac:dyDescent="0.3">
      <c r="A1987">
        <v>1986</v>
      </c>
      <c r="B1987" t="s">
        <v>1211</v>
      </c>
      <c r="C1987">
        <v>2024</v>
      </c>
      <c r="D1987" t="s">
        <v>226</v>
      </c>
      <c r="E1987">
        <v>11</v>
      </c>
      <c r="F1987" t="s">
        <v>21</v>
      </c>
      <c r="G1987" t="s">
        <v>35</v>
      </c>
      <c r="H1987">
        <v>31.52</v>
      </c>
      <c r="I1987" t="s">
        <v>23</v>
      </c>
      <c r="J1987">
        <v>40</v>
      </c>
      <c r="K1987">
        <v>406</v>
      </c>
      <c r="L1987">
        <v>88.23</v>
      </c>
      <c r="M1987">
        <v>25.47</v>
      </c>
      <c r="N1987">
        <v>5.82</v>
      </c>
      <c r="O1987">
        <v>12.11</v>
      </c>
      <c r="P1987">
        <v>232.77</v>
      </c>
      <c r="Q1987">
        <v>1018</v>
      </c>
      <c r="R1987">
        <v>2</v>
      </c>
      <c r="S1987">
        <v>246</v>
      </c>
    </row>
    <row r="1988" spans="1:19" x14ac:dyDescent="0.3">
      <c r="A1988">
        <v>1987</v>
      </c>
      <c r="B1988" t="s">
        <v>1212</v>
      </c>
      <c r="C1988">
        <v>2024</v>
      </c>
      <c r="D1988" t="s">
        <v>226</v>
      </c>
      <c r="E1988">
        <v>11</v>
      </c>
      <c r="F1988" t="s">
        <v>62</v>
      </c>
      <c r="G1988" t="s">
        <v>40</v>
      </c>
      <c r="H1988">
        <v>33.729999999999997</v>
      </c>
      <c r="I1988" t="s">
        <v>27</v>
      </c>
      <c r="J1988">
        <v>9</v>
      </c>
      <c r="K1988">
        <v>481</v>
      </c>
      <c r="L1988">
        <v>79.739999999999995</v>
      </c>
      <c r="M1988">
        <v>16.16</v>
      </c>
      <c r="N1988">
        <v>5.99</v>
      </c>
      <c r="O1988">
        <v>6.98</v>
      </c>
      <c r="P1988">
        <v>115.54</v>
      </c>
      <c r="Q1988">
        <v>221</v>
      </c>
      <c r="R1988">
        <v>4</v>
      </c>
      <c r="S1988">
        <v>222</v>
      </c>
    </row>
    <row r="1989" spans="1:19" x14ac:dyDescent="0.3">
      <c r="A1989">
        <v>1988</v>
      </c>
      <c r="B1989" t="s">
        <v>1213</v>
      </c>
      <c r="C1989">
        <v>2024</v>
      </c>
      <c r="D1989" t="s">
        <v>226</v>
      </c>
      <c r="E1989">
        <v>11</v>
      </c>
      <c r="F1989" t="s">
        <v>29</v>
      </c>
      <c r="G1989" t="s">
        <v>35</v>
      </c>
      <c r="H1989">
        <v>15.74</v>
      </c>
      <c r="I1989" t="s">
        <v>32</v>
      </c>
      <c r="J1989">
        <v>15</v>
      </c>
      <c r="K1989">
        <v>318</v>
      </c>
      <c r="L1989">
        <v>87.31</v>
      </c>
      <c r="M1989">
        <v>29.66</v>
      </c>
      <c r="N1989">
        <v>13.25</v>
      </c>
      <c r="O1989">
        <v>7.85</v>
      </c>
      <c r="P1989">
        <v>176.01</v>
      </c>
      <c r="Q1989">
        <v>737</v>
      </c>
      <c r="R1989">
        <v>3</v>
      </c>
      <c r="S1989">
        <v>168</v>
      </c>
    </row>
    <row r="1990" spans="1:19" x14ac:dyDescent="0.3">
      <c r="A1990">
        <v>1989</v>
      </c>
      <c r="B1990" t="s">
        <v>1212</v>
      </c>
      <c r="C1990">
        <v>2024</v>
      </c>
      <c r="D1990" t="s">
        <v>226</v>
      </c>
      <c r="E1990">
        <v>11</v>
      </c>
      <c r="F1990" t="s">
        <v>34</v>
      </c>
      <c r="G1990" t="s">
        <v>26</v>
      </c>
      <c r="H1990">
        <v>20.32</v>
      </c>
      <c r="I1990" t="s">
        <v>27</v>
      </c>
      <c r="J1990">
        <v>23</v>
      </c>
      <c r="K1990">
        <v>171</v>
      </c>
      <c r="L1990">
        <v>81.58</v>
      </c>
      <c r="M1990">
        <v>27.05</v>
      </c>
      <c r="N1990">
        <v>17.850000000000001</v>
      </c>
      <c r="O1990">
        <v>3.42</v>
      </c>
      <c r="P1990">
        <v>504.23</v>
      </c>
      <c r="Q1990">
        <v>1019</v>
      </c>
      <c r="R1990">
        <v>2</v>
      </c>
      <c r="S1990">
        <v>229</v>
      </c>
    </row>
    <row r="1991" spans="1:19" x14ac:dyDescent="0.3">
      <c r="A1991">
        <v>1990</v>
      </c>
      <c r="B1991" t="s">
        <v>1214</v>
      </c>
      <c r="C1991">
        <v>2024</v>
      </c>
      <c r="D1991" t="s">
        <v>226</v>
      </c>
      <c r="E1991">
        <v>11</v>
      </c>
      <c r="F1991" t="s">
        <v>25</v>
      </c>
      <c r="G1991" t="s">
        <v>26</v>
      </c>
      <c r="H1991">
        <v>13.02</v>
      </c>
      <c r="I1991" t="s">
        <v>32</v>
      </c>
      <c r="J1991">
        <v>23</v>
      </c>
      <c r="K1991">
        <v>411</v>
      </c>
      <c r="L1991">
        <v>80.11</v>
      </c>
      <c r="M1991">
        <v>20.9</v>
      </c>
      <c r="N1991">
        <v>12.61</v>
      </c>
      <c r="O1991">
        <v>4.1399999999999997</v>
      </c>
      <c r="P1991">
        <v>520.64</v>
      </c>
      <c r="Q1991">
        <v>829</v>
      </c>
      <c r="R1991">
        <v>3</v>
      </c>
      <c r="S1991">
        <v>115</v>
      </c>
    </row>
    <row r="1992" spans="1:19" x14ac:dyDescent="0.3">
      <c r="A1992">
        <v>1991</v>
      </c>
      <c r="B1992" t="s">
        <v>1215</v>
      </c>
      <c r="C1992">
        <v>2024</v>
      </c>
      <c r="D1992" t="s">
        <v>226</v>
      </c>
      <c r="E1992">
        <v>11</v>
      </c>
      <c r="F1992" t="s">
        <v>21</v>
      </c>
      <c r="G1992" t="s">
        <v>40</v>
      </c>
      <c r="H1992">
        <v>7.12</v>
      </c>
      <c r="I1992" t="s">
        <v>27</v>
      </c>
      <c r="J1992">
        <v>45</v>
      </c>
      <c r="K1992">
        <v>415</v>
      </c>
      <c r="L1992">
        <v>93.97</v>
      </c>
      <c r="M1992">
        <v>24.23</v>
      </c>
      <c r="N1992">
        <v>14.84</v>
      </c>
      <c r="O1992">
        <v>12.41</v>
      </c>
      <c r="P1992">
        <v>169.32</v>
      </c>
      <c r="Q1992">
        <v>735</v>
      </c>
      <c r="R1992">
        <v>4</v>
      </c>
      <c r="S1992">
        <v>125</v>
      </c>
    </row>
    <row r="1993" spans="1:19" x14ac:dyDescent="0.3">
      <c r="A1993">
        <v>1992</v>
      </c>
      <c r="B1993" t="s">
        <v>1209</v>
      </c>
      <c r="C1993">
        <v>2024</v>
      </c>
      <c r="D1993" t="s">
        <v>226</v>
      </c>
      <c r="E1993">
        <v>11</v>
      </c>
      <c r="F1993" t="s">
        <v>21</v>
      </c>
      <c r="G1993" t="s">
        <v>35</v>
      </c>
      <c r="H1993">
        <v>26.06</v>
      </c>
      <c r="I1993" t="s">
        <v>27</v>
      </c>
      <c r="J1993">
        <v>47</v>
      </c>
      <c r="K1993">
        <v>282</v>
      </c>
      <c r="L1993">
        <v>86.45</v>
      </c>
      <c r="M1993">
        <v>17.600000000000001</v>
      </c>
      <c r="N1993">
        <v>14.9</v>
      </c>
      <c r="O1993">
        <v>6.5</v>
      </c>
      <c r="P1993">
        <v>496.24</v>
      </c>
      <c r="Q1993">
        <v>359</v>
      </c>
      <c r="R1993">
        <v>2</v>
      </c>
      <c r="S1993">
        <v>58</v>
      </c>
    </row>
    <row r="1994" spans="1:19" x14ac:dyDescent="0.3">
      <c r="A1994">
        <v>1993</v>
      </c>
      <c r="B1994" t="s">
        <v>1207</v>
      </c>
      <c r="C1994">
        <v>2024</v>
      </c>
      <c r="D1994" t="s">
        <v>226</v>
      </c>
      <c r="E1994">
        <v>11</v>
      </c>
      <c r="F1994" t="s">
        <v>25</v>
      </c>
      <c r="G1994" t="s">
        <v>42</v>
      </c>
      <c r="H1994">
        <v>18.579999999999998</v>
      </c>
      <c r="I1994" t="s">
        <v>47</v>
      </c>
      <c r="J1994">
        <v>44</v>
      </c>
      <c r="K1994">
        <v>143</v>
      </c>
      <c r="L1994">
        <v>94.78</v>
      </c>
      <c r="M1994">
        <v>13.23</v>
      </c>
      <c r="N1994">
        <v>9.7200000000000006</v>
      </c>
      <c r="O1994">
        <v>12.25</v>
      </c>
      <c r="P1994">
        <v>480.51</v>
      </c>
      <c r="Q1994">
        <v>734</v>
      </c>
      <c r="R1994">
        <v>1</v>
      </c>
      <c r="S1994">
        <v>150</v>
      </c>
    </row>
    <row r="1995" spans="1:19" x14ac:dyDescent="0.3">
      <c r="A1995">
        <v>1994</v>
      </c>
      <c r="B1995" t="s">
        <v>1209</v>
      </c>
      <c r="C1995">
        <v>2024</v>
      </c>
      <c r="D1995" t="s">
        <v>226</v>
      </c>
      <c r="E1995">
        <v>11</v>
      </c>
      <c r="F1995" t="s">
        <v>37</v>
      </c>
      <c r="G1995" t="s">
        <v>40</v>
      </c>
      <c r="H1995">
        <v>32.01</v>
      </c>
      <c r="I1995" t="s">
        <v>38</v>
      </c>
      <c r="J1995">
        <v>35</v>
      </c>
      <c r="K1995">
        <v>465</v>
      </c>
      <c r="L1995">
        <v>75.849999999999994</v>
      </c>
      <c r="M1995">
        <v>11.7</v>
      </c>
      <c r="N1995">
        <v>17.670000000000002</v>
      </c>
      <c r="O1995">
        <v>11.03</v>
      </c>
      <c r="P1995">
        <v>171.91</v>
      </c>
      <c r="Q1995">
        <v>297</v>
      </c>
      <c r="R1995">
        <v>2</v>
      </c>
      <c r="S1995">
        <v>138</v>
      </c>
    </row>
    <row r="1996" spans="1:19" x14ac:dyDescent="0.3">
      <c r="A1996">
        <v>1995</v>
      </c>
      <c r="B1996" t="s">
        <v>1212</v>
      </c>
      <c r="C1996">
        <v>2024</v>
      </c>
      <c r="D1996" t="s">
        <v>226</v>
      </c>
      <c r="E1996">
        <v>11</v>
      </c>
      <c r="F1996" t="s">
        <v>25</v>
      </c>
      <c r="G1996" t="s">
        <v>22</v>
      </c>
      <c r="H1996">
        <v>6.5</v>
      </c>
      <c r="I1996" t="s">
        <v>27</v>
      </c>
      <c r="J1996">
        <v>5</v>
      </c>
      <c r="K1996">
        <v>314</v>
      </c>
      <c r="L1996">
        <v>90.51</v>
      </c>
      <c r="M1996">
        <v>15.39</v>
      </c>
      <c r="N1996">
        <v>7.44</v>
      </c>
      <c r="O1996">
        <v>1.07</v>
      </c>
      <c r="P1996">
        <v>215.36</v>
      </c>
      <c r="Q1996">
        <v>904</v>
      </c>
      <c r="R1996">
        <v>3</v>
      </c>
      <c r="S1996">
        <v>91</v>
      </c>
    </row>
    <row r="1997" spans="1:19" x14ac:dyDescent="0.3">
      <c r="A1997">
        <v>1996</v>
      </c>
      <c r="B1997" t="s">
        <v>1216</v>
      </c>
      <c r="C1997">
        <v>2024</v>
      </c>
      <c r="D1997" t="s">
        <v>226</v>
      </c>
      <c r="E1997">
        <v>11</v>
      </c>
      <c r="F1997" t="s">
        <v>29</v>
      </c>
      <c r="G1997" t="s">
        <v>26</v>
      </c>
      <c r="H1997">
        <v>23.64</v>
      </c>
      <c r="I1997" t="s">
        <v>47</v>
      </c>
      <c r="J1997">
        <v>17</v>
      </c>
      <c r="K1997">
        <v>269</v>
      </c>
      <c r="L1997">
        <v>83.1</v>
      </c>
      <c r="M1997">
        <v>28.67</v>
      </c>
      <c r="N1997">
        <v>13.76</v>
      </c>
      <c r="O1997">
        <v>5.48</v>
      </c>
      <c r="P1997">
        <v>193.25</v>
      </c>
      <c r="Q1997">
        <v>258</v>
      </c>
      <c r="R1997">
        <v>1</v>
      </c>
      <c r="S1997">
        <v>215</v>
      </c>
    </row>
    <row r="1998" spans="1:19" x14ac:dyDescent="0.3">
      <c r="A1998">
        <v>1997</v>
      </c>
      <c r="B1998" t="s">
        <v>1204</v>
      </c>
      <c r="C1998">
        <v>2024</v>
      </c>
      <c r="D1998" t="s">
        <v>226</v>
      </c>
      <c r="E1998">
        <v>11</v>
      </c>
      <c r="F1998" t="s">
        <v>53</v>
      </c>
      <c r="G1998" t="s">
        <v>35</v>
      </c>
      <c r="H1998">
        <v>7.53</v>
      </c>
      <c r="I1998" t="s">
        <v>32</v>
      </c>
      <c r="J1998">
        <v>24</v>
      </c>
      <c r="K1998">
        <v>529</v>
      </c>
      <c r="L1998">
        <v>87.75</v>
      </c>
      <c r="M1998">
        <v>17.48</v>
      </c>
      <c r="N1998">
        <v>8.2799999999999994</v>
      </c>
      <c r="O1998">
        <v>10.01</v>
      </c>
      <c r="P1998">
        <v>279.99</v>
      </c>
      <c r="Q1998">
        <v>857</v>
      </c>
      <c r="R1998">
        <v>1</v>
      </c>
      <c r="S1998">
        <v>248</v>
      </c>
    </row>
    <row r="1999" spans="1:19" x14ac:dyDescent="0.3">
      <c r="A1999">
        <v>1998</v>
      </c>
      <c r="B1999" t="s">
        <v>1206</v>
      </c>
      <c r="C1999">
        <v>2024</v>
      </c>
      <c r="D1999" t="s">
        <v>226</v>
      </c>
      <c r="E1999">
        <v>11</v>
      </c>
      <c r="F1999" t="s">
        <v>53</v>
      </c>
      <c r="G1999" t="s">
        <v>22</v>
      </c>
      <c r="H1999">
        <v>35</v>
      </c>
      <c r="I1999" t="s">
        <v>23</v>
      </c>
      <c r="J1999">
        <v>5</v>
      </c>
      <c r="K1999">
        <v>464</v>
      </c>
      <c r="L1999">
        <v>94.41</v>
      </c>
      <c r="M1999">
        <v>11.44</v>
      </c>
      <c r="N1999">
        <v>3.49</v>
      </c>
      <c r="O1999">
        <v>8.8699999999999992</v>
      </c>
      <c r="P1999">
        <v>438.71</v>
      </c>
      <c r="Q1999">
        <v>777</v>
      </c>
      <c r="R1999">
        <v>5</v>
      </c>
      <c r="S1999">
        <v>113</v>
      </c>
    </row>
    <row r="2000" spans="1:19" x14ac:dyDescent="0.3">
      <c r="A2000">
        <v>1999</v>
      </c>
      <c r="B2000" t="s">
        <v>1210</v>
      </c>
      <c r="C2000">
        <v>2024</v>
      </c>
      <c r="D2000" t="s">
        <v>226</v>
      </c>
      <c r="E2000">
        <v>11</v>
      </c>
      <c r="F2000" t="s">
        <v>21</v>
      </c>
      <c r="G2000" t="s">
        <v>42</v>
      </c>
      <c r="H2000">
        <v>27.88</v>
      </c>
      <c r="I2000" t="s">
        <v>47</v>
      </c>
      <c r="J2000">
        <v>21</v>
      </c>
      <c r="K2000">
        <v>492</v>
      </c>
      <c r="L2000">
        <v>82.04</v>
      </c>
      <c r="M2000">
        <v>5.05</v>
      </c>
      <c r="N2000">
        <v>7.02</v>
      </c>
      <c r="O2000">
        <v>10.130000000000001</v>
      </c>
      <c r="P2000">
        <v>433.8</v>
      </c>
      <c r="Q2000">
        <v>844</v>
      </c>
      <c r="R2000">
        <v>4</v>
      </c>
      <c r="S2000">
        <v>189</v>
      </c>
    </row>
    <row r="2001" spans="1:19" x14ac:dyDescent="0.3">
      <c r="A2001">
        <v>2000</v>
      </c>
      <c r="B2001" t="s">
        <v>1207</v>
      </c>
      <c r="C2001">
        <v>2024</v>
      </c>
      <c r="D2001" t="s">
        <v>226</v>
      </c>
      <c r="E2001">
        <v>11</v>
      </c>
      <c r="F2001" t="s">
        <v>34</v>
      </c>
      <c r="G2001" t="s">
        <v>40</v>
      </c>
      <c r="H2001">
        <v>17.239999999999998</v>
      </c>
      <c r="I2001" t="s">
        <v>27</v>
      </c>
      <c r="J2001">
        <v>49</v>
      </c>
      <c r="K2001">
        <v>355</v>
      </c>
      <c r="L2001">
        <v>79.38</v>
      </c>
      <c r="M2001">
        <v>18.68</v>
      </c>
      <c r="N2001">
        <v>13.01</v>
      </c>
      <c r="O2001">
        <v>7.93</v>
      </c>
      <c r="P2001">
        <v>299.44</v>
      </c>
      <c r="Q2001">
        <v>1084</v>
      </c>
      <c r="R2001">
        <v>3</v>
      </c>
      <c r="S2001">
        <v>234</v>
      </c>
    </row>
  </sheetData>
  <pageMargins left="0.7" right="0.7" top="0.75" bottom="0.75" header="0.3" footer="0.3"/>
  <ignoredErrors>
    <ignoredError sqref="A1:S200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election activeCell="E18" sqref="E18"/>
    </sheetView>
  </sheetViews>
  <sheetFormatPr defaultRowHeight="15.6" x14ac:dyDescent="0.3"/>
  <cols>
    <col min="1" max="1" width="30.796875" customWidth="1"/>
    <col min="2" max="2" width="20.796875" customWidth="1"/>
  </cols>
  <sheetData>
    <row r="1" spans="1:2" x14ac:dyDescent="0.3">
      <c r="A1" t="s">
        <v>1217</v>
      </c>
      <c r="B1" t="s">
        <v>1218</v>
      </c>
    </row>
    <row r="2" spans="1:2" x14ac:dyDescent="0.3">
      <c r="A2" t="s">
        <v>1219</v>
      </c>
      <c r="B2">
        <v>2000</v>
      </c>
    </row>
    <row r="3" spans="1:2" x14ac:dyDescent="0.3">
      <c r="A3" t="s">
        <v>1220</v>
      </c>
      <c r="B3" t="s">
        <v>1221</v>
      </c>
    </row>
    <row r="4" spans="1:2" x14ac:dyDescent="0.3">
      <c r="A4" t="s">
        <v>1222</v>
      </c>
      <c r="B4" t="s">
        <v>1223</v>
      </c>
    </row>
    <row r="5" spans="1:2" x14ac:dyDescent="0.3">
      <c r="A5" t="s">
        <v>1224</v>
      </c>
      <c r="B5">
        <v>51171</v>
      </c>
    </row>
    <row r="6" spans="1:2" x14ac:dyDescent="0.3">
      <c r="A6" t="s">
        <v>1225</v>
      </c>
      <c r="B6" t="s">
        <v>1226</v>
      </c>
    </row>
    <row r="7" spans="1:2" x14ac:dyDescent="0.3">
      <c r="A7" t="s">
        <v>1227</v>
      </c>
      <c r="B7" t="s">
        <v>1228</v>
      </c>
    </row>
    <row r="8" spans="1:2" x14ac:dyDescent="0.3">
      <c r="A8" t="s">
        <v>1229</v>
      </c>
      <c r="B8">
        <v>1199520</v>
      </c>
    </row>
    <row r="9" spans="1:2" x14ac:dyDescent="0.3">
      <c r="A9" t="s">
        <v>1230</v>
      </c>
      <c r="B9" t="s">
        <v>1231</v>
      </c>
    </row>
    <row r="14" spans="1:2" x14ac:dyDescent="0.3">
      <c r="A14" t="s">
        <v>1256</v>
      </c>
      <c r="B14" t="s">
        <v>1257</v>
      </c>
    </row>
    <row r="15" spans="1:2" x14ac:dyDescent="0.3">
      <c r="A15" t="s">
        <v>1259</v>
      </c>
      <c r="B15" t="s">
        <v>1260</v>
      </c>
    </row>
    <row r="16" spans="1:2" x14ac:dyDescent="0.3">
      <c r="A16" t="s">
        <v>1224</v>
      </c>
      <c r="B16" t="s">
        <v>1262</v>
      </c>
    </row>
    <row r="17" spans="1:2" x14ac:dyDescent="0.3">
      <c r="A17" t="s">
        <v>1264</v>
      </c>
      <c r="B17" t="s">
        <v>1265</v>
      </c>
    </row>
    <row r="18" spans="1:2" x14ac:dyDescent="0.3">
      <c r="A18" t="s">
        <v>1267</v>
      </c>
      <c r="B18" t="s">
        <v>1268</v>
      </c>
    </row>
    <row r="19" spans="1:2" x14ac:dyDescent="0.3">
      <c r="A19" t="s">
        <v>1269</v>
      </c>
      <c r="B19" t="s">
        <v>1270</v>
      </c>
    </row>
  </sheetData>
  <pageMargins left="0.7" right="0.7" top="0.75" bottom="0.75" header="0.3" footer="0.3"/>
  <ignoredErrors>
    <ignoredError sqref="A1:B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heetViews>
  <sheetFormatPr defaultRowHeight="15.6" x14ac:dyDescent="0.3"/>
  <cols>
    <col min="1" max="1" width="10.796875" customWidth="1"/>
    <col min="2" max="2" width="70.796875" customWidth="1"/>
  </cols>
  <sheetData>
    <row r="1" spans="1:2" x14ac:dyDescent="0.3">
      <c r="A1" t="s">
        <v>1232</v>
      </c>
      <c r="B1" t="s">
        <v>1233</v>
      </c>
    </row>
    <row r="2" spans="1:2" x14ac:dyDescent="0.3">
      <c r="A2" t="s">
        <v>1234</v>
      </c>
      <c r="B2" t="s">
        <v>1235</v>
      </c>
    </row>
    <row r="3" spans="1:2" x14ac:dyDescent="0.3">
      <c r="A3" t="s">
        <v>1236</v>
      </c>
      <c r="B3" t="s">
        <v>1237</v>
      </c>
    </row>
    <row r="4" spans="1:2" x14ac:dyDescent="0.3">
      <c r="A4" t="s">
        <v>1238</v>
      </c>
      <c r="B4" t="s">
        <v>1239</v>
      </c>
    </row>
    <row r="5" spans="1:2" x14ac:dyDescent="0.3">
      <c r="A5" t="s">
        <v>1240</v>
      </c>
      <c r="B5" t="s">
        <v>1240</v>
      </c>
    </row>
    <row r="6" spans="1:2" x14ac:dyDescent="0.3">
      <c r="A6" t="s">
        <v>1241</v>
      </c>
      <c r="B6" t="s">
        <v>1242</v>
      </c>
    </row>
    <row r="7" spans="1:2" x14ac:dyDescent="0.3">
      <c r="A7" t="s">
        <v>1240</v>
      </c>
      <c r="B7" t="s">
        <v>1243</v>
      </c>
    </row>
    <row r="8" spans="1:2" x14ac:dyDescent="0.3">
      <c r="A8" t="s">
        <v>1240</v>
      </c>
      <c r="B8" t="s">
        <v>1240</v>
      </c>
    </row>
    <row r="9" spans="1:2" x14ac:dyDescent="0.3">
      <c r="A9" t="s">
        <v>1244</v>
      </c>
      <c r="B9" t="s">
        <v>1245</v>
      </c>
    </row>
    <row r="10" spans="1:2" x14ac:dyDescent="0.3">
      <c r="A10" t="s">
        <v>1240</v>
      </c>
      <c r="B10" t="s">
        <v>1246</v>
      </c>
    </row>
    <row r="11" spans="1:2" x14ac:dyDescent="0.3">
      <c r="A11" t="s">
        <v>1240</v>
      </c>
      <c r="B11" t="s">
        <v>1240</v>
      </c>
    </row>
    <row r="12" spans="1:2" x14ac:dyDescent="0.3">
      <c r="A12" t="s">
        <v>1247</v>
      </c>
      <c r="B12" t="s">
        <v>1248</v>
      </c>
    </row>
    <row r="13" spans="1:2" x14ac:dyDescent="0.3">
      <c r="A13" t="s">
        <v>1240</v>
      </c>
      <c r="B13" t="s">
        <v>1249</v>
      </c>
    </row>
    <row r="14" spans="1:2" x14ac:dyDescent="0.3">
      <c r="A14" t="s">
        <v>1240</v>
      </c>
      <c r="B14" t="s">
        <v>1240</v>
      </c>
    </row>
    <row r="15" spans="1:2" x14ac:dyDescent="0.3">
      <c r="A15" t="s">
        <v>1250</v>
      </c>
      <c r="B15" t="s">
        <v>1251</v>
      </c>
    </row>
    <row r="16" spans="1:2" x14ac:dyDescent="0.3">
      <c r="A16" t="s">
        <v>1252</v>
      </c>
      <c r="B16" t="s">
        <v>1253</v>
      </c>
    </row>
    <row r="17" spans="1:2" x14ac:dyDescent="0.3">
      <c r="A17" t="s">
        <v>1254</v>
      </c>
      <c r="B17" t="s">
        <v>1255</v>
      </c>
    </row>
  </sheetData>
  <pageMargins left="0.7" right="0.7" top="0.75" bottom="0.75" header="0.3" footer="0.3"/>
  <ignoredErrors>
    <ignoredError sqref="A1:B1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workbookViewId="0">
      <selection sqref="A1:B6"/>
    </sheetView>
  </sheetViews>
  <sheetFormatPr defaultRowHeight="15.6" x14ac:dyDescent="0.3"/>
  <cols>
    <col min="1" max="1" width="25.796875" customWidth="1"/>
    <col min="2" max="2" width="40.796875" customWidth="1"/>
    <col min="3" max="3" width="20.796875" customWidth="1"/>
  </cols>
  <sheetData>
    <row r="1" spans="1:3" x14ac:dyDescent="0.3">
      <c r="A1" t="s">
        <v>1256</v>
      </c>
      <c r="B1" t="s">
        <v>1257</v>
      </c>
      <c r="C1" t="s">
        <v>1258</v>
      </c>
    </row>
    <row r="2" spans="1:3" x14ac:dyDescent="0.3">
      <c r="A2" t="s">
        <v>1259</v>
      </c>
      <c r="B2" t="s">
        <v>1260</v>
      </c>
      <c r="C2" t="s">
        <v>1261</v>
      </c>
    </row>
    <row r="3" spans="1:3" x14ac:dyDescent="0.3">
      <c r="A3" t="s">
        <v>1224</v>
      </c>
      <c r="B3" t="s">
        <v>1262</v>
      </c>
      <c r="C3" t="s">
        <v>1263</v>
      </c>
    </row>
    <row r="4" spans="1:3" x14ac:dyDescent="0.3">
      <c r="A4" t="s">
        <v>1264</v>
      </c>
      <c r="B4" t="s">
        <v>1265</v>
      </c>
      <c r="C4" t="s">
        <v>1266</v>
      </c>
    </row>
    <row r="5" spans="1:3" x14ac:dyDescent="0.3">
      <c r="A5" t="s">
        <v>1267</v>
      </c>
      <c r="B5" t="s">
        <v>1268</v>
      </c>
      <c r="C5" t="s">
        <v>1263</v>
      </c>
    </row>
    <row r="6" spans="1:3" x14ac:dyDescent="0.3">
      <c r="A6" t="s">
        <v>1269</v>
      </c>
      <c r="B6" t="s">
        <v>1270</v>
      </c>
      <c r="C6" t="s">
        <v>1261</v>
      </c>
    </row>
  </sheetData>
  <pageMargins left="0.7" right="0.7" top="0.75" bottom="0.75" header="0.3" footer="0.3"/>
  <ignoredErrors>
    <ignoredError sqref="A1:C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AF35E-2733-4807-9D6A-A01A83067F7C}">
  <dimension ref="O6:U10"/>
  <sheetViews>
    <sheetView showGridLines="0" showRowColHeaders="0" tabSelected="1" workbookViewId="0">
      <selection activeCell="P14" sqref="P14"/>
    </sheetView>
  </sheetViews>
  <sheetFormatPr defaultRowHeight="15.6" x14ac:dyDescent="0.3"/>
  <sheetData>
    <row r="6" spans="15:21" x14ac:dyDescent="0.3">
      <c r="O6" s="4" t="s">
        <v>1259</v>
      </c>
      <c r="P6" s="5"/>
      <c r="Q6" s="4">
        <f>GETPIVOTDATA("Fund Raised ($M)",Pivot_Table!$C$28)</f>
        <v>59079.280000000108</v>
      </c>
      <c r="R6" s="3"/>
      <c r="S6" s="4" t="s">
        <v>1281</v>
      </c>
      <c r="T6" s="5"/>
      <c r="U6" s="4">
        <f>GETPIVOTDATA("Customer Acquisition",Pivot_Table!$F$31)</f>
        <v>1199520</v>
      </c>
    </row>
    <row r="8" spans="15:21" x14ac:dyDescent="0.3">
      <c r="O8" s="4" t="s">
        <v>1224</v>
      </c>
      <c r="P8" s="5"/>
      <c r="Q8" s="4">
        <f>GETPIVOTDATA("Total Employees",Pivot_Table!$D$29)</f>
        <v>704177</v>
      </c>
      <c r="S8" s="4" t="s">
        <v>1282</v>
      </c>
      <c r="T8" s="5"/>
      <c r="U8" s="4">
        <f>GETPIVOTDATA("Total Employees",Pivot_Table!$E$30)</f>
        <v>352.08850000000001</v>
      </c>
    </row>
    <row r="10" spans="15:21" x14ac:dyDescent="0.3">
      <c r="O10" s="4" t="s">
        <v>1269</v>
      </c>
      <c r="P10" s="5"/>
      <c r="Q10" s="5"/>
      <c r="R10" s="4">
        <f>GETPIVOTDATA("Market Valuation ($M)",Pivot_Table!$C$32)</f>
        <v>695023.4</v>
      </c>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Pivot_Table</vt:lpstr>
      <vt:lpstr>Raw Data</vt:lpstr>
      <vt:lpstr>Summary Statistics</vt:lpstr>
      <vt:lpstr>Pivot Instructions</vt:lpstr>
      <vt:lpstr>Dashboard Formulas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Anandh R</cp:lastModifiedBy>
  <dcterms:modified xsi:type="dcterms:W3CDTF">2025-10-11T17:21:03Z</dcterms:modified>
</cp:coreProperties>
</file>